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1196F13-6AD0-C1B8-E2B4-A1F9AE17003E}"/>
  <workbookPr showInkAnnotation="0" codeName="ThisWorkbook"/>
  <mc:AlternateContent xmlns:mc="http://schemas.openxmlformats.org/markup-compatibility/2006">
    <mc:Choice Requires="x15">
      <x15ac:absPath xmlns:x15ac="http://schemas.microsoft.com/office/spreadsheetml/2010/11/ac" url="H:\STM32_projects\TCC-Sensor_de_Luz\Matlab\"/>
    </mc:Choice>
  </mc:AlternateContent>
  <xr:revisionPtr revIDLastSave="0" documentId="8_{95E20325-7F0A-4EC0-877B-5DE858EB95B8}" xr6:coauthVersionLast="47" xr6:coauthVersionMax="47" xr10:uidLastSave="{00000000-0000-0000-0000-000000000000}"/>
  <bookViews>
    <workbookView xWindow="-108" yWindow="-108" windowWidth="23256" windowHeight="12576" firstSheet="4" activeTab="6" xr2:uid="{00000000-000D-0000-FFFF-FFFF00000000}"/>
  </bookViews>
  <sheets>
    <sheet name="Header" sheetId="1" r:id="rId1"/>
    <sheet name="Introduction" sheetId="2" r:id="rId2"/>
    <sheet name="INIT-File+Corr" sheetId="3" r:id="rId3"/>
    <sheet name="Basic_Counts" sheetId="4" r:id="rId4"/>
    <sheet name="Demonstration Calculations" sheetId="5" r:id="rId5"/>
    <sheet name="used Standard Values" sheetId="6" r:id="rId6"/>
    <sheet name="Typical AS7341 filters" sheetId="7" r:id="rId7"/>
  </sheets>
  <externalReferences>
    <externalReference r:id="rId8"/>
    <externalReference r:id="rId9"/>
    <externalReference r:id="rId10"/>
  </externalReferences>
  <definedNames>
    <definedName name="cf" localSheetId="6">[1]Overview!$H$23</definedName>
    <definedName name="cf">[2]Overview!$H$23</definedName>
    <definedName name="dcf" localSheetId="6">#REF!</definedName>
    <definedName name="dcf">[3]Overview!$H$33</definedName>
    <definedName name="scale1">#REF!</definedName>
    <definedName name="sf" localSheetId="6">#REF!</definedName>
    <definedName name="sf">[3]Overview!$H$21</definedName>
    <definedName name="sfc">#REF!</definedName>
    <definedName name="sfcl">#REF!</definedName>
    <definedName name="sff" localSheetId="6">#REF!</definedName>
    <definedName name="sff">[3]Overview!#REF!</definedName>
    <definedName name="sffd">#REF!</definedName>
    <definedName name="sfg" localSheetId="6">#REF!</definedName>
    <definedName name="sfg">[3]Overview!#REF!</definedName>
    <definedName name="sfp">#REF!</definedName>
    <definedName name="sfr">#REF!</definedName>
    <definedName name="sfvis" localSheetId="6">#REF!</definedName>
    <definedName name="sfvis">[3]Overview!#REF!</definedName>
    <definedName name="sfvis1">#REF!</definedName>
    <definedName name="sfvis2">#REF!</definedName>
    <definedName name="sfvis3">#REF!</definedName>
    <definedName name="sfvis4" localSheetId="6">#REF!</definedName>
    <definedName name="sfvis4">[3]Overview!#REF!</definedName>
    <definedName name="sfvis5">#REF!</definedName>
    <definedName name="sfvis6">#REF!</definedName>
    <definedName name="sfvis7" localSheetId="6">#REF!</definedName>
    <definedName name="sfvis7">[3]Overview!#REF!</definedName>
    <definedName name="sfvis8" localSheetId="6">#REF!</definedName>
    <definedName name="sfvis8">[3]Overview!#REF!</definedName>
    <definedName name="sfw" localSheetId="6">#REF!</definedName>
    <definedName name="sfw">[3]Overview!#REF!</definedName>
    <definedName name="Z_90ADABFE_445D_4DCD_B9A1_AF8CF7BB6FDB_.wvu.Rows" localSheetId="2" hidden="1">'INIT-File+Corr'!$71:$71</definedName>
  </definedNames>
  <calcPr calcId="191029"/>
  <customWorkbookViews>
    <customWorkbookView name="Awuraa Amma Okyere-Boateng - Personal View" guid="{90ADABFE-445D-4DCD-B9A1-AF8CF7BB6FDB}" mergeInterval="0" personalView="1" maximized="1" xWindow="-9" yWindow="-9" windowWidth="1938" windowHeight="1048"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7" l="1"/>
  <c r="D3" i="7"/>
  <c r="E3" i="7"/>
  <c r="F3" i="7"/>
  <c r="G3" i="7"/>
  <c r="H3" i="7"/>
  <c r="I3" i="7"/>
  <c r="J3" i="7"/>
  <c r="K3" i="7"/>
  <c r="B3" i="7"/>
  <c r="B10" i="5" a="1"/>
  <c r="B10" i="5" s="1"/>
  <c r="A10" i="5" a="1"/>
  <c r="A10" i="5" s="1"/>
  <c r="B12" i="4"/>
  <c r="C12" i="4"/>
  <c r="D12" i="4"/>
  <c r="E12" i="4"/>
  <c r="F12" i="4"/>
  <c r="G12" i="4"/>
  <c r="H12" i="4"/>
  <c r="I12" i="4"/>
  <c r="J12" i="4"/>
  <c r="B13" i="4"/>
  <c r="C13" i="4"/>
  <c r="D13" i="4"/>
  <c r="E13" i="4"/>
  <c r="F13" i="4"/>
  <c r="G13" i="4"/>
  <c r="H13" i="4"/>
  <c r="I13" i="4"/>
  <c r="J13" i="4"/>
  <c r="A13" i="4"/>
  <c r="A12" i="4"/>
  <c r="B2" i="4"/>
  <c r="C2" i="4"/>
  <c r="D2" i="4"/>
  <c r="E2" i="4"/>
  <c r="F2" i="4"/>
  <c r="G2" i="4"/>
  <c r="H2" i="4"/>
  <c r="I2" i="4"/>
  <c r="J2" i="4"/>
  <c r="B3" i="4"/>
  <c r="C3" i="4"/>
  <c r="D3" i="4"/>
  <c r="E3" i="4"/>
  <c r="F3" i="4"/>
  <c r="G3" i="4"/>
  <c r="H3" i="4"/>
  <c r="I3" i="4"/>
  <c r="J3" i="4"/>
  <c r="A3" i="4"/>
  <c r="A2" i="4"/>
  <c r="P22" i="3"/>
  <c r="Q22" i="3"/>
  <c r="R22" i="3"/>
  <c r="S22" i="3"/>
  <c r="T22" i="3"/>
  <c r="U22" i="3"/>
  <c r="V22" i="3"/>
  <c r="W22" i="3"/>
  <c r="X22" i="3"/>
  <c r="P23" i="3"/>
  <c r="Q23" i="3"/>
  <c r="R23" i="3"/>
  <c r="S23" i="3"/>
  <c r="T23" i="3"/>
  <c r="U23" i="3"/>
  <c r="V23" i="3"/>
  <c r="W23" i="3"/>
  <c r="X23" i="3"/>
  <c r="O23" i="3"/>
  <c r="O22" i="3"/>
  <c r="C14" i="3"/>
  <c r="D14" i="3"/>
  <c r="E14" i="3"/>
  <c r="F14" i="3"/>
  <c r="G14" i="3"/>
  <c r="H14" i="3"/>
  <c r="I14" i="3"/>
  <c r="J14" i="3"/>
  <c r="K14" i="3"/>
  <c r="B14" i="3"/>
  <c r="C6" i="3"/>
  <c r="D6" i="3"/>
  <c r="E6" i="3"/>
  <c r="F6" i="3"/>
  <c r="G6" i="3"/>
  <c r="H6" i="3"/>
  <c r="I6" i="3"/>
  <c r="B6" i="3"/>
  <c r="B15" i="5" l="1"/>
  <c r="B19" i="5"/>
  <c r="B18" i="5"/>
  <c r="B17" i="5"/>
  <c r="B14" i="5"/>
  <c r="B13" i="5"/>
  <c r="B12" i="5"/>
  <c r="B11" i="5"/>
  <c r="B16" i="5"/>
  <c r="A17" i="5"/>
  <c r="A13" i="5"/>
  <c r="A19" i="5"/>
  <c r="A18" i="5"/>
  <c r="A15" i="5"/>
  <c r="A12" i="5"/>
  <c r="A11" i="5"/>
  <c r="A16" i="5"/>
  <c r="A14" i="5"/>
  <c r="A14" i="4" l="1"/>
  <c r="C21" i="5" l="1"/>
  <c r="Y20" i="5" l="1"/>
  <c r="Y19" i="5"/>
  <c r="W25" i="5"/>
  <c r="F10" i="5" l="1" a="1"/>
  <c r="F10" i="5" s="1"/>
  <c r="O4" i="3"/>
  <c r="P4" i="3" l="1"/>
  <c r="Q4" i="3" s="1"/>
  <c r="R4" i="3" s="1"/>
  <c r="S4" i="3" s="1"/>
  <c r="T4" i="3" s="1"/>
  <c r="U4" i="3" s="1"/>
  <c r="V4" i="3" s="1"/>
  <c r="W4" i="3" s="1"/>
  <c r="X4" i="3" s="1"/>
  <c r="F13" i="5"/>
  <c r="F17" i="5"/>
  <c r="F16" i="5"/>
  <c r="F12" i="5"/>
  <c r="F19" i="5"/>
  <c r="F15" i="5"/>
  <c r="F11" i="5"/>
  <c r="F18" i="5"/>
  <c r="F14" i="5"/>
  <c r="C10" i="5" l="1" a="1"/>
  <c r="C10" i="5" s="1"/>
  <c r="B14" i="4"/>
  <c r="C14" i="4"/>
  <c r="D14" i="4"/>
  <c r="E14" i="4"/>
  <c r="F14" i="4"/>
  <c r="G14" i="4"/>
  <c r="H14" i="4"/>
  <c r="I14" i="4"/>
  <c r="J14" i="4"/>
  <c r="P26" i="3"/>
  <c r="Q26" i="3"/>
  <c r="R26" i="3"/>
  <c r="S26" i="3"/>
  <c r="T26" i="3"/>
  <c r="U26" i="3"/>
  <c r="V26" i="3"/>
  <c r="W26" i="3"/>
  <c r="X26" i="3"/>
  <c r="O26" i="3"/>
  <c r="D10" i="5" l="1"/>
  <c r="O30" i="3" s="1"/>
  <c r="Q30" i="3" s="1"/>
  <c r="E10" i="5" a="1"/>
  <c r="C13" i="5"/>
  <c r="D13" i="5" s="1"/>
  <c r="O33" i="3" s="1"/>
  <c r="C17" i="5"/>
  <c r="D17" i="5" s="1"/>
  <c r="O37" i="3" s="1"/>
  <c r="C16" i="5"/>
  <c r="D16" i="5" s="1"/>
  <c r="O36" i="3" s="1"/>
  <c r="C12" i="5"/>
  <c r="D12" i="5" s="1"/>
  <c r="O32" i="3" s="1"/>
  <c r="C19" i="5"/>
  <c r="D19" i="5" s="1"/>
  <c r="O39" i="3" s="1"/>
  <c r="C15" i="5"/>
  <c r="D15" i="5" s="1"/>
  <c r="O35" i="3" s="1"/>
  <c r="C11" i="5"/>
  <c r="D11" i="5" s="1"/>
  <c r="O31" i="3" s="1"/>
  <c r="C18" i="5"/>
  <c r="D18" i="5" s="1"/>
  <c r="O38" i="3" s="1"/>
  <c r="C14" i="5"/>
  <c r="D14" i="5" s="1"/>
  <c r="O34" i="3" s="1"/>
  <c r="N13" i="6"/>
  <c r="E10" i="5" l="1"/>
  <c r="E14" i="5"/>
  <c r="E17" i="5"/>
  <c r="E13" i="5"/>
  <c r="E11" i="5"/>
  <c r="E15" i="5"/>
  <c r="E18" i="5"/>
  <c r="E16" i="5"/>
  <c r="E19" i="5"/>
  <c r="E12" i="5"/>
  <c r="Z38" i="3"/>
  <c r="Z39" i="3"/>
  <c r="Z36" i="3"/>
  <c r="Z35" i="3"/>
  <c r="Z34" i="3"/>
  <c r="Z33" i="3"/>
  <c r="Z32" i="3"/>
  <c r="R10" i="5" l="1"/>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Q35" i="3" l="1"/>
  <c r="Q38" i="3"/>
  <c r="P42" i="3" s="1"/>
  <c r="Q32" i="3"/>
  <c r="P43" i="3"/>
  <c r="Q36" i="3"/>
  <c r="Q37" i="3"/>
  <c r="Q33" i="3"/>
  <c r="Q31" i="3"/>
  <c r="Q34" i="3"/>
  <c r="J22" i="5"/>
  <c r="J11" i="5"/>
  <c r="J12" i="5"/>
  <c r="J13" i="5"/>
  <c r="J14" i="5"/>
  <c r="J15" i="5"/>
  <c r="J17" i="5"/>
  <c r="J19" i="5"/>
  <c r="J20" i="5"/>
  <c r="J10" i="5"/>
  <c r="N10" i="6"/>
  <c r="N9" i="6"/>
  <c r="N8" i="6"/>
  <c r="N7" i="6"/>
  <c r="S30" i="3" l="1"/>
  <c r="S34" i="3"/>
  <c r="G14" i="5" s="1"/>
  <c r="H14" i="5" s="1"/>
  <c r="S39" i="3"/>
  <c r="G19" i="5" s="1"/>
  <c r="H19" i="5" s="1"/>
  <c r="S31" i="3"/>
  <c r="G11" i="5" s="1"/>
  <c r="H11" i="5" s="1"/>
  <c r="S35" i="3"/>
  <c r="G15" i="5" s="1"/>
  <c r="H15" i="5" s="1"/>
  <c r="S32" i="3"/>
  <c r="G12" i="5" s="1"/>
  <c r="H12" i="5" s="1"/>
  <c r="S36" i="3"/>
  <c r="G16" i="5" s="1"/>
  <c r="H16" i="5" s="1"/>
  <c r="S38" i="3"/>
  <c r="G18" i="5" s="1"/>
  <c r="H18" i="5" s="1"/>
  <c r="S37" i="3"/>
  <c r="G17" i="5" s="1"/>
  <c r="H17" i="5" s="1"/>
  <c r="S33" i="3"/>
  <c r="G13" i="5" s="1"/>
  <c r="H13" i="5" s="1"/>
  <c r="G10" i="5"/>
  <c r="H10" i="5" s="1"/>
  <c r="K10" i="5" l="1" a="1"/>
  <c r="K10" i="5" s="1"/>
  <c r="O10" i="5" a="1"/>
  <c r="K11" i="5" l="1"/>
  <c r="K18" i="5" s="1"/>
  <c r="K12" i="5"/>
  <c r="O28" i="5"/>
  <c r="S28" i="5" s="1"/>
  <c r="O60" i="5"/>
  <c r="O92" i="5"/>
  <c r="O124" i="5"/>
  <c r="O156" i="5"/>
  <c r="U156" i="5" s="1"/>
  <c r="O188" i="5"/>
  <c r="S188" i="5" s="1"/>
  <c r="O220" i="5"/>
  <c r="T220" i="5" s="1"/>
  <c r="O244" i="5"/>
  <c r="O265" i="5"/>
  <c r="T265" i="5" s="1"/>
  <c r="O287" i="5"/>
  <c r="S287" i="5" s="1"/>
  <c r="O308" i="5"/>
  <c r="T308" i="5" s="1"/>
  <c r="O329" i="5"/>
  <c r="O350" i="5"/>
  <c r="U350" i="5" s="1"/>
  <c r="O366" i="5"/>
  <c r="U366" i="5" s="1"/>
  <c r="O382" i="5"/>
  <c r="U382" i="5" s="1"/>
  <c r="O398" i="5"/>
  <c r="O414" i="5"/>
  <c r="O430" i="5"/>
  <c r="O446" i="5"/>
  <c r="O462" i="5"/>
  <c r="O478" i="5"/>
  <c r="O24" i="5"/>
  <c r="S24" i="5" s="1"/>
  <c r="O65" i="5"/>
  <c r="O109" i="5"/>
  <c r="O152" i="5"/>
  <c r="S152" i="5" s="1"/>
  <c r="O193" i="5"/>
  <c r="S193" i="5" s="1"/>
  <c r="O235" i="5"/>
  <c r="U235" i="5" s="1"/>
  <c r="O263" i="5"/>
  <c r="O291" i="5"/>
  <c r="S291" i="5" s="1"/>
  <c r="O320" i="5"/>
  <c r="T320" i="5" s="1"/>
  <c r="O348" i="5"/>
  <c r="U348" i="5" s="1"/>
  <c r="O369" i="5"/>
  <c r="O391" i="5"/>
  <c r="S391" i="5" s="1"/>
  <c r="O412" i="5"/>
  <c r="O433" i="5"/>
  <c r="O455" i="5"/>
  <c r="O476" i="5"/>
  <c r="O495" i="5"/>
  <c r="O511" i="5"/>
  <c r="O527" i="5"/>
  <c r="O543" i="5"/>
  <c r="O559" i="5"/>
  <c r="O16" i="5"/>
  <c r="U16" i="5" s="1"/>
  <c r="O57" i="5"/>
  <c r="O101" i="5"/>
  <c r="U101" i="5" s="1"/>
  <c r="O144" i="5"/>
  <c r="S144" i="5" s="1"/>
  <c r="O185" i="5"/>
  <c r="O229" i="5"/>
  <c r="T229" i="5" s="1"/>
  <c r="O257" i="5"/>
  <c r="T257" i="5" s="1"/>
  <c r="O285" i="5"/>
  <c r="S285" i="5" s="1"/>
  <c r="O315" i="5"/>
  <c r="S315" i="5" s="1"/>
  <c r="O343" i="5"/>
  <c r="O365" i="5"/>
  <c r="S365" i="5" s="1"/>
  <c r="O387" i="5"/>
  <c r="U387" i="5" s="1"/>
  <c r="O408" i="5"/>
  <c r="T408" i="5" s="1"/>
  <c r="O429" i="5"/>
  <c r="O451" i="5"/>
  <c r="O472" i="5"/>
  <c r="O492" i="5"/>
  <c r="O508" i="5"/>
  <c r="O524" i="5"/>
  <c r="O540" i="5"/>
  <c r="O556" i="5"/>
  <c r="O572" i="5"/>
  <c r="O81" i="5"/>
  <c r="S81" i="5" s="1"/>
  <c r="O168" i="5"/>
  <c r="T168" i="5" s="1"/>
  <c r="O245" i="5"/>
  <c r="S245" i="5" s="1"/>
  <c r="O301" i="5"/>
  <c r="O356" i="5"/>
  <c r="S356" i="5" s="1"/>
  <c r="O399" i="5"/>
  <c r="S399" i="5" s="1"/>
  <c r="O441" i="5"/>
  <c r="O484" i="5"/>
  <c r="O517" i="5"/>
  <c r="O549" i="5"/>
  <c r="O577" i="5"/>
  <c r="O593" i="5"/>
  <c r="O609" i="5"/>
  <c r="O625" i="5"/>
  <c r="O542" i="5"/>
  <c r="O590" i="5"/>
  <c r="O622" i="5"/>
  <c r="O113" i="5"/>
  <c r="S113" i="5" s="1"/>
  <c r="O267" i="5"/>
  <c r="O372" i="5"/>
  <c r="O457" i="5"/>
  <c r="O10" i="5"/>
  <c r="T10" i="5" s="1"/>
  <c r="O36" i="5"/>
  <c r="O68" i="5"/>
  <c r="U68" i="5" s="1"/>
  <c r="O100" i="5"/>
  <c r="S100" i="5" s="1"/>
  <c r="O132" i="5"/>
  <c r="T132" i="5" s="1"/>
  <c r="O164" i="5"/>
  <c r="S164" i="5" s="1"/>
  <c r="O196" i="5"/>
  <c r="O228" i="5"/>
  <c r="U228" i="5" s="1"/>
  <c r="O249" i="5"/>
  <c r="U249" i="5" s="1"/>
  <c r="O271" i="5"/>
  <c r="S271" i="5" s="1"/>
  <c r="O292" i="5"/>
  <c r="O313" i="5"/>
  <c r="U313" i="5" s="1"/>
  <c r="O335" i="5"/>
  <c r="O354" i="5"/>
  <c r="O370" i="5"/>
  <c r="O386" i="5"/>
  <c r="U386" i="5" s="1"/>
  <c r="O402" i="5"/>
  <c r="U402" i="5" s="1"/>
  <c r="O418" i="5"/>
  <c r="O434" i="5"/>
  <c r="O450" i="5"/>
  <c r="O466" i="5"/>
  <c r="O482" i="5"/>
  <c r="O33" i="5"/>
  <c r="O77" i="5"/>
  <c r="S77" i="5" s="1"/>
  <c r="O120" i="5"/>
  <c r="T120" i="5" s="1"/>
  <c r="O161" i="5"/>
  <c r="U161" i="5" s="1"/>
  <c r="O205" i="5"/>
  <c r="S205" i="5" s="1"/>
  <c r="O241" i="5"/>
  <c r="U241" i="5" s="1"/>
  <c r="O269" i="5"/>
  <c r="O299" i="5"/>
  <c r="T299" i="5" s="1"/>
  <c r="O327" i="5"/>
  <c r="T327" i="5" s="1"/>
  <c r="O353" i="5"/>
  <c r="T353" i="5" s="1"/>
  <c r="O375" i="5"/>
  <c r="T375" i="5" s="1"/>
  <c r="O396" i="5"/>
  <c r="O417" i="5"/>
  <c r="O439" i="5"/>
  <c r="O460" i="5"/>
  <c r="O481" i="5"/>
  <c r="O499" i="5"/>
  <c r="O515" i="5"/>
  <c r="O531" i="5"/>
  <c r="O547" i="5"/>
  <c r="O563" i="5"/>
  <c r="O25" i="5"/>
  <c r="T25" i="5" s="1"/>
  <c r="O69" i="5"/>
  <c r="T69" i="5" s="1"/>
  <c r="O112" i="5"/>
  <c r="S112" i="5" s="1"/>
  <c r="O153" i="5"/>
  <c r="O197" i="5"/>
  <c r="U197" i="5" s="1"/>
  <c r="O236" i="5"/>
  <c r="U236" i="5" s="1"/>
  <c r="O264" i="5"/>
  <c r="S264" i="5" s="1"/>
  <c r="O293" i="5"/>
  <c r="O321" i="5"/>
  <c r="U321" i="5" s="1"/>
  <c r="O349" i="5"/>
  <c r="U349" i="5" s="1"/>
  <c r="O371" i="5"/>
  <c r="S371" i="5" s="1"/>
  <c r="O392" i="5"/>
  <c r="O413" i="5"/>
  <c r="O435" i="5"/>
  <c r="O456" i="5"/>
  <c r="O477" i="5"/>
  <c r="O496" i="5"/>
  <c r="O512" i="5"/>
  <c r="O528" i="5"/>
  <c r="O544" i="5"/>
  <c r="O560" i="5"/>
  <c r="O17" i="5"/>
  <c r="S17" i="5" s="1"/>
  <c r="O104" i="5"/>
  <c r="O189" i="5"/>
  <c r="O259" i="5"/>
  <c r="S259" i="5" s="1"/>
  <c r="O316" i="5"/>
  <c r="O367" i="5"/>
  <c r="O409" i="5"/>
  <c r="T409" i="5" s="1"/>
  <c r="O452" i="5"/>
  <c r="O493" i="5"/>
  <c r="O525" i="5"/>
  <c r="O557" i="5"/>
  <c r="O581" i="5"/>
  <c r="O597" i="5"/>
  <c r="O613" i="5"/>
  <c r="O629" i="5"/>
  <c r="O558" i="5"/>
  <c r="O598" i="5"/>
  <c r="O630" i="5"/>
  <c r="O157" i="5"/>
  <c r="O295" i="5"/>
  <c r="U295" i="5" s="1"/>
  <c r="O393" i="5"/>
  <c r="T393" i="5" s="1"/>
  <c r="O12" i="5"/>
  <c r="U12" i="5" s="1"/>
  <c r="O44" i="5"/>
  <c r="O76" i="5"/>
  <c r="T76" i="5" s="1"/>
  <c r="O108" i="5"/>
  <c r="T108" i="5" s="1"/>
  <c r="O140" i="5"/>
  <c r="S140" i="5" s="1"/>
  <c r="O172" i="5"/>
  <c r="O204" i="5"/>
  <c r="U204" i="5" s="1"/>
  <c r="O233" i="5"/>
  <c r="O255" i="5"/>
  <c r="O276" i="5"/>
  <c r="O297" i="5"/>
  <c r="T297" i="5" s="1"/>
  <c r="O319" i="5"/>
  <c r="T319" i="5" s="1"/>
  <c r="O340" i="5"/>
  <c r="S340" i="5" s="1"/>
  <c r="O358" i="5"/>
  <c r="U358" i="5" s="1"/>
  <c r="O374" i="5"/>
  <c r="T374" i="5" s="1"/>
  <c r="O390" i="5"/>
  <c r="S390" i="5" s="1"/>
  <c r="O406" i="5"/>
  <c r="O422" i="5"/>
  <c r="O438" i="5"/>
  <c r="O454" i="5"/>
  <c r="O470" i="5"/>
  <c r="O486" i="5"/>
  <c r="O45" i="5"/>
  <c r="T45" i="5" s="1"/>
  <c r="O88" i="5"/>
  <c r="U88" i="5" s="1"/>
  <c r="O129" i="5"/>
  <c r="T129" i="5" s="1"/>
  <c r="O173" i="5"/>
  <c r="O216" i="5"/>
  <c r="S216" i="5" s="1"/>
  <c r="O248" i="5"/>
  <c r="U248" i="5" s="1"/>
  <c r="O277" i="5"/>
  <c r="O305" i="5"/>
  <c r="O333" i="5"/>
  <c r="S333" i="5" s="1"/>
  <c r="O359" i="5"/>
  <c r="S359" i="5" s="1"/>
  <c r="O380" i="5"/>
  <c r="O401" i="5"/>
  <c r="O423" i="5"/>
  <c r="O444" i="5"/>
  <c r="O465" i="5"/>
  <c r="O487" i="5"/>
  <c r="O503" i="5"/>
  <c r="O519" i="5"/>
  <c r="O535" i="5"/>
  <c r="O551" i="5"/>
  <c r="O567" i="5"/>
  <c r="O37" i="5"/>
  <c r="S37" i="5" s="1"/>
  <c r="O80" i="5"/>
  <c r="U80" i="5" s="1"/>
  <c r="O121" i="5"/>
  <c r="O165" i="5"/>
  <c r="U165" i="5" s="1"/>
  <c r="O208" i="5"/>
  <c r="T208" i="5" s="1"/>
  <c r="O243" i="5"/>
  <c r="O272" i="5"/>
  <c r="T272" i="5" s="1"/>
  <c r="O300" i="5"/>
  <c r="S300" i="5" s="1"/>
  <c r="O328" i="5"/>
  <c r="U328" i="5" s="1"/>
  <c r="O355" i="5"/>
  <c r="S355" i="5" s="1"/>
  <c r="O376" i="5"/>
  <c r="T376" i="5" s="1"/>
  <c r="O397" i="5"/>
  <c r="T397" i="5" s="1"/>
  <c r="O419" i="5"/>
  <c r="O440" i="5"/>
  <c r="O461" i="5"/>
  <c r="O483" i="5"/>
  <c r="O500" i="5"/>
  <c r="O516" i="5"/>
  <c r="O532" i="5"/>
  <c r="O548" i="5"/>
  <c r="O564" i="5"/>
  <c r="O40" i="5"/>
  <c r="U40" i="5" s="1"/>
  <c r="O125" i="5"/>
  <c r="O209" i="5"/>
  <c r="U209" i="5" s="1"/>
  <c r="O273" i="5"/>
  <c r="S273" i="5" s="1"/>
  <c r="O331" i="5"/>
  <c r="U331" i="5" s="1"/>
  <c r="O377" i="5"/>
  <c r="O420" i="5"/>
  <c r="O463" i="5"/>
  <c r="O501" i="5"/>
  <c r="O533" i="5"/>
  <c r="O565" i="5"/>
  <c r="O585" i="5"/>
  <c r="O601" i="5"/>
  <c r="O617" i="5"/>
  <c r="O494" i="5"/>
  <c r="O574" i="5"/>
  <c r="O606" i="5"/>
  <c r="O49" i="5"/>
  <c r="O200" i="5"/>
  <c r="S200" i="5" s="1"/>
  <c r="O116" i="5"/>
  <c r="S116" i="5" s="1"/>
  <c r="O239" i="5"/>
  <c r="U239" i="5" s="1"/>
  <c r="O324" i="5"/>
  <c r="O394" i="5"/>
  <c r="S394" i="5" s="1"/>
  <c r="O458" i="5"/>
  <c r="O97" i="5"/>
  <c r="S97" i="5" s="1"/>
  <c r="O256" i="5"/>
  <c r="O364" i="5"/>
  <c r="T364" i="5" s="1"/>
  <c r="O449" i="5"/>
  <c r="O523" i="5"/>
  <c r="O48" i="5"/>
  <c r="O217" i="5"/>
  <c r="U217" i="5" s="1"/>
  <c r="O336" i="5"/>
  <c r="S336" i="5" s="1"/>
  <c r="O424" i="5"/>
  <c r="O504" i="5"/>
  <c r="O568" i="5"/>
  <c r="O288" i="5"/>
  <c r="O473" i="5"/>
  <c r="O589" i="5"/>
  <c r="O582" i="5"/>
  <c r="O323" i="5"/>
  <c r="S323" i="5" s="1"/>
  <c r="O479" i="5"/>
  <c r="O537" i="5"/>
  <c r="O587" i="5"/>
  <c r="O619" i="5"/>
  <c r="O137" i="5"/>
  <c r="T137" i="5" s="1"/>
  <c r="O283" i="5"/>
  <c r="O384" i="5"/>
  <c r="S384" i="5" s="1"/>
  <c r="O469" i="5"/>
  <c r="O538" i="5"/>
  <c r="O588" i="5"/>
  <c r="O620" i="5"/>
  <c r="O64" i="5"/>
  <c r="O149" i="5"/>
  <c r="O232" i="5"/>
  <c r="O289" i="5"/>
  <c r="U289" i="5" s="1"/>
  <c r="O347" i="5"/>
  <c r="S347" i="5" s="1"/>
  <c r="O389" i="5"/>
  <c r="U389" i="5" s="1"/>
  <c r="O432" i="5"/>
  <c r="O475" i="5"/>
  <c r="O518" i="5"/>
  <c r="O578" i="5"/>
  <c r="O610" i="5"/>
  <c r="O93" i="5"/>
  <c r="S93" i="5" s="1"/>
  <c r="O252" i="5"/>
  <c r="S252" i="5" s="1"/>
  <c r="O361" i="5"/>
  <c r="U361" i="5" s="1"/>
  <c r="O447" i="5"/>
  <c r="O521" i="5"/>
  <c r="O583" i="5"/>
  <c r="O615" i="5"/>
  <c r="O117" i="5"/>
  <c r="S117" i="5" s="1"/>
  <c r="O268" i="5"/>
  <c r="S268" i="5" s="1"/>
  <c r="O373" i="5"/>
  <c r="U373" i="5" s="1"/>
  <c r="O459" i="5"/>
  <c r="O530" i="5"/>
  <c r="O584" i="5"/>
  <c r="O616" i="5"/>
  <c r="O195" i="5"/>
  <c r="S195" i="5" s="1"/>
  <c r="O131" i="5"/>
  <c r="O67" i="5"/>
  <c r="T67" i="5" s="1"/>
  <c r="O342" i="5"/>
  <c r="O278" i="5"/>
  <c r="S278" i="5" s="1"/>
  <c r="O214" i="5"/>
  <c r="O150" i="5"/>
  <c r="U150" i="5" s="1"/>
  <c r="O86" i="5"/>
  <c r="U86" i="5" s="1"/>
  <c r="O22" i="5"/>
  <c r="T22" i="5" s="1"/>
  <c r="O107" i="5"/>
  <c r="S107" i="5" s="1"/>
  <c r="O318" i="5"/>
  <c r="T318" i="5" s="1"/>
  <c r="O206" i="5"/>
  <c r="U206" i="5" s="1"/>
  <c r="O78" i="5"/>
  <c r="T78" i="5" s="1"/>
  <c r="O167" i="5"/>
  <c r="O39" i="5"/>
  <c r="T39" i="5" s="1"/>
  <c r="O250" i="5"/>
  <c r="T250" i="5" s="1"/>
  <c r="O122" i="5"/>
  <c r="T122" i="5" s="1"/>
  <c r="O223" i="5"/>
  <c r="T223" i="5" s="1"/>
  <c r="O159" i="5"/>
  <c r="S159" i="5" s="1"/>
  <c r="O95" i="5"/>
  <c r="U95" i="5" s="1"/>
  <c r="O31" i="5"/>
  <c r="T31" i="5" s="1"/>
  <c r="O306" i="5"/>
  <c r="O242" i="5"/>
  <c r="U242" i="5" s="1"/>
  <c r="O178" i="5"/>
  <c r="U178" i="5" s="1"/>
  <c r="O114" i="5"/>
  <c r="O50" i="5"/>
  <c r="O187" i="5"/>
  <c r="U187" i="5" s="1"/>
  <c r="O59" i="5"/>
  <c r="O20" i="5"/>
  <c r="O148" i="5"/>
  <c r="O260" i="5"/>
  <c r="T260" i="5" s="1"/>
  <c r="O345" i="5"/>
  <c r="S345" i="5" s="1"/>
  <c r="O410" i="5"/>
  <c r="U410" i="5" s="1"/>
  <c r="O474" i="5"/>
  <c r="O141" i="5"/>
  <c r="U141" i="5" s="1"/>
  <c r="O284" i="5"/>
  <c r="U284" i="5" s="1"/>
  <c r="O385" i="5"/>
  <c r="O471" i="5"/>
  <c r="O539" i="5"/>
  <c r="O89" i="5"/>
  <c r="O251" i="5"/>
  <c r="U251" i="5" s="1"/>
  <c r="O360" i="5"/>
  <c r="S360" i="5" s="1"/>
  <c r="O445" i="5"/>
  <c r="O520" i="5"/>
  <c r="O61" i="5"/>
  <c r="O344" i="5"/>
  <c r="O509" i="5"/>
  <c r="O605" i="5"/>
  <c r="O614" i="5"/>
  <c r="O351" i="5"/>
  <c r="O497" i="5"/>
  <c r="O553" i="5"/>
  <c r="O595" i="5"/>
  <c r="O627" i="5"/>
  <c r="O181" i="5"/>
  <c r="S181" i="5" s="1"/>
  <c r="O311" i="5"/>
  <c r="O405" i="5"/>
  <c r="T405" i="5" s="1"/>
  <c r="O490" i="5"/>
  <c r="O554" i="5"/>
  <c r="O596" i="5"/>
  <c r="O628" i="5"/>
  <c r="O85" i="5"/>
  <c r="O169" i="5"/>
  <c r="T169" i="5" s="1"/>
  <c r="O247" i="5"/>
  <c r="O304" i="5"/>
  <c r="O357" i="5"/>
  <c r="O400" i="5"/>
  <c r="U400" i="5" s="1"/>
  <c r="O443" i="5"/>
  <c r="O485" i="5"/>
  <c r="O534" i="5"/>
  <c r="O586" i="5"/>
  <c r="O618" i="5"/>
  <c r="O136" i="5"/>
  <c r="T136" i="5" s="1"/>
  <c r="O280" i="5"/>
  <c r="O383" i="5"/>
  <c r="T383" i="5" s="1"/>
  <c r="O468" i="5"/>
  <c r="O545" i="5"/>
  <c r="O591" i="5"/>
  <c r="O623" i="5"/>
  <c r="O160" i="5"/>
  <c r="S160" i="5" s="1"/>
  <c r="O296" i="5"/>
  <c r="O395" i="5"/>
  <c r="O480" i="5"/>
  <c r="O546" i="5"/>
  <c r="O592" i="5"/>
  <c r="O624" i="5"/>
  <c r="O179" i="5"/>
  <c r="T179" i="5" s="1"/>
  <c r="O115" i="5"/>
  <c r="T115" i="5" s="1"/>
  <c r="O51" i="5"/>
  <c r="U51" i="5" s="1"/>
  <c r="O326" i="5"/>
  <c r="O262" i="5"/>
  <c r="U262" i="5" s="1"/>
  <c r="O198" i="5"/>
  <c r="S198" i="5" s="1"/>
  <c r="O134" i="5"/>
  <c r="U134" i="5" s="1"/>
  <c r="O52" i="5"/>
  <c r="O180" i="5"/>
  <c r="T180" i="5" s="1"/>
  <c r="O281" i="5"/>
  <c r="U281" i="5" s="1"/>
  <c r="O362" i="5"/>
  <c r="O426" i="5"/>
  <c r="O13" i="5"/>
  <c r="U13" i="5" s="1"/>
  <c r="O184" i="5"/>
  <c r="U184" i="5" s="1"/>
  <c r="O312" i="5"/>
  <c r="O407" i="5"/>
  <c r="O491" i="5"/>
  <c r="O555" i="5"/>
  <c r="O133" i="5"/>
  <c r="O279" i="5"/>
  <c r="O381" i="5"/>
  <c r="U381" i="5" s="1"/>
  <c r="O467" i="5"/>
  <c r="O536" i="5"/>
  <c r="O145" i="5"/>
  <c r="T145" i="5" s="1"/>
  <c r="O388" i="5"/>
  <c r="U388" i="5" s="1"/>
  <c r="O541" i="5"/>
  <c r="O621" i="5"/>
  <c r="O72" i="5"/>
  <c r="T72" i="5" s="1"/>
  <c r="O415" i="5"/>
  <c r="O513" i="5"/>
  <c r="O569" i="5"/>
  <c r="O603" i="5"/>
  <c r="O53" i="5"/>
  <c r="U53" i="5" s="1"/>
  <c r="O224" i="5"/>
  <c r="S224" i="5" s="1"/>
  <c r="O339" i="5"/>
  <c r="O427" i="5"/>
  <c r="O506" i="5"/>
  <c r="O570" i="5"/>
  <c r="O604" i="5"/>
  <c r="O21" i="5"/>
  <c r="O105" i="5"/>
  <c r="S105" i="5" s="1"/>
  <c r="O192" i="5"/>
  <c r="U192" i="5" s="1"/>
  <c r="O261" i="5"/>
  <c r="U261" i="5" s="1"/>
  <c r="O317" i="5"/>
  <c r="O368" i="5"/>
  <c r="U368" i="5" s="1"/>
  <c r="O411" i="5"/>
  <c r="O453" i="5"/>
  <c r="O502" i="5"/>
  <c r="O550" i="5"/>
  <c r="O594" i="5"/>
  <c r="O626" i="5"/>
  <c r="O177" i="5"/>
  <c r="U177" i="5" s="1"/>
  <c r="O309" i="5"/>
  <c r="S309" i="5" s="1"/>
  <c r="O404" i="5"/>
  <c r="S404" i="5" s="1"/>
  <c r="O489" i="5"/>
  <c r="O561" i="5"/>
  <c r="O599" i="5"/>
  <c r="O32" i="5"/>
  <c r="S32" i="5" s="1"/>
  <c r="O201" i="5"/>
  <c r="S201" i="5" s="1"/>
  <c r="O325" i="5"/>
  <c r="O416" i="5"/>
  <c r="O498" i="5"/>
  <c r="O562" i="5"/>
  <c r="O600" i="5"/>
  <c r="O227" i="5"/>
  <c r="S227" i="5" s="1"/>
  <c r="O163" i="5"/>
  <c r="T163" i="5" s="1"/>
  <c r="O99" i="5"/>
  <c r="T99" i="5" s="1"/>
  <c r="O35" i="5"/>
  <c r="O310" i="5"/>
  <c r="S310" i="5" s="1"/>
  <c r="O246" i="5"/>
  <c r="O182" i="5"/>
  <c r="O118" i="5"/>
  <c r="S118" i="5" s="1"/>
  <c r="O54" i="5"/>
  <c r="U54" i="5" s="1"/>
  <c r="O171" i="5"/>
  <c r="S171" i="5" s="1"/>
  <c r="O43" i="5"/>
  <c r="T43" i="5" s="1"/>
  <c r="O254" i="5"/>
  <c r="S254" i="5" s="1"/>
  <c r="O142" i="5"/>
  <c r="U142" i="5" s="1"/>
  <c r="O14" i="5"/>
  <c r="T14" i="5" s="1"/>
  <c r="O103" i="5"/>
  <c r="S103" i="5" s="1"/>
  <c r="O314" i="5"/>
  <c r="U314" i="5" s="1"/>
  <c r="O186" i="5"/>
  <c r="U186" i="5" s="1"/>
  <c r="O58" i="5"/>
  <c r="U58" i="5" s="1"/>
  <c r="O191" i="5"/>
  <c r="U191" i="5" s="1"/>
  <c r="O127" i="5"/>
  <c r="O63" i="5"/>
  <c r="S63" i="5" s="1"/>
  <c r="O338" i="5"/>
  <c r="S338" i="5" s="1"/>
  <c r="O274" i="5"/>
  <c r="T274" i="5" s="1"/>
  <c r="O210" i="5"/>
  <c r="O146" i="5"/>
  <c r="S146" i="5" s="1"/>
  <c r="O82" i="5"/>
  <c r="S82" i="5" s="1"/>
  <c r="O18" i="5"/>
  <c r="U18" i="5" s="1"/>
  <c r="O123" i="5"/>
  <c r="O334" i="5"/>
  <c r="T334" i="5" s="1"/>
  <c r="O378" i="5"/>
  <c r="T378" i="5" s="1"/>
  <c r="O341" i="5"/>
  <c r="O176" i="5"/>
  <c r="O552" i="5"/>
  <c r="O526" i="5"/>
  <c r="O579" i="5"/>
  <c r="O363" i="5"/>
  <c r="O612" i="5"/>
  <c r="O275" i="5"/>
  <c r="T275" i="5" s="1"/>
  <c r="O464" i="5"/>
  <c r="O29" i="5"/>
  <c r="O505" i="5"/>
  <c r="O240" i="5"/>
  <c r="U240" i="5" s="1"/>
  <c r="O576" i="5"/>
  <c r="O83" i="5"/>
  <c r="O166" i="5"/>
  <c r="U166" i="5" s="1"/>
  <c r="O203" i="5"/>
  <c r="O286" i="5"/>
  <c r="O46" i="5"/>
  <c r="O346" i="5"/>
  <c r="U346" i="5" s="1"/>
  <c r="O90" i="5"/>
  <c r="O143" i="5"/>
  <c r="U143" i="5" s="1"/>
  <c r="O15" i="5"/>
  <c r="O226" i="5"/>
  <c r="T226" i="5" s="1"/>
  <c r="O98" i="5"/>
  <c r="T98" i="5" s="1"/>
  <c r="O155" i="5"/>
  <c r="O270" i="5"/>
  <c r="O126" i="5"/>
  <c r="S126" i="5" s="1"/>
  <c r="O215" i="5"/>
  <c r="O87" i="5"/>
  <c r="S87" i="5" s="1"/>
  <c r="O298" i="5"/>
  <c r="O170" i="5"/>
  <c r="T170" i="5" s="1"/>
  <c r="O42" i="5"/>
  <c r="U42" i="5" s="1"/>
  <c r="O282" i="5"/>
  <c r="S282" i="5" s="1"/>
  <c r="O111" i="5"/>
  <c r="O322" i="5"/>
  <c r="U322" i="5" s="1"/>
  <c r="O66" i="5"/>
  <c r="U66" i="5" s="1"/>
  <c r="O91" i="5"/>
  <c r="S91" i="5" s="1"/>
  <c r="O222" i="5"/>
  <c r="O94" i="5"/>
  <c r="U94" i="5" s="1"/>
  <c r="O55" i="5"/>
  <c r="U55" i="5" s="1"/>
  <c r="O266" i="5"/>
  <c r="S266" i="5" s="1"/>
  <c r="O138" i="5"/>
  <c r="O84" i="5"/>
  <c r="U84" i="5" s="1"/>
  <c r="O442" i="5"/>
  <c r="O428" i="5"/>
  <c r="O307" i="5"/>
  <c r="O231" i="5"/>
  <c r="T231" i="5" s="1"/>
  <c r="O237" i="5"/>
  <c r="T237" i="5" s="1"/>
  <c r="O611" i="5"/>
  <c r="O448" i="5"/>
  <c r="O41" i="5"/>
  <c r="S41" i="5" s="1"/>
  <c r="O332" i="5"/>
  <c r="O510" i="5"/>
  <c r="O221" i="5"/>
  <c r="U221" i="5" s="1"/>
  <c r="O575" i="5"/>
  <c r="O352" i="5"/>
  <c r="S352" i="5" s="1"/>
  <c r="O608" i="5"/>
  <c r="O19" i="5"/>
  <c r="T19" i="5" s="1"/>
  <c r="O102" i="5"/>
  <c r="T102" i="5" s="1"/>
  <c r="O139" i="5"/>
  <c r="O238" i="5"/>
  <c r="O199" i="5"/>
  <c r="O26" i="5"/>
  <c r="T26" i="5" s="1"/>
  <c r="O194" i="5"/>
  <c r="S194" i="5" s="1"/>
  <c r="O183" i="5"/>
  <c r="O225" i="5"/>
  <c r="O571" i="5"/>
  <c r="O573" i="5"/>
  <c r="O253" i="5"/>
  <c r="T253" i="5" s="1"/>
  <c r="O213" i="5"/>
  <c r="O602" i="5"/>
  <c r="O73" i="5"/>
  <c r="T73" i="5" s="1"/>
  <c r="O147" i="5"/>
  <c r="U147" i="5" s="1"/>
  <c r="O38" i="5"/>
  <c r="O110" i="5"/>
  <c r="S110" i="5" s="1"/>
  <c r="O154" i="5"/>
  <c r="S154" i="5" s="1"/>
  <c r="O47" i="5"/>
  <c r="T47" i="5" s="1"/>
  <c r="O130" i="5"/>
  <c r="O302" i="5"/>
  <c r="U302" i="5" s="1"/>
  <c r="O30" i="5"/>
  <c r="T30" i="5" s="1"/>
  <c r="O330" i="5"/>
  <c r="O74" i="5"/>
  <c r="S74" i="5" s="1"/>
  <c r="O212" i="5"/>
  <c r="T212" i="5" s="1"/>
  <c r="O56" i="5"/>
  <c r="S56" i="5" s="1"/>
  <c r="O507" i="5"/>
  <c r="O403" i="5"/>
  <c r="U403" i="5" s="1"/>
  <c r="O431" i="5"/>
  <c r="O436" i="5"/>
  <c r="O96" i="5"/>
  <c r="O522" i="5"/>
  <c r="O128" i="5"/>
  <c r="S128" i="5" s="1"/>
  <c r="O379" i="5"/>
  <c r="U379" i="5" s="1"/>
  <c r="O566" i="5"/>
  <c r="O337" i="5"/>
  <c r="O607" i="5"/>
  <c r="O437" i="5"/>
  <c r="O211" i="5"/>
  <c r="O294" i="5"/>
  <c r="O70" i="5"/>
  <c r="U70" i="5" s="1"/>
  <c r="O75" i="5"/>
  <c r="U75" i="5" s="1"/>
  <c r="O174" i="5"/>
  <c r="T174" i="5" s="1"/>
  <c r="O135" i="5"/>
  <c r="O218" i="5"/>
  <c r="U218" i="5" s="1"/>
  <c r="O207" i="5"/>
  <c r="U207" i="5" s="1"/>
  <c r="O79" i="5"/>
  <c r="T79" i="5" s="1"/>
  <c r="O290" i="5"/>
  <c r="S290" i="5" s="1"/>
  <c r="O162" i="5"/>
  <c r="U162" i="5" s="1"/>
  <c r="O34" i="5"/>
  <c r="T34" i="5" s="1"/>
  <c r="O27" i="5"/>
  <c r="T27" i="5" s="1"/>
  <c r="O190" i="5"/>
  <c r="O62" i="5"/>
  <c r="T62" i="5" s="1"/>
  <c r="O151" i="5"/>
  <c r="U151" i="5" s="1"/>
  <c r="O23" i="5"/>
  <c r="T23" i="5" s="1"/>
  <c r="O234" i="5"/>
  <c r="O106" i="5"/>
  <c r="S106" i="5" s="1"/>
  <c r="O303" i="5"/>
  <c r="U303" i="5" s="1"/>
  <c r="O488" i="5"/>
  <c r="O529" i="5"/>
  <c r="O580" i="5"/>
  <c r="O421" i="5"/>
  <c r="O425" i="5"/>
  <c r="O514" i="5"/>
  <c r="O230" i="5"/>
  <c r="T230" i="5" s="1"/>
  <c r="O11" i="5"/>
  <c r="U11" i="5" s="1"/>
  <c r="O71" i="5"/>
  <c r="O175" i="5"/>
  <c r="O258" i="5"/>
  <c r="T258" i="5" s="1"/>
  <c r="O219" i="5"/>
  <c r="T219" i="5" s="1"/>
  <c r="O158" i="5"/>
  <c r="S158" i="5" s="1"/>
  <c r="O119" i="5"/>
  <c r="O202" i="5"/>
  <c r="U202" i="5" s="1"/>
  <c r="U115" i="5"/>
  <c r="K17" i="5" l="1"/>
  <c r="K20" i="5"/>
  <c r="K19" i="5"/>
  <c r="K15" i="5"/>
  <c r="S350" i="5"/>
  <c r="K13" i="5"/>
  <c r="U200" i="5"/>
  <c r="S408" i="5"/>
  <c r="T156" i="5"/>
  <c r="K14" i="5"/>
  <c r="T365" i="5"/>
  <c r="T227" i="5"/>
  <c r="S186" i="5"/>
  <c r="U28" i="5"/>
  <c r="S101" i="5"/>
  <c r="S39" i="5"/>
  <c r="T152" i="5"/>
  <c r="S262" i="5"/>
  <c r="T126" i="5"/>
  <c r="U356" i="5"/>
  <c r="S386" i="5"/>
  <c r="U353" i="5"/>
  <c r="S257" i="5"/>
  <c r="U81" i="5"/>
  <c r="T28" i="5"/>
  <c r="S76" i="5"/>
  <c r="T350" i="5"/>
  <c r="S381" i="5"/>
  <c r="T150" i="5"/>
  <c r="T202" i="5"/>
  <c r="S334" i="5"/>
  <c r="U257" i="5"/>
  <c r="S45" i="5"/>
  <c r="U170" i="5"/>
  <c r="S156" i="5"/>
  <c r="S67" i="5"/>
  <c r="T241" i="5"/>
  <c r="U231" i="5"/>
  <c r="U265" i="5"/>
  <c r="S209" i="5"/>
  <c r="T291" i="5"/>
  <c r="T77" i="5"/>
  <c r="U93" i="5"/>
  <c r="U25" i="5"/>
  <c r="T333" i="5"/>
  <c r="S346" i="5"/>
  <c r="T197" i="5"/>
  <c r="S383" i="5"/>
  <c r="S141" i="5"/>
  <c r="T368" i="5"/>
  <c r="U226" i="5"/>
  <c r="T13" i="5"/>
  <c r="T94" i="5"/>
  <c r="S364" i="5"/>
  <c r="U300" i="5"/>
  <c r="T356" i="5"/>
  <c r="T70" i="5"/>
  <c r="U399" i="5"/>
  <c r="U105" i="5"/>
  <c r="S321" i="5"/>
  <c r="T310" i="5"/>
  <c r="S397" i="5"/>
  <c r="S54" i="5"/>
  <c r="T93" i="5"/>
  <c r="U76" i="5"/>
  <c r="T259" i="5"/>
  <c r="U333" i="5"/>
  <c r="T142" i="5"/>
  <c r="S204" i="5"/>
  <c r="T391" i="5"/>
  <c r="T313" i="5"/>
  <c r="U291" i="5"/>
  <c r="S289" i="5"/>
  <c r="U364" i="5"/>
  <c r="U159" i="5"/>
  <c r="U146" i="5"/>
  <c r="T105" i="5"/>
  <c r="T321" i="5"/>
  <c r="T216" i="5"/>
  <c r="T388" i="5"/>
  <c r="T400" i="5"/>
  <c r="T295" i="5"/>
  <c r="S179" i="5"/>
  <c r="U260" i="5"/>
  <c r="U169" i="5"/>
  <c r="U297" i="5"/>
  <c r="U227" i="5"/>
  <c r="S150" i="5"/>
  <c r="S318" i="5"/>
  <c r="S180" i="5"/>
  <c r="T181" i="5"/>
  <c r="S163" i="5"/>
  <c r="S166" i="5"/>
  <c r="U397" i="5"/>
  <c r="S322" i="5"/>
  <c r="U67" i="5"/>
  <c r="U394" i="5"/>
  <c r="U309" i="5"/>
  <c r="T100" i="5"/>
  <c r="T381" i="5"/>
  <c r="S13" i="5"/>
  <c r="T289" i="5"/>
  <c r="U375" i="5"/>
  <c r="S58" i="5"/>
  <c r="T262" i="5"/>
  <c r="T106" i="5"/>
  <c r="U180" i="5"/>
  <c r="U181" i="5"/>
  <c r="T53" i="5"/>
  <c r="S218" i="5"/>
  <c r="S26" i="5"/>
  <c r="T166" i="5"/>
  <c r="T347" i="5"/>
  <c r="S400" i="5"/>
  <c r="U268" i="5"/>
  <c r="S258" i="5"/>
  <c r="U179" i="5"/>
  <c r="S226" i="5"/>
  <c r="T63" i="5"/>
  <c r="S242" i="5"/>
  <c r="T184" i="5"/>
  <c r="S162" i="5"/>
  <c r="T41" i="5"/>
  <c r="U102" i="5"/>
  <c r="S55" i="5"/>
  <c r="T178" i="5"/>
  <c r="U106" i="5"/>
  <c r="S70" i="5"/>
  <c r="T84" i="5"/>
  <c r="T322" i="5"/>
  <c r="U334" i="5"/>
  <c r="T128" i="5"/>
  <c r="U110" i="5"/>
  <c r="S368" i="5"/>
  <c r="T309" i="5"/>
  <c r="T144" i="5"/>
  <c r="U63" i="5"/>
  <c r="U212" i="5"/>
  <c r="S42" i="5"/>
  <c r="S102" i="5"/>
  <c r="T58" i="5"/>
  <c r="U120" i="5"/>
  <c r="T399" i="5"/>
  <c r="U230" i="5"/>
  <c r="T151" i="5"/>
  <c r="U128" i="5"/>
  <c r="T110" i="5"/>
  <c r="T323" i="5"/>
  <c r="S115" i="5"/>
  <c r="S10" i="5"/>
  <c r="U69" i="5"/>
  <c r="T402" i="5"/>
  <c r="S284" i="5"/>
  <c r="U112" i="5"/>
  <c r="S248" i="5"/>
  <c r="T366" i="5"/>
  <c r="S94" i="5"/>
  <c r="S69" i="5"/>
  <c r="S235" i="5"/>
  <c r="S402" i="5"/>
  <c r="T300" i="5"/>
  <c r="S202" i="5"/>
  <c r="U77" i="5"/>
  <c r="U224" i="5"/>
  <c r="S14" i="5"/>
  <c r="T81" i="5"/>
  <c r="S217" i="5"/>
  <c r="S53" i="5"/>
  <c r="T384" i="5"/>
  <c r="S84" i="5"/>
  <c r="T200" i="5"/>
  <c r="U310" i="5"/>
  <c r="U374" i="5"/>
  <c r="S388" i="5"/>
  <c r="T141" i="5"/>
  <c r="T54" i="5"/>
  <c r="S230" i="5"/>
  <c r="T268" i="5"/>
  <c r="T394" i="5"/>
  <c r="U365" i="5"/>
  <c r="S25" i="5"/>
  <c r="S62" i="5"/>
  <c r="U259" i="5"/>
  <c r="T386" i="5"/>
  <c r="U41" i="5"/>
  <c r="S265" i="5"/>
  <c r="T101" i="5"/>
  <c r="U126" i="5"/>
  <c r="T204" i="5"/>
  <c r="S165" i="5"/>
  <c r="S353" i="5"/>
  <c r="U391" i="5"/>
  <c r="T346" i="5"/>
  <c r="S313" i="5"/>
  <c r="U152" i="5"/>
  <c r="S302" i="5"/>
  <c r="S212" i="5"/>
  <c r="T187" i="5"/>
  <c r="S366" i="5"/>
  <c r="T228" i="5"/>
  <c r="U332" i="5"/>
  <c r="T332" i="5"/>
  <c r="T215" i="5"/>
  <c r="S215" i="5"/>
  <c r="S90" i="5"/>
  <c r="T90" i="5"/>
  <c r="U246" i="5"/>
  <c r="T246" i="5"/>
  <c r="U247" i="5"/>
  <c r="S247" i="5"/>
  <c r="U311" i="5"/>
  <c r="S311" i="5"/>
  <c r="S59" i="5"/>
  <c r="U59" i="5"/>
  <c r="T88" i="5"/>
  <c r="S88" i="5"/>
  <c r="S233" i="5"/>
  <c r="T233" i="5"/>
  <c r="S316" i="5"/>
  <c r="U316" i="5"/>
  <c r="P357" i="5"/>
  <c r="U60" i="5"/>
  <c r="S60" i="5"/>
  <c r="S132" i="5"/>
  <c r="U336" i="5"/>
  <c r="T236" i="5"/>
  <c r="U404" i="5"/>
  <c r="U194" i="5"/>
  <c r="T194" i="5"/>
  <c r="U139" i="5"/>
  <c r="T139" i="5"/>
  <c r="S203" i="5"/>
  <c r="U203" i="5"/>
  <c r="S89" i="5"/>
  <c r="T89" i="5"/>
  <c r="S342" i="5"/>
  <c r="T342" i="5"/>
  <c r="U64" i="5"/>
  <c r="T64" i="5"/>
  <c r="S288" i="5"/>
  <c r="U288" i="5"/>
  <c r="T269" i="5"/>
  <c r="S269" i="5"/>
  <c r="S335" i="5"/>
  <c r="U335" i="5"/>
  <c r="U285" i="5"/>
  <c r="S275" i="5"/>
  <c r="S95" i="5"/>
  <c r="U393" i="5"/>
  <c r="T198" i="5"/>
  <c r="T60" i="5"/>
  <c r="U14" i="5"/>
  <c r="T56" i="5"/>
  <c r="T248" i="5"/>
  <c r="U37" i="5"/>
  <c r="T390" i="5"/>
  <c r="U233" i="5"/>
  <c r="T373" i="5"/>
  <c r="U359" i="5"/>
  <c r="T285" i="5"/>
  <c r="U275" i="5"/>
  <c r="S393" i="5"/>
  <c r="S178" i="5"/>
  <c r="T284" i="5"/>
  <c r="U318" i="5"/>
  <c r="U45" i="5"/>
  <c r="T162" i="5"/>
  <c r="T224" i="5"/>
  <c r="T159" i="5"/>
  <c r="T186" i="5"/>
  <c r="S98" i="5"/>
  <c r="T217" i="5"/>
  <c r="T146" i="5"/>
  <c r="S170" i="5"/>
  <c r="U384" i="5"/>
  <c r="U383" i="5"/>
  <c r="T218" i="5"/>
  <c r="S328" i="5"/>
  <c r="U26" i="5"/>
  <c r="U215" i="5"/>
  <c r="U216" i="5"/>
  <c r="T311" i="5"/>
  <c r="S374" i="5"/>
  <c r="U39" i="5"/>
  <c r="T206" i="5"/>
  <c r="S295" i="5"/>
  <c r="T252" i="5"/>
  <c r="S241" i="5"/>
  <c r="U62" i="5"/>
  <c r="U160" i="5"/>
  <c r="S231" i="5"/>
  <c r="S142" i="5"/>
  <c r="U258" i="5"/>
  <c r="S320" i="5"/>
  <c r="T281" i="5"/>
  <c r="T165" i="5"/>
  <c r="T209" i="5"/>
  <c r="S260" i="5"/>
  <c r="U100" i="5"/>
  <c r="S169" i="5"/>
  <c r="T302" i="5"/>
  <c r="S197" i="5"/>
  <c r="S187" i="5"/>
  <c r="S297" i="5"/>
  <c r="T242" i="5"/>
  <c r="S228" i="5"/>
  <c r="T273" i="5"/>
  <c r="U219" i="5"/>
  <c r="S349" i="5"/>
  <c r="S136" i="5"/>
  <c r="S303" i="5"/>
  <c r="S184" i="5"/>
  <c r="U198" i="5"/>
  <c r="U237" i="5"/>
  <c r="S246" i="5"/>
  <c r="S120" i="5"/>
  <c r="T288" i="5"/>
  <c r="U154" i="5"/>
  <c r="U89" i="5"/>
  <c r="T345" i="5"/>
  <c r="T328" i="5"/>
  <c r="T75" i="5"/>
  <c r="T335" i="5"/>
  <c r="T17" i="5"/>
  <c r="U193" i="5"/>
  <c r="T37" i="5"/>
  <c r="T379" i="5"/>
  <c r="T387" i="5"/>
  <c r="S11" i="5"/>
  <c r="U208" i="5"/>
  <c r="T359" i="5"/>
  <c r="T278" i="5"/>
  <c r="U319" i="5"/>
  <c r="S151" i="5"/>
  <c r="U250" i="5"/>
  <c r="T82" i="5"/>
  <c r="U144" i="5"/>
  <c r="S86" i="5"/>
  <c r="T188" i="5"/>
  <c r="S332" i="5"/>
  <c r="U32" i="5"/>
  <c r="T249" i="5"/>
  <c r="T140" i="5"/>
  <c r="U273" i="5"/>
  <c r="S219" i="5"/>
  <c r="T158" i="5"/>
  <c r="T349" i="5"/>
  <c r="T95" i="5"/>
  <c r="T303" i="5"/>
  <c r="T55" i="5"/>
  <c r="U287" i="5"/>
  <c r="P514" i="5"/>
  <c r="U56" i="5"/>
  <c r="T154" i="5"/>
  <c r="U345" i="5"/>
  <c r="T113" i="5"/>
  <c r="S207" i="5"/>
  <c r="U17" i="5"/>
  <c r="U390" i="5"/>
  <c r="S206" i="5"/>
  <c r="U24" i="5"/>
  <c r="S373" i="5"/>
  <c r="S387" i="5"/>
  <c r="T336" i="5"/>
  <c r="T11" i="5"/>
  <c r="T87" i="5"/>
  <c r="U378" i="5"/>
  <c r="S375" i="5"/>
  <c r="U320" i="5"/>
  <c r="U108" i="5"/>
  <c r="T352" i="5"/>
  <c r="S249" i="5"/>
  <c r="S168" i="5"/>
  <c r="T207" i="5"/>
  <c r="T203" i="5"/>
  <c r="U90" i="5"/>
  <c r="S378" i="5"/>
  <c r="S139" i="5"/>
  <c r="S281" i="5"/>
  <c r="U352" i="5"/>
  <c r="U30" i="5"/>
  <c r="U116" i="5"/>
  <c r="S66" i="5"/>
  <c r="U171" i="5"/>
  <c r="S34" i="5"/>
  <c r="P529" i="5"/>
  <c r="P363" i="5"/>
  <c r="P522" i="5"/>
  <c r="P299" i="5"/>
  <c r="P317" i="5"/>
  <c r="P534" i="5"/>
  <c r="P344" i="5"/>
  <c r="P572" i="5"/>
  <c r="T266" i="5"/>
  <c r="T264" i="5"/>
  <c r="U136" i="5"/>
  <c r="P99" i="5"/>
  <c r="S43" i="5"/>
  <c r="U195" i="5"/>
  <c r="P597" i="5"/>
  <c r="P38" i="5"/>
  <c r="P326" i="5"/>
  <c r="P280" i="5"/>
  <c r="P471" i="5"/>
  <c r="P301" i="5"/>
  <c r="P622" i="5"/>
  <c r="P12" i="5"/>
  <c r="P285" i="5"/>
  <c r="T147" i="5"/>
  <c r="U27" i="5"/>
  <c r="T192" i="5"/>
  <c r="S250" i="5"/>
  <c r="U82" i="5"/>
  <c r="S240" i="5"/>
  <c r="S73" i="5"/>
  <c r="T32" i="5"/>
  <c r="T66" i="5"/>
  <c r="U338" i="5"/>
  <c r="T404" i="5"/>
  <c r="T42" i="5"/>
  <c r="T171" i="5"/>
  <c r="U34" i="5"/>
  <c r="P262" i="5"/>
  <c r="P546" i="5"/>
  <c r="P575" i="5"/>
  <c r="P442" i="5"/>
  <c r="P10" i="5"/>
  <c r="P530" i="5"/>
  <c r="P461" i="5"/>
  <c r="P593" i="5"/>
  <c r="P484" i="5"/>
  <c r="P508" i="5"/>
  <c r="P343" i="5"/>
  <c r="P364" i="5"/>
  <c r="P140" i="5"/>
  <c r="P371" i="5"/>
  <c r="P438" i="5"/>
  <c r="S129" i="5"/>
  <c r="U129" i="5"/>
  <c r="P518" i="5"/>
  <c r="P419" i="5"/>
  <c r="P549" i="5"/>
  <c r="S389" i="5"/>
  <c r="U122" i="5"/>
  <c r="P303" i="5"/>
  <c r="U371" i="5"/>
  <c r="U22" i="5"/>
  <c r="P80" i="5"/>
  <c r="T191" i="5"/>
  <c r="T245" i="5"/>
  <c r="P379" i="5"/>
  <c r="P469" i="5"/>
  <c r="P414" i="5"/>
  <c r="P318" i="5"/>
  <c r="U10" i="5"/>
  <c r="T389" i="5"/>
  <c r="U99" i="5"/>
  <c r="T287" i="5"/>
  <c r="T164" i="5"/>
  <c r="S237" i="5"/>
  <c r="S18" i="5"/>
  <c r="U97" i="5"/>
  <c r="S22" i="5"/>
  <c r="U98" i="5"/>
  <c r="U132" i="5"/>
  <c r="U163" i="5"/>
  <c r="S220" i="5"/>
  <c r="S64" i="5"/>
  <c r="U113" i="5"/>
  <c r="S75" i="5"/>
  <c r="T316" i="5"/>
  <c r="T193" i="5"/>
  <c r="U347" i="5"/>
  <c r="S379" i="5"/>
  <c r="T24" i="5"/>
  <c r="U269" i="5"/>
  <c r="U252" i="5"/>
  <c r="S208" i="5"/>
  <c r="T247" i="5"/>
  <c r="S319" i="5"/>
  <c r="S192" i="5"/>
  <c r="T59" i="5"/>
  <c r="T160" i="5"/>
  <c r="S236" i="5"/>
  <c r="U323" i="5"/>
  <c r="S108" i="5"/>
  <c r="T86" i="5"/>
  <c r="T240" i="5"/>
  <c r="U188" i="5"/>
  <c r="U342" i="5"/>
  <c r="U73" i="5"/>
  <c r="S30" i="5"/>
  <c r="T338" i="5"/>
  <c r="T116" i="5"/>
  <c r="U168" i="5"/>
  <c r="T119" i="5"/>
  <c r="S119" i="5"/>
  <c r="U119" i="5"/>
  <c r="P119" i="5"/>
  <c r="T175" i="5"/>
  <c r="U175" i="5"/>
  <c r="P175" i="5"/>
  <c r="S175" i="5"/>
  <c r="T234" i="5"/>
  <c r="S234" i="5"/>
  <c r="U234" i="5"/>
  <c r="P234" i="5"/>
  <c r="T190" i="5"/>
  <c r="P190" i="5"/>
  <c r="S190" i="5"/>
  <c r="U190" i="5"/>
  <c r="U290" i="5"/>
  <c r="P290" i="5"/>
  <c r="T290" i="5"/>
  <c r="S135" i="5"/>
  <c r="P135" i="5"/>
  <c r="U135" i="5"/>
  <c r="T135" i="5"/>
  <c r="U294" i="5"/>
  <c r="S294" i="5"/>
  <c r="P337" i="5"/>
  <c r="S337" i="5"/>
  <c r="U337" i="5"/>
  <c r="T403" i="5"/>
  <c r="S403" i="5"/>
  <c r="U74" i="5"/>
  <c r="P74" i="5"/>
  <c r="T74" i="5"/>
  <c r="U130" i="5"/>
  <c r="P130" i="5"/>
  <c r="S130" i="5"/>
  <c r="T130" i="5"/>
  <c r="P213" i="5"/>
  <c r="U213" i="5"/>
  <c r="T213" i="5"/>
  <c r="S199" i="5"/>
  <c r="P199" i="5"/>
  <c r="T199" i="5"/>
  <c r="U199" i="5"/>
  <c r="U19" i="5"/>
  <c r="P19" i="5"/>
  <c r="S19" i="5"/>
  <c r="P448" i="5"/>
  <c r="T307" i="5"/>
  <c r="P307" i="5"/>
  <c r="U307" i="5"/>
  <c r="S307" i="5"/>
  <c r="S138" i="5"/>
  <c r="T138" i="5"/>
  <c r="P138" i="5"/>
  <c r="U138" i="5"/>
  <c r="T111" i="5"/>
  <c r="S111" i="5"/>
  <c r="U111" i="5"/>
  <c r="T298" i="5"/>
  <c r="S298" i="5"/>
  <c r="U298" i="5"/>
  <c r="U270" i="5"/>
  <c r="S270" i="5"/>
  <c r="P270" i="5"/>
  <c r="T270" i="5"/>
  <c r="T15" i="5"/>
  <c r="U15" i="5"/>
  <c r="S15" i="5"/>
  <c r="P291" i="5"/>
  <c r="P192" i="5"/>
  <c r="P25" i="5"/>
  <c r="P614" i="5"/>
  <c r="P78" i="5"/>
  <c r="P170" i="5"/>
  <c r="P43" i="5"/>
  <c r="P45" i="5"/>
  <c r="P237" i="5"/>
  <c r="P15" i="5"/>
  <c r="P152" i="5"/>
  <c r="P323" i="5"/>
  <c r="P320" i="5"/>
  <c r="P267" i="5"/>
  <c r="P623" i="5"/>
  <c r="P523" i="5"/>
  <c r="P36" i="5"/>
  <c r="P271" i="5"/>
  <c r="P230" i="5"/>
  <c r="P480" i="5"/>
  <c r="P475" i="5"/>
  <c r="P207" i="5"/>
  <c r="P75" i="5"/>
  <c r="P64" i="5"/>
  <c r="P571" i="5"/>
  <c r="P509" i="5"/>
  <c r="P587" i="5"/>
  <c r="P106" i="5"/>
  <c r="P246" i="5"/>
  <c r="P202" i="5"/>
  <c r="T46" i="5"/>
  <c r="S46" i="5"/>
  <c r="U46" i="5"/>
  <c r="P46" i="5"/>
  <c r="U83" i="5"/>
  <c r="T83" i="5"/>
  <c r="S83" i="5"/>
  <c r="T29" i="5"/>
  <c r="U29" i="5"/>
  <c r="P29" i="5"/>
  <c r="S29" i="5"/>
  <c r="U363" i="5"/>
  <c r="S363" i="5"/>
  <c r="T123" i="5"/>
  <c r="S123" i="5"/>
  <c r="U210" i="5"/>
  <c r="T210" i="5"/>
  <c r="S210" i="5"/>
  <c r="P210" i="5"/>
  <c r="U127" i="5"/>
  <c r="P127" i="5"/>
  <c r="T127" i="5"/>
  <c r="S127" i="5"/>
  <c r="T314" i="5"/>
  <c r="P314" i="5"/>
  <c r="T254" i="5"/>
  <c r="P254" i="5"/>
  <c r="U254" i="5"/>
  <c r="T118" i="5"/>
  <c r="P118" i="5"/>
  <c r="U118" i="5"/>
  <c r="P35" i="5"/>
  <c r="T35" i="5"/>
  <c r="S35" i="5"/>
  <c r="U35" i="5"/>
  <c r="P600" i="5"/>
  <c r="S325" i="5"/>
  <c r="P325" i="5"/>
  <c r="T325" i="5"/>
  <c r="P502" i="5"/>
  <c r="T317" i="5"/>
  <c r="U317" i="5"/>
  <c r="P427" i="5"/>
  <c r="S72" i="5"/>
  <c r="P72" i="5"/>
  <c r="U72" i="5"/>
  <c r="S145" i="5"/>
  <c r="U145" i="5"/>
  <c r="U279" i="5"/>
  <c r="T279" i="5"/>
  <c r="S279" i="5"/>
  <c r="P279" i="5"/>
  <c r="S407" i="5"/>
  <c r="U407" i="5"/>
  <c r="P407" i="5"/>
  <c r="T407" i="5"/>
  <c r="P624" i="5"/>
  <c r="P591" i="5"/>
  <c r="T357" i="5"/>
  <c r="U357" i="5"/>
  <c r="S357" i="5"/>
  <c r="P490" i="5"/>
  <c r="P627" i="5"/>
  <c r="U351" i="5"/>
  <c r="T351" i="5"/>
  <c r="P351" i="5"/>
  <c r="S344" i="5"/>
  <c r="U344" i="5"/>
  <c r="T344" i="5"/>
  <c r="T360" i="5"/>
  <c r="P360" i="5"/>
  <c r="U360" i="5"/>
  <c r="U50" i="5"/>
  <c r="P50" i="5"/>
  <c r="S50" i="5"/>
  <c r="T50" i="5"/>
  <c r="S223" i="5"/>
  <c r="P223" i="5"/>
  <c r="S167" i="5"/>
  <c r="T167" i="5"/>
  <c r="P167" i="5"/>
  <c r="U167" i="5"/>
  <c r="S214" i="5"/>
  <c r="P214" i="5"/>
  <c r="U214" i="5"/>
  <c r="T214" i="5"/>
  <c r="S131" i="5"/>
  <c r="U131" i="5"/>
  <c r="P131" i="5"/>
  <c r="T131" i="5"/>
  <c r="T117" i="5"/>
  <c r="U117" i="5"/>
  <c r="P610" i="5"/>
  <c r="P232" i="5"/>
  <c r="U232" i="5"/>
  <c r="S232" i="5"/>
  <c r="T232" i="5"/>
  <c r="P537" i="5"/>
  <c r="P504" i="5"/>
  <c r="T256" i="5"/>
  <c r="S256" i="5"/>
  <c r="P256" i="5"/>
  <c r="U256" i="5"/>
  <c r="T324" i="5"/>
  <c r="P324" i="5"/>
  <c r="U324" i="5"/>
  <c r="U49" i="5"/>
  <c r="S49" i="5"/>
  <c r="T49" i="5"/>
  <c r="P49" i="5"/>
  <c r="P533" i="5"/>
  <c r="U125" i="5"/>
  <c r="T125" i="5"/>
  <c r="S125" i="5"/>
  <c r="P125" i="5"/>
  <c r="P551" i="5"/>
  <c r="P486" i="5"/>
  <c r="U276" i="5"/>
  <c r="T276" i="5"/>
  <c r="S276" i="5"/>
  <c r="P276" i="5"/>
  <c r="P629" i="5"/>
  <c r="P544" i="5"/>
  <c r="P563" i="5"/>
  <c r="P434" i="5"/>
  <c r="T370" i="5"/>
  <c r="P370" i="5"/>
  <c r="S370" i="5"/>
  <c r="U370" i="5"/>
  <c r="P292" i="5"/>
  <c r="S292" i="5"/>
  <c r="U292" i="5"/>
  <c r="T292" i="5"/>
  <c r="U196" i="5"/>
  <c r="S196" i="5"/>
  <c r="T196" i="5"/>
  <c r="S68" i="5"/>
  <c r="T68" i="5"/>
  <c r="P68" i="5"/>
  <c r="P372" i="5"/>
  <c r="S372" i="5"/>
  <c r="U372" i="5"/>
  <c r="T372" i="5"/>
  <c r="P527" i="5"/>
  <c r="P369" i="5"/>
  <c r="T369" i="5"/>
  <c r="U369" i="5"/>
  <c r="S369" i="5"/>
  <c r="T109" i="5"/>
  <c r="U109" i="5"/>
  <c r="P462" i="5"/>
  <c r="U398" i="5"/>
  <c r="T398" i="5"/>
  <c r="S398" i="5"/>
  <c r="P398" i="5"/>
  <c r="S329" i="5"/>
  <c r="T329" i="5"/>
  <c r="U329" i="5"/>
  <c r="P329" i="5"/>
  <c r="S124" i="5"/>
  <c r="U124" i="5"/>
  <c r="P618" i="5"/>
  <c r="S221" i="5"/>
  <c r="P505" i="5"/>
  <c r="P402" i="5"/>
  <c r="P109" i="5"/>
  <c r="P294" i="5"/>
  <c r="P55" i="5"/>
  <c r="U123" i="5"/>
  <c r="P18" i="5"/>
  <c r="U325" i="5"/>
  <c r="S351" i="5"/>
  <c r="P510" i="5"/>
  <c r="P266" i="5"/>
  <c r="P579" i="5"/>
  <c r="P626" i="5"/>
  <c r="P604" i="5"/>
  <c r="P592" i="5"/>
  <c r="P97" i="5"/>
  <c r="P601" i="5"/>
  <c r="P465" i="5"/>
  <c r="P482" i="5"/>
  <c r="P164" i="5"/>
  <c r="P235" i="5"/>
  <c r="P559" i="5"/>
  <c r="P621" i="5"/>
  <c r="P124" i="5"/>
  <c r="P425" i="5"/>
  <c r="S109" i="5"/>
  <c r="T294" i="5"/>
  <c r="P516" i="5"/>
  <c r="P287" i="5"/>
  <c r="P123" i="5"/>
  <c r="P83" i="5"/>
  <c r="P70" i="5"/>
  <c r="P224" i="5"/>
  <c r="P180" i="5"/>
  <c r="P89" i="5"/>
  <c r="P328" i="5"/>
  <c r="T337" i="5"/>
  <c r="P470" i="5"/>
  <c r="P103" i="5"/>
  <c r="P79" i="5"/>
  <c r="P134" i="5"/>
  <c r="P93" i="5"/>
  <c r="P531" i="5"/>
  <c r="P88" i="5"/>
  <c r="P570" i="5"/>
  <c r="S38" i="5"/>
  <c r="T38" i="5"/>
  <c r="T225" i="5"/>
  <c r="P225" i="5"/>
  <c r="U225" i="5"/>
  <c r="S225" i="5"/>
  <c r="T221" i="5"/>
  <c r="P221" i="5"/>
  <c r="S222" i="5"/>
  <c r="T222" i="5"/>
  <c r="U222" i="5"/>
  <c r="P222" i="5"/>
  <c r="S176" i="5"/>
  <c r="T176" i="5"/>
  <c r="P176" i="5"/>
  <c r="U176" i="5"/>
  <c r="P561" i="5"/>
  <c r="S177" i="5"/>
  <c r="T177" i="5"/>
  <c r="P177" i="5"/>
  <c r="P21" i="5"/>
  <c r="S21" i="5"/>
  <c r="T21" i="5"/>
  <c r="U21" i="5"/>
  <c r="P603" i="5"/>
  <c r="P426" i="5"/>
  <c r="P52" i="5"/>
  <c r="U52" i="5"/>
  <c r="T52" i="5"/>
  <c r="S52" i="5"/>
  <c r="U326" i="5"/>
  <c r="S326" i="5"/>
  <c r="T326" i="5"/>
  <c r="P395" i="5"/>
  <c r="S395" i="5"/>
  <c r="T395" i="5"/>
  <c r="U395" i="5"/>
  <c r="U280" i="5"/>
  <c r="S280" i="5"/>
  <c r="T280" i="5"/>
  <c r="U85" i="5"/>
  <c r="T85" i="5"/>
  <c r="P85" i="5"/>
  <c r="S85" i="5"/>
  <c r="P474" i="5"/>
  <c r="S148" i="5"/>
  <c r="U148" i="5"/>
  <c r="P148" i="5"/>
  <c r="T148" i="5"/>
  <c r="U306" i="5"/>
  <c r="S306" i="5"/>
  <c r="T306" i="5"/>
  <c r="P306" i="5"/>
  <c r="U107" i="5"/>
  <c r="P107" i="5"/>
  <c r="T107" i="5"/>
  <c r="P447" i="5"/>
  <c r="P432" i="5"/>
  <c r="P588" i="5"/>
  <c r="S283" i="5"/>
  <c r="T283" i="5"/>
  <c r="P283" i="5"/>
  <c r="P589" i="5"/>
  <c r="U48" i="5"/>
  <c r="S48" i="5"/>
  <c r="T48" i="5"/>
  <c r="P48" i="5"/>
  <c r="P617" i="5"/>
  <c r="S377" i="5"/>
  <c r="U377" i="5"/>
  <c r="T377" i="5"/>
  <c r="P532" i="5"/>
  <c r="U376" i="5"/>
  <c r="P376" i="5"/>
  <c r="S376" i="5"/>
  <c r="U272" i="5"/>
  <c r="P272" i="5"/>
  <c r="S272" i="5"/>
  <c r="T121" i="5"/>
  <c r="S121" i="5"/>
  <c r="U121" i="5"/>
  <c r="P121" i="5"/>
  <c r="P487" i="5"/>
  <c r="S401" i="5"/>
  <c r="P401" i="5"/>
  <c r="T401" i="5"/>
  <c r="U401" i="5"/>
  <c r="S305" i="5"/>
  <c r="P305" i="5"/>
  <c r="U305" i="5"/>
  <c r="T305" i="5"/>
  <c r="T173" i="5"/>
  <c r="S173" i="5"/>
  <c r="P173" i="5"/>
  <c r="U173" i="5"/>
  <c r="P422" i="5"/>
  <c r="P358" i="5"/>
  <c r="T358" i="5"/>
  <c r="U172" i="5"/>
  <c r="S172" i="5"/>
  <c r="T172" i="5"/>
  <c r="P172" i="5"/>
  <c r="U44" i="5"/>
  <c r="P44" i="5"/>
  <c r="T44" i="5"/>
  <c r="P157" i="5"/>
  <c r="S157" i="5"/>
  <c r="T157" i="5"/>
  <c r="P557" i="5"/>
  <c r="P409" i="5"/>
  <c r="S409" i="5"/>
  <c r="U409" i="5"/>
  <c r="S189" i="5"/>
  <c r="T189" i="5"/>
  <c r="P189" i="5"/>
  <c r="P477" i="5"/>
  <c r="P392" i="5"/>
  <c r="T392" i="5"/>
  <c r="S392" i="5"/>
  <c r="U392" i="5"/>
  <c r="T293" i="5"/>
  <c r="P293" i="5"/>
  <c r="S293" i="5"/>
  <c r="U293" i="5"/>
  <c r="U153" i="5"/>
  <c r="S153" i="5"/>
  <c r="T153" i="5"/>
  <c r="P499" i="5"/>
  <c r="P417" i="5"/>
  <c r="U327" i="5"/>
  <c r="P327" i="5"/>
  <c r="T205" i="5"/>
  <c r="U205" i="5"/>
  <c r="P205" i="5"/>
  <c r="P33" i="5"/>
  <c r="U33" i="5"/>
  <c r="T33" i="5"/>
  <c r="S33" i="5"/>
  <c r="P590" i="5"/>
  <c r="T301" i="5"/>
  <c r="U301" i="5"/>
  <c r="P429" i="5"/>
  <c r="U343" i="5"/>
  <c r="S343" i="5"/>
  <c r="T343" i="5"/>
  <c r="S229" i="5"/>
  <c r="P229" i="5"/>
  <c r="U57" i="5"/>
  <c r="T57" i="5"/>
  <c r="P57" i="5"/>
  <c r="S57" i="5"/>
  <c r="P455" i="5"/>
  <c r="S263" i="5"/>
  <c r="P263" i="5"/>
  <c r="U263" i="5"/>
  <c r="T263" i="5"/>
  <c r="P244" i="5"/>
  <c r="U244" i="5"/>
  <c r="S244" i="5"/>
  <c r="P227" i="5"/>
  <c r="U223" i="5"/>
  <c r="S301" i="5"/>
  <c r="T363" i="5"/>
  <c r="P497" i="5"/>
  <c r="P117" i="5"/>
  <c r="P264" i="5"/>
  <c r="P150" i="5"/>
  <c r="P122" i="5"/>
  <c r="P184" i="5"/>
  <c r="U38" i="5"/>
  <c r="S213" i="5"/>
  <c r="P77" i="5"/>
  <c r="P377" i="5"/>
  <c r="P399" i="5"/>
  <c r="P488" i="5"/>
  <c r="P91" i="5"/>
  <c r="P453" i="5"/>
  <c r="P569" i="5"/>
  <c r="P473" i="5"/>
  <c r="P440" i="5"/>
  <c r="P441" i="5"/>
  <c r="P492" i="5"/>
  <c r="P511" i="5"/>
  <c r="P446" i="5"/>
  <c r="S358" i="5"/>
  <c r="P489" i="5"/>
  <c r="P576" i="5"/>
  <c r="P608" i="5"/>
  <c r="P158" i="5"/>
  <c r="S317" i="5"/>
  <c r="P445" i="5"/>
  <c r="P58" i="5"/>
  <c r="P412" i="5"/>
  <c r="P553" i="5"/>
  <c r="P615" i="5"/>
  <c r="U229" i="5"/>
  <c r="P493" i="5"/>
  <c r="T124" i="5"/>
  <c r="P605" i="5"/>
  <c r="P403" i="5"/>
  <c r="P393" i="5"/>
  <c r="P583" i="5"/>
  <c r="S314" i="5"/>
  <c r="P145" i="5"/>
  <c r="S327" i="5"/>
  <c r="U283" i="5"/>
  <c r="P159" i="5"/>
  <c r="P120" i="5"/>
  <c r="P573" i="5"/>
  <c r="P53" i="5"/>
  <c r="S44" i="5"/>
  <c r="P31" i="5"/>
  <c r="P298" i="5"/>
  <c r="P166" i="5"/>
  <c r="P311" i="5"/>
  <c r="U157" i="5"/>
  <c r="P607" i="5"/>
  <c r="T244" i="5"/>
  <c r="P153" i="5"/>
  <c r="P111" i="5"/>
  <c r="S324" i="5"/>
  <c r="U189" i="5"/>
  <c r="T71" i="5"/>
  <c r="S71" i="5"/>
  <c r="U71" i="5"/>
  <c r="U23" i="5"/>
  <c r="P23" i="5"/>
  <c r="S27" i="5"/>
  <c r="P27" i="5"/>
  <c r="U79" i="5"/>
  <c r="S79" i="5"/>
  <c r="U174" i="5"/>
  <c r="P174" i="5"/>
  <c r="P211" i="5"/>
  <c r="T211" i="5"/>
  <c r="S211" i="5"/>
  <c r="U211" i="5"/>
  <c r="P566" i="5"/>
  <c r="T96" i="5"/>
  <c r="U96" i="5"/>
  <c r="P96" i="5"/>
  <c r="S96" i="5"/>
  <c r="P507" i="5"/>
  <c r="T330" i="5"/>
  <c r="U330" i="5"/>
  <c r="S330" i="5"/>
  <c r="S47" i="5"/>
  <c r="U47" i="5"/>
  <c r="S147" i="5"/>
  <c r="P147" i="5"/>
  <c r="S253" i="5"/>
  <c r="P253" i="5"/>
  <c r="T183" i="5"/>
  <c r="P183" i="5"/>
  <c r="S183" i="5"/>
  <c r="T238" i="5"/>
  <c r="U238" i="5"/>
  <c r="P238" i="5"/>
  <c r="S238" i="5"/>
  <c r="P611" i="5"/>
  <c r="P428" i="5"/>
  <c r="T282" i="5"/>
  <c r="P282" i="5"/>
  <c r="P87" i="5"/>
  <c r="U87" i="5"/>
  <c r="U155" i="5"/>
  <c r="P155" i="5"/>
  <c r="T143" i="5"/>
  <c r="S143" i="5"/>
  <c r="U286" i="5"/>
  <c r="T286" i="5"/>
  <c r="P464" i="5"/>
  <c r="T341" i="5"/>
  <c r="U341" i="5"/>
  <c r="P274" i="5"/>
  <c r="U274" i="5"/>
  <c r="P191" i="5"/>
  <c r="S191" i="5"/>
  <c r="T103" i="5"/>
  <c r="U103" i="5"/>
  <c r="U182" i="5"/>
  <c r="P182" i="5"/>
  <c r="P562" i="5"/>
  <c r="T201" i="5"/>
  <c r="U201" i="5"/>
  <c r="T261" i="5"/>
  <c r="P261" i="5"/>
  <c r="T339" i="5"/>
  <c r="P339" i="5"/>
  <c r="P536" i="5"/>
  <c r="T133" i="5"/>
  <c r="S133" i="5"/>
  <c r="P133" i="5"/>
  <c r="U312" i="5"/>
  <c r="S312" i="5"/>
  <c r="P312" i="5"/>
  <c r="S362" i="5"/>
  <c r="U362" i="5"/>
  <c r="T362" i="5"/>
  <c r="S134" i="5"/>
  <c r="T134" i="5"/>
  <c r="S51" i="5"/>
  <c r="T51" i="5"/>
  <c r="P51" i="5"/>
  <c r="T296" i="5"/>
  <c r="S296" i="5"/>
  <c r="U296" i="5"/>
  <c r="P296" i="5"/>
  <c r="P545" i="5"/>
  <c r="P485" i="5"/>
  <c r="S304" i="5"/>
  <c r="U304" i="5"/>
  <c r="P304" i="5"/>
  <c r="T304" i="5"/>
  <c r="P628" i="5"/>
  <c r="U405" i="5"/>
  <c r="P405" i="5"/>
  <c r="P595" i="5"/>
  <c r="U61" i="5"/>
  <c r="S61" i="5"/>
  <c r="P61" i="5"/>
  <c r="T61" i="5"/>
  <c r="S251" i="5"/>
  <c r="T251" i="5"/>
  <c r="T385" i="5"/>
  <c r="P385" i="5"/>
  <c r="T410" i="5"/>
  <c r="S410" i="5"/>
  <c r="P410" i="5"/>
  <c r="P20" i="5"/>
  <c r="U20" i="5"/>
  <c r="T20" i="5"/>
  <c r="S20" i="5"/>
  <c r="S114" i="5"/>
  <c r="P114" i="5"/>
  <c r="U31" i="5"/>
  <c r="S31" i="5"/>
  <c r="S78" i="5"/>
  <c r="U78" i="5"/>
  <c r="P278" i="5"/>
  <c r="U278" i="5"/>
  <c r="T195" i="5"/>
  <c r="P195" i="5"/>
  <c r="P459" i="5"/>
  <c r="S361" i="5"/>
  <c r="P361" i="5"/>
  <c r="P578" i="5"/>
  <c r="S149" i="5"/>
  <c r="U149" i="5"/>
  <c r="P538" i="5"/>
  <c r="S137" i="5"/>
  <c r="U137" i="5"/>
  <c r="P137" i="5"/>
  <c r="P479" i="5"/>
  <c r="P424" i="5"/>
  <c r="S239" i="5"/>
  <c r="T239" i="5"/>
  <c r="P606" i="5"/>
  <c r="P501" i="5"/>
  <c r="S331" i="5"/>
  <c r="P331" i="5"/>
  <c r="S40" i="5"/>
  <c r="P40" i="5"/>
  <c r="U355" i="5"/>
  <c r="P355" i="5"/>
  <c r="T355" i="5"/>
  <c r="S243" i="5"/>
  <c r="T243" i="5"/>
  <c r="S80" i="5"/>
  <c r="T80" i="5"/>
  <c r="P535" i="5"/>
  <c r="P380" i="5"/>
  <c r="S380" i="5"/>
  <c r="T277" i="5"/>
  <c r="S277" i="5"/>
  <c r="U277" i="5"/>
  <c r="P277" i="5"/>
  <c r="T406" i="5"/>
  <c r="S406" i="5"/>
  <c r="U406" i="5"/>
  <c r="P406" i="5"/>
  <c r="T340" i="5"/>
  <c r="P340" i="5"/>
  <c r="U255" i="5"/>
  <c r="P255" i="5"/>
  <c r="T255" i="5"/>
  <c r="P560" i="5"/>
  <c r="P552" i="5"/>
  <c r="P66" i="5"/>
  <c r="P302" i="5"/>
  <c r="P82" i="5"/>
  <c r="P353" i="5"/>
  <c r="P165" i="5"/>
  <c r="P454" i="5"/>
  <c r="P101" i="5"/>
  <c r="P142" i="5"/>
  <c r="P350" i="5"/>
  <c r="P41" i="5"/>
  <c r="P333" i="5"/>
  <c r="P386" i="5"/>
  <c r="P242" i="5"/>
  <c r="P42" i="5"/>
  <c r="P420" i="5"/>
  <c r="P249" i="5"/>
  <c r="P498" i="5"/>
  <c r="P197" i="5"/>
  <c r="P32" i="5"/>
  <c r="P491" i="5"/>
  <c r="P332" i="5"/>
  <c r="P381" i="5"/>
  <c r="P342" i="5"/>
  <c r="P313" i="5"/>
  <c r="P352" i="5"/>
  <c r="P260" i="5"/>
  <c r="P209" i="5"/>
  <c r="P179" i="5"/>
  <c r="P539" i="5"/>
  <c r="P368" i="5"/>
  <c r="P258" i="5"/>
  <c r="P585" i="5"/>
  <c r="P457" i="5"/>
  <c r="P265" i="5"/>
  <c r="P467" i="5"/>
  <c r="P139" i="5"/>
  <c r="P567" i="5"/>
  <c r="P231" i="5"/>
  <c r="P460" i="5"/>
  <c r="P550" i="5"/>
  <c r="P596" i="5"/>
  <c r="P259" i="5"/>
  <c r="P439" i="5"/>
  <c r="P378" i="5"/>
  <c r="P115" i="5"/>
  <c r="P102" i="5"/>
  <c r="P171" i="5"/>
  <c r="P366" i="5"/>
  <c r="P297" i="5"/>
  <c r="P338" i="5"/>
  <c r="P443" i="5"/>
  <c r="P63" i="5"/>
  <c r="P100" i="5"/>
  <c r="P240" i="5"/>
  <c r="P391" i="5"/>
  <c r="P309" i="5"/>
  <c r="P515" i="5"/>
  <c r="P598" i="5"/>
  <c r="P110" i="5"/>
  <c r="P250" i="5"/>
  <c r="P483" i="5"/>
  <c r="P506" i="5"/>
  <c r="P584" i="5"/>
  <c r="P128" i="5"/>
  <c r="P430" i="5"/>
  <c r="P582" i="5"/>
  <c r="P62" i="5"/>
  <c r="P421" i="5"/>
  <c r="P187" i="5"/>
  <c r="P404" i="5"/>
  <c r="P524" i="5"/>
  <c r="P13" i="5"/>
  <c r="P169" i="5"/>
  <c r="P188" i="5"/>
  <c r="P423" i="5"/>
  <c r="P281" i="5"/>
  <c r="P236" i="5"/>
  <c r="P126" i="5"/>
  <c r="P496" i="5"/>
  <c r="P160" i="5"/>
  <c r="P554" i="5"/>
  <c r="P620" i="5"/>
  <c r="P334" i="5"/>
  <c r="P543" i="5"/>
  <c r="P241" i="5"/>
  <c r="P359" i="5"/>
  <c r="P76" i="5"/>
  <c r="P67" i="5"/>
  <c r="P400" i="5"/>
  <c r="P435" i="5"/>
  <c r="P141" i="5"/>
  <c r="P437" i="5"/>
  <c r="P416" i="5"/>
  <c r="P494" i="5"/>
  <c r="P388" i="5"/>
  <c r="P374" i="5"/>
  <c r="P500" i="5"/>
  <c r="P431" i="5"/>
  <c r="P215" i="5"/>
  <c r="P17" i="5"/>
  <c r="P316" i="5"/>
  <c r="P548" i="5"/>
  <c r="P468" i="5"/>
  <c r="P113" i="5"/>
  <c r="P345" i="5"/>
  <c r="P384" i="5"/>
  <c r="P248" i="5"/>
  <c r="P132" i="5"/>
  <c r="P146" i="5"/>
  <c r="P217" i="5"/>
  <c r="P81" i="5"/>
  <c r="P540" i="5"/>
  <c r="P228" i="5"/>
  <c r="P289" i="5"/>
  <c r="P212" i="5"/>
  <c r="P625" i="5"/>
  <c r="P495" i="5"/>
  <c r="P476" i="5"/>
  <c r="P59" i="5"/>
  <c r="P375" i="5"/>
  <c r="P151" i="5"/>
  <c r="P365" i="5"/>
  <c r="P463" i="5"/>
  <c r="P11" i="5"/>
  <c r="P387" i="5"/>
  <c r="P269" i="5"/>
  <c r="P373" i="5"/>
  <c r="P90" i="5"/>
  <c r="P24" i="5"/>
  <c r="P526" i="5"/>
  <c r="P322" i="5"/>
  <c r="P203" i="5"/>
  <c r="P347" i="5"/>
  <c r="P568" i="5"/>
  <c r="P39" i="5"/>
  <c r="P565" i="5"/>
  <c r="P397" i="5"/>
  <c r="P458" i="5"/>
  <c r="P586" i="5"/>
  <c r="P444" i="5"/>
  <c r="P37" i="5"/>
  <c r="P28" i="5"/>
  <c r="P321" i="5"/>
  <c r="P612" i="5"/>
  <c r="P26" i="5"/>
  <c r="P105" i="5"/>
  <c r="P218" i="5"/>
  <c r="P84" i="5"/>
  <c r="P383" i="5"/>
  <c r="P163" i="5"/>
  <c r="P181" i="5"/>
  <c r="P154" i="5"/>
  <c r="P98" i="5"/>
  <c r="P56" i="5"/>
  <c r="P630" i="5"/>
  <c r="P613" i="5"/>
  <c r="P525" i="5"/>
  <c r="U367" i="5"/>
  <c r="S367" i="5"/>
  <c r="T367" i="5"/>
  <c r="P367" i="5"/>
  <c r="T104" i="5"/>
  <c r="S104" i="5"/>
  <c r="P104" i="5"/>
  <c r="U104" i="5"/>
  <c r="P528" i="5"/>
  <c r="P456" i="5"/>
  <c r="T112" i="5"/>
  <c r="P112" i="5"/>
  <c r="P547" i="5"/>
  <c r="P481" i="5"/>
  <c r="T396" i="5"/>
  <c r="U396" i="5"/>
  <c r="S299" i="5"/>
  <c r="U299" i="5"/>
  <c r="S161" i="5"/>
  <c r="P161" i="5"/>
  <c r="P418" i="5"/>
  <c r="S354" i="5"/>
  <c r="T354" i="5"/>
  <c r="P354" i="5"/>
  <c r="U354" i="5"/>
  <c r="T271" i="5"/>
  <c r="U271" i="5"/>
  <c r="S36" i="5"/>
  <c r="U36" i="5"/>
  <c r="U267" i="5"/>
  <c r="T267" i="5"/>
  <c r="S267" i="5"/>
  <c r="P542" i="5"/>
  <c r="P577" i="5"/>
  <c r="U245" i="5"/>
  <c r="P245" i="5"/>
  <c r="P556" i="5"/>
  <c r="P408" i="5"/>
  <c r="U408" i="5"/>
  <c r="T315" i="5"/>
  <c r="U315" i="5"/>
  <c r="P315" i="5"/>
  <c r="T185" i="5"/>
  <c r="S185" i="5"/>
  <c r="U185" i="5"/>
  <c r="S16" i="5"/>
  <c r="P16" i="5"/>
  <c r="T16" i="5"/>
  <c r="P433" i="5"/>
  <c r="P348" i="5"/>
  <c r="T348" i="5"/>
  <c r="S348" i="5"/>
  <c r="U65" i="5"/>
  <c r="P65" i="5"/>
  <c r="S65" i="5"/>
  <c r="T65" i="5"/>
  <c r="S382" i="5"/>
  <c r="T382" i="5"/>
  <c r="P382" i="5"/>
  <c r="S308" i="5"/>
  <c r="P308" i="5"/>
  <c r="U92" i="5"/>
  <c r="P92" i="5"/>
  <c r="T92" i="5"/>
  <c r="P451" i="5"/>
  <c r="P520" i="5"/>
  <c r="P273" i="5"/>
  <c r="P594" i="5"/>
  <c r="U158" i="5"/>
  <c r="P466" i="5"/>
  <c r="P349" i="5"/>
  <c r="P512" i="5"/>
  <c r="T235" i="5"/>
  <c r="U266" i="5"/>
  <c r="U264" i="5"/>
  <c r="P602" i="5"/>
  <c r="P389" i="5"/>
  <c r="P136" i="5"/>
  <c r="P95" i="5"/>
  <c r="U140" i="5"/>
  <c r="S122" i="5"/>
  <c r="S99" i="5"/>
  <c r="P178" i="5"/>
  <c r="P300" i="5"/>
  <c r="P198" i="5"/>
  <c r="U164" i="5"/>
  <c r="P356" i="5"/>
  <c r="P541" i="5"/>
  <c r="T371" i="5"/>
  <c r="T18" i="5"/>
  <c r="P162" i="5"/>
  <c r="S12" i="5"/>
  <c r="U43" i="5"/>
  <c r="P129" i="5"/>
  <c r="P186" i="5"/>
  <c r="T97" i="5"/>
  <c r="P288" i="5"/>
  <c r="P22" i="5"/>
  <c r="P555" i="5"/>
  <c r="P396" i="5"/>
  <c r="U282" i="5"/>
  <c r="P341" i="5"/>
  <c r="S174" i="5"/>
  <c r="P519" i="5"/>
  <c r="T331" i="5"/>
  <c r="P286" i="5"/>
  <c r="T182" i="5"/>
  <c r="P156" i="5"/>
  <c r="P310" i="5"/>
  <c r="P194" i="5"/>
  <c r="P216" i="5"/>
  <c r="P193" i="5"/>
  <c r="T380" i="5"/>
  <c r="P251" i="5"/>
  <c r="T155" i="5"/>
  <c r="P564" i="5"/>
  <c r="P436" i="5"/>
  <c r="U253" i="5"/>
  <c r="T40" i="5"/>
  <c r="U308" i="5"/>
  <c r="P206" i="5"/>
  <c r="P54" i="5"/>
  <c r="P517" i="5"/>
  <c r="S23" i="5"/>
  <c r="U339" i="5"/>
  <c r="T361" i="5"/>
  <c r="S385" i="5"/>
  <c r="U114" i="5"/>
  <c r="P243" i="5"/>
  <c r="P394" i="5"/>
  <c r="P149" i="5"/>
  <c r="T36" i="5"/>
  <c r="P619" i="5"/>
  <c r="S274" i="5"/>
  <c r="P599" i="5"/>
  <c r="P472" i="5"/>
  <c r="P558" i="5"/>
  <c r="P204" i="5"/>
  <c r="P185" i="5"/>
  <c r="P73" i="5"/>
  <c r="U183" i="5"/>
  <c r="U133" i="5"/>
  <c r="P30" i="5"/>
  <c r="U91" i="5"/>
  <c r="T91" i="5"/>
  <c r="U220" i="5"/>
  <c r="P220" i="5"/>
  <c r="P94" i="5"/>
  <c r="P609" i="5"/>
  <c r="P580" i="5"/>
  <c r="P452" i="5"/>
  <c r="P513" i="5"/>
  <c r="P219" i="5"/>
  <c r="P69" i="5"/>
  <c r="P574" i="5"/>
  <c r="P415" i="5"/>
  <c r="P257" i="5"/>
  <c r="P411" i="5"/>
  <c r="P275" i="5"/>
  <c r="P284" i="5"/>
  <c r="P60" i="5"/>
  <c r="T12" i="5"/>
  <c r="P14" i="5"/>
  <c r="S396" i="5"/>
  <c r="S405" i="5"/>
  <c r="S341" i="5"/>
  <c r="P200" i="5"/>
  <c r="S286" i="5"/>
  <c r="P335" i="5"/>
  <c r="S182" i="5"/>
  <c r="P143" i="5"/>
  <c r="U340" i="5"/>
  <c r="P616" i="5"/>
  <c r="U380" i="5"/>
  <c r="P450" i="5"/>
  <c r="S155" i="5"/>
  <c r="P390" i="5"/>
  <c r="P521" i="5"/>
  <c r="P413" i="5"/>
  <c r="S261" i="5"/>
  <c r="P233" i="5"/>
  <c r="S339" i="5"/>
  <c r="P268" i="5"/>
  <c r="U385" i="5"/>
  <c r="T114" i="5"/>
  <c r="P295" i="5"/>
  <c r="U243" i="5"/>
  <c r="T149" i="5"/>
  <c r="P336" i="5"/>
  <c r="P201" i="5"/>
  <c r="P252" i="5"/>
  <c r="T161" i="5"/>
  <c r="P208" i="5"/>
  <c r="P478" i="5"/>
  <c r="P247" i="5"/>
  <c r="P71" i="5"/>
  <c r="P581" i="5"/>
  <c r="P319" i="5"/>
  <c r="S92" i="5"/>
  <c r="S255" i="5"/>
  <c r="P362" i="5"/>
  <c r="P144" i="5"/>
  <c r="P108" i="5"/>
  <c r="P346" i="5"/>
  <c r="P226" i="5"/>
  <c r="P86" i="5"/>
  <c r="P47" i="5"/>
  <c r="P239" i="5"/>
  <c r="P330" i="5"/>
  <c r="P116" i="5"/>
  <c r="T312" i="5"/>
  <c r="P196" i="5"/>
  <c r="P34" i="5"/>
  <c r="P168" i="5"/>
  <c r="P449" i="5"/>
  <c r="P503" i="5"/>
  <c r="K22" i="5" l="1"/>
  <c r="K23" i="5" s="1"/>
  <c r="AC28" i="5" a="1"/>
  <c r="AC28" i="5" s="1"/>
  <c r="S412" i="5"/>
  <c r="X10" i="5" s="1"/>
  <c r="T412" i="5"/>
  <c r="U412" i="5"/>
  <c r="X12" i="5" s="1"/>
  <c r="X11" i="5" l="1"/>
  <c r="X19" i="5" s="1"/>
  <c r="AD28" i="5"/>
  <c r="X20" i="5" l="1"/>
  <c r="X18" i="5"/>
  <c r="X14" i="5"/>
  <c r="X13" i="5"/>
  <c r="X22" i="5" s="1"/>
  <c r="X23" i="5" s="1"/>
  <c r="X15" i="5"/>
  <c r="X17" i="5"/>
  <c r="AC26" i="5" a="1"/>
  <c r="AC27" i="5" s="1"/>
  <c r="AC26" i="5" l="1"/>
  <c r="AD27" i="5"/>
  <c r="AD26" i="5"/>
  <c r="B15" i="3"/>
  <c r="J6" i="3"/>
  <c r="N30" i="3" a="1"/>
  <c r="N37" i="3" s="1"/>
  <c r="K6" i="3"/>
  <c r="N33" i="3" l="1"/>
  <c r="N34" i="3"/>
  <c r="N35" i="3"/>
  <c r="N31" i="3"/>
  <c r="N32" i="3"/>
  <c r="N39" i="3"/>
  <c r="N36" i="3"/>
  <c r="N38" i="3"/>
  <c r="N30" i="3"/>
  <c r="K5" i="3"/>
  <c r="B5" i="3"/>
  <c r="G5" i="3"/>
  <c r="I5" i="3"/>
  <c r="F5" i="3"/>
  <c r="C5" i="3"/>
  <c r="E5" i="3"/>
  <c r="J5" i="3"/>
  <c r="H5" i="3"/>
  <c r="D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Frank Krumbein</author>
  </authors>
  <commentList>
    <comment ref="G20" authorId="0" shapeId="0" xr:uid="{00000000-0006-0000-0400-000001000000}">
      <text>
        <r>
          <rPr>
            <sz val="9"/>
            <color indexed="81"/>
            <rFont val="Tahoma"/>
            <family val="2"/>
          </rPr>
          <t>Switch on/off here the NIR correction by using 'on' or 'off'</t>
        </r>
      </text>
    </comment>
  </commentList>
</comments>
</file>

<file path=xl/sharedStrings.xml><?xml version="1.0" encoding="utf-8"?>
<sst xmlns="http://schemas.openxmlformats.org/spreadsheetml/2006/main" count="169" uniqueCount="151">
  <si>
    <t>Clear</t>
  </si>
  <si>
    <t>F1</t>
  </si>
  <si>
    <t>F2</t>
  </si>
  <si>
    <t>F3</t>
  </si>
  <si>
    <t>F4</t>
  </si>
  <si>
    <t>F5</t>
  </si>
  <si>
    <t>F6</t>
  </si>
  <si>
    <t>F7</t>
  </si>
  <si>
    <t>F8</t>
  </si>
  <si>
    <t>NIR</t>
  </si>
  <si>
    <t>CCT</t>
  </si>
  <si>
    <t>v' sensor greather than &gt;</t>
  </si>
  <si>
    <t>u' sensor greather than &gt;</t>
  </si>
  <si>
    <t>u' smaller than &lt;</t>
  </si>
  <si>
    <t>distance du'v' spec and sensor &lt;</t>
  </si>
  <si>
    <t>v'</t>
  </si>
  <si>
    <t>u'</t>
  </si>
  <si>
    <t>ZN</t>
  </si>
  <si>
    <t>YN</t>
  </si>
  <si>
    <t>XN</t>
  </si>
  <si>
    <t>WV</t>
  </si>
  <si>
    <t>CIE1931</t>
  </si>
  <si>
    <t>CCT Reference Table</t>
  </si>
  <si>
    <t>X</t>
  </si>
  <si>
    <t>Y</t>
  </si>
  <si>
    <t>Z</t>
  </si>
  <si>
    <t>Sum</t>
  </si>
  <si>
    <t>x</t>
  </si>
  <si>
    <t>y</t>
  </si>
  <si>
    <t>z</t>
  </si>
  <si>
    <t>lx</t>
  </si>
  <si>
    <t>Calc lx from Y CIE1931</t>
  </si>
  <si>
    <t xml:space="preserve">Corr lx </t>
  </si>
  <si>
    <t>Comments:</t>
  </si>
  <si>
    <t>K</t>
  </si>
  <si>
    <t>Results based on Spectral Calibration</t>
  </si>
  <si>
    <t>Results based on XYZ Calibration</t>
  </si>
  <si>
    <t>CCTmin</t>
  </si>
  <si>
    <t>CCT max</t>
  </si>
  <si>
    <t>v' smaller than  &lt;</t>
  </si>
  <si>
    <t>AS7341 Channel</t>
  </si>
  <si>
    <t>CIE1931 based on Golden Unit Spectral Calibration Matrix</t>
  </si>
  <si>
    <t>CIE1931 based on Golden Unit 
XYZ Calibration Matrix</t>
  </si>
  <si>
    <t>Reconstructed Sensor Spec</t>
  </si>
  <si>
    <t>Intermediate Calculations</t>
  </si>
  <si>
    <t>Channel Wavelength (WV)</t>
  </si>
  <si>
    <t>in C8 … C17 insert Sensor Results - Basis or Corrected Counts</t>
  </si>
  <si>
    <t>(NOTE: Column F is only for diagram)</t>
  </si>
  <si>
    <t>(column N is only for diagram)</t>
  </si>
  <si>
    <t>columns H…J is to calculate and show the CIE1931 results based on XYZ calibration</t>
  </si>
  <si>
    <t>columns U…W is to calculate and show the CIE1931 results Using Spectral Calibration</t>
  </si>
  <si>
    <t>Reconstructed Sensor Spec Normalized</t>
  </si>
  <si>
    <t>cells M8 …, calculate/show the calibration/correction of the sensor results into the reconstucted spectra between 380nm … 1100nm basd on the calibration matrix from sheet calibration matrix</t>
  </si>
  <si>
    <t>Corr Sensor Factor</t>
  </si>
  <si>
    <t xml:space="preserve">Special XYZ Calibration Matrix for  Golden Device ("Created" Reference Device from gathered production-device data) - Based on Full, Production-Wide Device-Characteristic Dataset (not a per-device, so gives good, but not perfect results - Supports production without per-unit calibration) </t>
  </si>
  <si>
    <t>Lx</t>
  </si>
  <si>
    <t>Reference values</t>
  </si>
  <si>
    <t xml:space="preserve">Sensor values </t>
  </si>
  <si>
    <t>Basics - ADC BasicCounts, Offset and Scaling, Normalization</t>
  </si>
  <si>
    <t>Photometric Results after XYZ Calibration</t>
  </si>
  <si>
    <t>Reconstructed Spectrum plus CIE1931 mapping plus Photometric Results</t>
  </si>
  <si>
    <t>User Measured Data plus corrections</t>
  </si>
  <si>
    <t>Basic Counts from protocol file</t>
  </si>
  <si>
    <t>Offset, measured with sensor</t>
  </si>
  <si>
    <t>Version</t>
  </si>
  <si>
    <t>Disclaimer - ams AG</t>
  </si>
  <si>
    <t xml:space="preserve">Published </t>
  </si>
  <si>
    <t>Correction vector per Channel</t>
  </si>
  <si>
    <t>Offset Compensation per Channel</t>
  </si>
  <si>
    <t>XYZ Correction Matrix per Channel</t>
  </si>
  <si>
    <t>Sλ_scaling</t>
  </si>
  <si>
    <t>Sλ_ratio_NIR</t>
  </si>
  <si>
    <t>D_w</t>
  </si>
  <si>
    <t>D_F_NIR</t>
  </si>
  <si>
    <t>NIR_weight</t>
  </si>
  <si>
    <t>NIR Correction</t>
  </si>
  <si>
    <t>Basic counts from Sensor</t>
  </si>
  <si>
    <t>Basic counts scaled to Sλ_scaling</t>
  </si>
  <si>
    <t>Ratio sum of sensitivities Fn and Fclear in NIR</t>
  </si>
  <si>
    <t>Calculated Correction vector</t>
  </si>
  <si>
    <t xml:space="preserve">Ratio Nir/Clear </t>
  </si>
  <si>
    <t xml:space="preserve">The ratio Clear in VIS and NIR is used to approximate a scaled portion for the filters in NIR to prepare the NIR in the filters for correction. </t>
  </si>
  <si>
    <t>NIR correction</t>
  </si>
  <si>
    <t>Matching Spectrum into XYZ</t>
  </si>
  <si>
    <t>Spectral Reconstruction based on Channel data's</t>
  </si>
  <si>
    <r>
      <t xml:space="preserve">Measured Sensor's Channel Data's                         </t>
    </r>
    <r>
      <rPr>
        <b/>
        <sz val="11"/>
        <color rgb="FFFF0000"/>
        <rFont val="Calibri"/>
        <family val="2"/>
        <scheme val="minor"/>
      </rPr>
      <t xml:space="preserve"> switch on/off NIR correction ---v</t>
    </r>
  </si>
  <si>
    <t>Corrected Sensor Data's</t>
  </si>
  <si>
    <t>Correction will be done if Clear &gt; NIR</t>
  </si>
  <si>
    <t>Basic_counts from Test</t>
  </si>
  <si>
    <t>^^^^^^^^^^^^^^^^^^^^^^^^^^^^^^^^^^^^^^^^^^^^^^^^^^^^^^^^^^^^^^^^^^^^^^^^^^^^^^^^^^^^^^^^^^</t>
  </si>
  <si>
    <t>Selected TINT</t>
  </si>
  <si>
    <t>Selected Gain</t>
  </si>
  <si>
    <t>Raw_counts from Test</t>
  </si>
  <si>
    <t>Gain Correction</t>
  </si>
  <si>
    <t>Basic Counts Gain Corrected</t>
  </si>
  <si>
    <t>Offset</t>
  </si>
  <si>
    <t>***</t>
  </si>
  <si>
    <t>*** for 2° observer and illuminant C</t>
  </si>
  <si>
    <t>by using Tint and Gain</t>
  </si>
  <si>
    <t>IMPORTANT - PLEASE READ CAREFULLY BEFORE COPYING, INSTALLING, OR USING THE SOFTWARE.
THIS SOFTWARE IS PROVIDED BY THE COPYRIGHT HOLDERS (ams AG – all rights reserved) AND CONTRIBUTORS "AS IS" AND ANY EXPRESS OR IMPLIED WARRANTIES, INCLUDING, BUT NOT LIMITED TO, THE IMPLIED WARRANTIES OF MERCHANTABILITY AND FITNESS FOR A PARTICULAR PURPOSE ARE DISCLAIMED. IN NO EVENT SHALL THE COPYRIGHT OWNER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</si>
  <si>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In spectral reconstruction, the calibration matrix CM for light detection is a spectral matrix with a step size of 1nm within the wavelength, 400nm to 1000nm. Afterward, the calibration also yields a reconstructed spectrum in the given wavelength, which can be used for an XYZ calculation by multiplying the reconstructed spectrum and the CIE1931 standard observer function XYZ.
• If XYZ calibration is used, the target must be a reference between the sensor ADCs and the reference values, measured with a spectrometer. The results after calibration are direct XYZ values for the actual measurement.
• The calibration matrices for both variants were created with a ‘Golden Device’ (GD) sensor selected with a typical sensitivity. The sensor was stimulated with typical light sources and referenced with the spectrometer results to the calibration matrices, representing device-to-type calibrations. 
• Since all sensors have more or fewer deviations from this GD, all sensors must be adapted or scaled to a GD. A scaling to daylight or another homogeneous light spectrum can do this. 
• The final results of the calibration for light detection are XYZ photometric values that can be used to calculate Lu'v', CCT, and Lux. The use of spectral calibration also allows typical calculations based on spectral values such as CRI or advanced functions (e.g. light source detection).
• The sheets in this Excel file show a calibration procedure based on the algorithms: ‘spectral calibration’ and ‘XYZ calibration’. The excel sheets explain all the steps for both algorithms - from spectral ADC calculated BasicCounts, corrections, calibration, and XYZ calculations, to get the photometric results. All formulas can be checked over the full algorithm systematically or can be used to benchmark their software. </t>
  </si>
  <si>
    <t>• The sheet 'Demonstration Calculation' shows the Sensor data from the ADC as BasicCounts, before/after corrections, and lists all correction values that can be used directly in AS7341 EVK GUI’s ALS initialization and calibration files. For more details, see the manual for AS7341 EVK. It presents the process from ‘reconstructed spectrum’ to ‘photometric results’, XYZ direct calibration, and contains the photometric result for both methods. 
• The reason for the small differences between both photometric results are the different algorithms and calibration matrices, despite identical Sensor and reference targets in the calibration process. 
• Regardless of the small differences, both algorithms differ not only in the algorithms but also in the effort required to correct them. Depending on which filters are included in the calibration, the XYZ matrix for direct calibration has a dimension of [3x8 up to 11]. The spectral reconstruction requires a matrix dimension of [400x8 up to 11]. 
• Since the matrices have to be stored and calculated in the microcontroller, this should be taken into account when selecting the method. On the other side, spectral reconstruction also offers greater flexibility and contains more information. Spectral results such as CRI and spectral comparisons of light sources and perturbations can be calculated via the spectrum, which is not possible via color coordinates. Thus, each application has to be adjusted and optimized regarding its necessary functions, accuracies, and effort in the calibration.
• In this new version (marked with 'NIR' at the end of the file name) an algorithm for NIR correction has been implemented to reduce the effects of residual transmission in the NIR of F1....F8.</t>
  </si>
  <si>
    <t>General Spectral Correction Matrix for Golden Device ("Created" Reference Device from gathered production-device data) - Based on Full, Production-Wide Device-Characteristic Dataset (not per-device, so gives good, but not perfect results - Supports production without per-unit calibration)</t>
  </si>
  <si>
    <t>Copy the Counts from the Original Protocol File or from the GUI into the cells above</t>
  </si>
  <si>
    <t>This sheet includes standard values that are necesarry for CIE1931 calculation to get phometric results in the sheet 'Calculations'. Do no change any details here.</t>
  </si>
  <si>
    <t>This sheet includes sensor specific values like the calibration matrices for spectral calibration (blue), XYZ caibration (green), offset (orange), scaling (grey), NIR correction.</t>
  </si>
  <si>
    <t xml:space="preserve">General Spectral Correction Matrix per Channel - Step size 1nm </t>
  </si>
  <si>
    <t>With an offset , the basic counts will be reduced, Offset can be DARK CURRENTS or other constant values that will affect the measurements permantly,</t>
  </si>
  <si>
    <t>If a balancing can increase the accuracy then the basic counts must be corrected by multiplying a correction vector (e,g, white balancing … see app note 'Spectral Balance and Calibration for AS7341 EVK'), copy the reference values into target values and the sensor values into the eponymous field,</t>
  </si>
  <si>
    <t>Reconstruction creates some issues for light spectra with huge NIR parts (e.g. filament lamp). In these cases, the NIR crosstalk of the channels F1 … F8 will be badly interpreted by the matrix algorithm, and the colorimetric calculations get colder than warm white. By knowing the spectra of NIR crosstalk of each sensor channel F1 … F8 (typical constant because of filter design), it is possible to partly estimate the NIR part in the sensor signals (prepare NIR correction in matrix operation). From this, an estimated compensation (weighting of the signals) is possible to support the calibration matrix.</t>
  </si>
  <si>
    <t>Negative/Reference conditions for calculating CCT 
(from 2856 to 6500K)</t>
  </si>
  <si>
    <r>
      <t xml:space="preserve">Channel Data is data taken from the AS7341, the Offset and Corr Factor are for application-specific corrections and based on the data specified in the sheet 'used correction Values'. Ask our Application Team for the required data. 
'Corr Sensor Offset' can be used to correct statical effects like overcrossing or dark.  'Corr Sensor Factor' is a multiplier/scaler (whole or fractional) which is based on, and specific to, the Opto-mechanical solution for a product design - accounting for the impact of Cover Glass, Inking, and other factors on light reaching the sensor at each key wavelength across the operational spectrum of the AS7341 (here used for formal NIR correction). 
</t>
    </r>
    <r>
      <rPr>
        <i/>
        <sz val="11"/>
        <color rgb="FFFF0000"/>
        <rFont val="Calibri"/>
        <family val="2"/>
        <scheme val="minor"/>
      </rPr>
      <t>Action: Copy the 'Basic Counts'  of measurement into the Cells [C10:C19]. The calibrated results are shown in the right part of the sheet.</t>
    </r>
  </si>
  <si>
    <r>
      <t xml:space="preserve">Simplest Calculation Method:
This table is based on the (small) </t>
    </r>
    <r>
      <rPr>
        <b/>
        <i/>
        <sz val="11"/>
        <color theme="1"/>
        <rFont val="Calibri"/>
        <family val="2"/>
        <scheme val="minor"/>
      </rPr>
      <t>XYZ Calibration Matrix</t>
    </r>
    <r>
      <rPr>
        <i/>
        <sz val="11"/>
        <color theme="1"/>
        <rFont val="Calibri"/>
        <family val="2"/>
        <scheme val="minor"/>
      </rPr>
      <t xml:space="preserve"> in the "Correction Values" Sheet, data from the "Standards" Sheet tables, and </t>
    </r>
    <r>
      <rPr>
        <b/>
        <i/>
        <sz val="11"/>
        <color theme="1"/>
        <rFont val="Calibri"/>
        <family val="2"/>
        <scheme val="minor"/>
      </rPr>
      <t>Sensor Data (Corr)</t>
    </r>
    <r>
      <rPr>
        <i/>
        <sz val="11"/>
        <color theme="1"/>
        <rFont val="Calibri"/>
        <family val="2"/>
        <scheme val="minor"/>
      </rPr>
      <t xml:space="preserve"> Channel Data - Ref Column E on this page.</t>
    </r>
  </si>
  <si>
    <r>
      <t xml:space="preserve">This uses the (large) </t>
    </r>
    <r>
      <rPr>
        <b/>
        <i/>
        <sz val="11"/>
        <color theme="1"/>
        <rFont val="Calibri"/>
        <family val="2"/>
        <scheme val="minor"/>
      </rPr>
      <t xml:space="preserve">Spectral Corrrection Matrix </t>
    </r>
    <r>
      <rPr>
        <i/>
        <sz val="11"/>
        <color theme="1"/>
        <rFont val="Calibri"/>
        <family val="2"/>
        <scheme val="minor"/>
      </rPr>
      <t xml:space="preserve">in the "Calibration Matrix" Sheet and </t>
    </r>
    <r>
      <rPr>
        <b/>
        <i/>
        <sz val="11"/>
        <color theme="1"/>
        <rFont val="Calibri"/>
        <family val="2"/>
        <scheme val="minor"/>
      </rPr>
      <t>Sensor Data (Corr)</t>
    </r>
    <r>
      <rPr>
        <i/>
        <sz val="11"/>
        <color theme="1"/>
        <rFont val="Calibri"/>
        <family val="2"/>
        <scheme val="minor"/>
      </rPr>
      <t xml:space="preserve"> Channel Data on this page to reconstruct the full Spectral Characteristic of the Light Source, from the 10 channels of AS7341 data - Ref Column E on this page.</t>
    </r>
  </si>
  <si>
    <r>
      <t xml:space="preserve">This uses the (large) </t>
    </r>
    <r>
      <rPr>
        <b/>
        <i/>
        <sz val="11"/>
        <color theme="1"/>
        <rFont val="Calibri"/>
        <family val="2"/>
        <scheme val="minor"/>
      </rPr>
      <t xml:space="preserve">Spectral Calibration Matrix </t>
    </r>
    <r>
      <rPr>
        <i/>
        <sz val="11"/>
        <color theme="1"/>
        <rFont val="Calibri"/>
        <family val="2"/>
        <scheme val="minor"/>
      </rPr>
      <t>in the "</t>
    </r>
    <r>
      <rPr>
        <i/>
        <u/>
        <sz val="11"/>
        <color theme="1"/>
        <rFont val="Calibri"/>
        <family val="2"/>
        <scheme val="minor"/>
      </rPr>
      <t>Correction Values</t>
    </r>
    <r>
      <rPr>
        <i/>
        <sz val="11"/>
        <color theme="1"/>
        <rFont val="Calibri"/>
        <family val="2"/>
        <scheme val="minor"/>
      </rPr>
      <t>" Sheet, data from the "</t>
    </r>
    <r>
      <rPr>
        <i/>
        <u/>
        <sz val="11"/>
        <color theme="1"/>
        <rFont val="Calibri"/>
        <family val="2"/>
        <scheme val="minor"/>
      </rPr>
      <t>Standards Values</t>
    </r>
    <r>
      <rPr>
        <i/>
        <sz val="11"/>
        <color theme="1"/>
        <rFont val="Calibri"/>
        <family val="2"/>
        <scheme val="minor"/>
      </rPr>
      <t xml:space="preserve">" Sheet tables and, the calculated </t>
    </r>
    <r>
      <rPr>
        <b/>
        <i/>
        <sz val="11"/>
        <color theme="1"/>
        <rFont val="Calibri"/>
        <family val="2"/>
        <scheme val="minor"/>
      </rPr>
      <t>Spectral Reconstruction Data</t>
    </r>
    <r>
      <rPr>
        <i/>
        <sz val="11"/>
        <color theme="1"/>
        <rFont val="Calibri"/>
        <family val="2"/>
        <scheme val="minor"/>
      </rPr>
      <t xml:space="preserve"> on this page to get higher-accuracy of XYZ values.</t>
    </r>
  </si>
  <si>
    <r>
      <t xml:space="preserve">More Complex, Most accurate Calculation Method: 
This uses the full </t>
    </r>
    <r>
      <rPr>
        <b/>
        <i/>
        <sz val="11"/>
        <color theme="1"/>
        <rFont val="Calibri"/>
        <family val="2"/>
        <scheme val="minor"/>
      </rPr>
      <t xml:space="preserve">Spectral Reconstruction </t>
    </r>
    <r>
      <rPr>
        <i/>
        <sz val="11"/>
        <color theme="1"/>
        <rFont val="Calibri"/>
        <family val="2"/>
        <scheme val="minor"/>
      </rPr>
      <t xml:space="preserve">dataset and the </t>
    </r>
    <r>
      <rPr>
        <b/>
        <i/>
        <sz val="11"/>
        <color theme="1"/>
        <rFont val="Calibri"/>
        <family val="2"/>
        <scheme val="minor"/>
      </rPr>
      <t xml:space="preserve">Calculated XYZ </t>
    </r>
    <r>
      <rPr>
        <i/>
        <sz val="11"/>
        <color theme="1"/>
        <rFont val="Calibri"/>
        <family val="2"/>
        <scheme val="minor"/>
      </rPr>
      <t xml:space="preserve">data from this page, and the (large) </t>
    </r>
    <r>
      <rPr>
        <b/>
        <i/>
        <sz val="11"/>
        <color theme="1"/>
        <rFont val="Calibri"/>
        <family val="2"/>
        <scheme val="minor"/>
      </rPr>
      <t xml:space="preserve">Spectral Calibration Matrix </t>
    </r>
    <r>
      <rPr>
        <i/>
        <sz val="11"/>
        <color theme="1"/>
        <rFont val="Calibri"/>
        <family val="2"/>
        <scheme val="minor"/>
      </rPr>
      <t xml:space="preserve">in the "Correction Values" Sheet to optimize accuracy. </t>
    </r>
  </si>
  <si>
    <t>in D8… D17 insert Correction values in case the sensor must balanced (e,g, Normalized to Golden Device).</t>
  </si>
  <si>
    <t>cells E7 … E16 show the results of (in this sheet) the corrected sensor results which will be used for calibration.</t>
  </si>
  <si>
    <t>columns P… S calculate the XYZ overlapping/sum between reconstructed spectra and CIE1931 observer function (see sheet standards).</t>
  </si>
  <si>
    <r>
      <t xml:space="preserve">The sheet </t>
    </r>
    <r>
      <rPr>
        <u/>
        <sz val="11"/>
        <color theme="1"/>
        <rFont val="Calibri"/>
        <family val="2"/>
        <scheme val="minor"/>
      </rPr>
      <t>Calibration Matrix</t>
    </r>
    <r>
      <rPr>
        <sz val="11"/>
        <color theme="1"/>
        <rFont val="Calibri"/>
        <family val="2"/>
        <scheme val="minor"/>
      </rPr>
      <t xml:space="preserve"> includes the calibration matrix for the Golden Device ALS, note there can be deviations to other sensors which must be corrected by a balance … correction vector see D7 … D16</t>
    </r>
  </si>
  <si>
    <r>
      <t xml:space="preserve">The sheet </t>
    </r>
    <r>
      <rPr>
        <u/>
        <sz val="11"/>
        <color theme="1"/>
        <rFont val="Calibri"/>
        <family val="2"/>
        <scheme val="minor"/>
      </rPr>
      <t>Standards</t>
    </r>
    <r>
      <rPr>
        <sz val="11"/>
        <color theme="1"/>
        <rFont val="Calibri"/>
        <family val="2"/>
        <scheme val="minor"/>
      </rPr>
      <t xml:space="preserve"> includes colormetrical standard values which must be used in the CIE1931 calculations, do not change anything in this sheet.</t>
    </r>
  </si>
  <si>
    <t>L</t>
  </si>
  <si>
    <t>Xn</t>
  </si>
  <si>
    <t>Yn</t>
  </si>
  <si>
    <t>Zn</t>
  </si>
  <si>
    <t>e</t>
  </si>
  <si>
    <t>k</t>
  </si>
  <si>
    <t>Reference White</t>
  </si>
  <si>
    <t>Constant Values</t>
  </si>
  <si>
    <t>FD - 16x</t>
  </si>
  <si>
    <t>PROX - 16x</t>
  </si>
  <si>
    <t>DARK - 256x</t>
  </si>
  <si>
    <t>CLEAR - 256x</t>
  </si>
  <si>
    <t>F8 - 256x</t>
  </si>
  <si>
    <t>F7 - 256x</t>
  </si>
  <si>
    <t>F6 - 512x</t>
  </si>
  <si>
    <t>F5 - 512x</t>
  </si>
  <si>
    <t>F4 - 512x</t>
  </si>
  <si>
    <t>F3 - 512x</t>
  </si>
  <si>
    <t>F2 - 512x</t>
  </si>
  <si>
    <t>F1 - 512x</t>
  </si>
  <si>
    <t>λ</t>
  </si>
  <si>
    <t>[nm]</t>
  </si>
  <si>
    <t>Typical Data</t>
  </si>
  <si>
    <t>BasicCounts(GainC)</t>
  </si>
  <si>
    <t>Ratio Max_Peak Fn to Max_Fclear at WV</t>
  </si>
  <si>
    <t>BC_scaled_to_Clear</t>
  </si>
  <si>
    <t>Signal outside VIS (it means signal in NIR)</t>
  </si>
  <si>
    <r>
      <t xml:space="preserve">This Excel sheet is a calibration aid that shows the calibration based on a spectral and XYZ calibration. Furthermore, the file shows the path in the calculation "from ADC value to calculating xyz, uv, and lux". All data in Excel are examples and were measured based on an AS7341 test board. Therefore they have no general validity for all sensor boards or only reduced accuracy for sensor boards of identical construction.  
Only use the original downloaded versions of this file and do not send, save, use or manipulate a copy of it. Versions of this document with a different author or publication date are not the original file from </t>
    </r>
    <r>
      <rPr>
        <b/>
        <sz val="11"/>
        <color theme="1"/>
        <rFont val="Calibri"/>
        <family val="2"/>
        <scheme val="minor"/>
      </rPr>
      <t>ams</t>
    </r>
    <r>
      <rPr>
        <sz val="11"/>
        <color theme="1"/>
        <rFont val="Calibri"/>
        <family val="2"/>
        <scheme val="minor"/>
      </rPr>
      <t xml:space="preserve"> and hence are not supported.
All the tables are not read-only and therefore not tamper-proof. Thus every detail is only valid as information if it comes directly from the </t>
    </r>
    <r>
      <rPr>
        <b/>
        <sz val="11"/>
        <color theme="1"/>
        <rFont val="Calibri"/>
        <family val="2"/>
        <scheme val="minor"/>
      </rPr>
      <t>ams</t>
    </r>
    <r>
      <rPr>
        <sz val="11"/>
        <color theme="1"/>
        <rFont val="Calibri"/>
        <family val="2"/>
        <scheme val="minor"/>
      </rPr>
      <t xml:space="preserve"> download and has not been modified.</t>
    </r>
  </si>
  <si>
    <t>off</t>
  </si>
  <si>
    <t>V3.0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</si>
</sst>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000E+00"/>
    <numFmt numFmtId="165" formatCode="0.000000"/>
    <numFmt numFmtId="166" formatCode="0.0000"/>
    <numFmt numFmtId="167" formatCode="0.00000"/>
    <numFmt numFmtId="168" formatCode="0.000"/>
    <numFmt numFmtId="169" formatCode="_(* #,##0_);_(* \(#,##0\);_(* &quot;-&quot;??_);_(@_)"/>
  </numFmts>
  <fonts count="27"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color theme="1"/>
      <name val="Arial"/>
      <family val="2"/>
    </font>
    <font>
      <i/>
      <sz val="10"/>
      <color theme="1"/>
      <name val="Arial"/>
      <family val="2"/>
    </font>
    <font>
      <b/>
      <sz val="10"/>
      <color theme="1"/>
      <name val="Arial"/>
      <family val="2"/>
    </font>
    <font>
      <u/>
      <sz val="11"/>
      <color theme="1"/>
      <name val="Calibri"/>
      <family val="2"/>
      <scheme val="minor"/>
    </font>
    <font>
      <b/>
      <sz val="11"/>
      <name val="Calibri"/>
      <family val="2"/>
      <scheme val="minor"/>
    </font>
    <font>
      <b/>
      <i/>
      <sz val="10"/>
      <color theme="1"/>
      <name val="Arial"/>
      <family val="2"/>
    </font>
    <font>
      <sz val="12"/>
      <color theme="1"/>
      <name val="Calibri"/>
      <family val="2"/>
      <scheme val="minor"/>
    </font>
    <font>
      <b/>
      <sz val="16"/>
      <color theme="1"/>
      <name val="Calibri"/>
      <family val="2"/>
      <scheme val="minor"/>
    </font>
    <font>
      <i/>
      <sz val="11"/>
      <color theme="1"/>
      <name val="Calibri"/>
      <family val="2"/>
      <scheme val="minor"/>
    </font>
    <font>
      <b/>
      <i/>
      <sz val="11"/>
      <color theme="1"/>
      <name val="Calibri"/>
      <family val="2"/>
      <scheme val="minor"/>
    </font>
    <font>
      <i/>
      <u/>
      <sz val="11"/>
      <color theme="1"/>
      <name val="Calibri"/>
      <family val="2"/>
      <scheme val="minor"/>
    </font>
    <font>
      <b/>
      <sz val="11"/>
      <color theme="0"/>
      <name val="Calibri"/>
      <family val="2"/>
      <scheme val="minor"/>
    </font>
    <font>
      <i/>
      <sz val="10"/>
      <name val="Arial"/>
      <family val="2"/>
    </font>
    <font>
      <sz val="10"/>
      <name val="Arial"/>
      <family val="2"/>
    </font>
    <font>
      <b/>
      <sz val="12"/>
      <color theme="1"/>
      <name val="Calibri"/>
      <family val="2"/>
      <scheme val="minor"/>
    </font>
    <font>
      <sz val="9"/>
      <color indexed="81"/>
      <name val="Tahoma"/>
      <family val="2"/>
    </font>
    <font>
      <sz val="11"/>
      <color rgb="FF000000"/>
      <name val="Calibri"/>
      <family val="2"/>
    </font>
    <font>
      <b/>
      <sz val="11"/>
      <color rgb="FFFF0000"/>
      <name val="Calibri"/>
      <family val="2"/>
      <scheme val="minor"/>
    </font>
    <font>
      <i/>
      <sz val="11"/>
      <color rgb="FFFF0000"/>
      <name val="Calibri"/>
      <family val="2"/>
      <scheme val="minor"/>
    </font>
    <font>
      <b/>
      <sz val="10"/>
      <name val="Arial"/>
      <family val="2"/>
    </font>
    <font>
      <sz val="11"/>
      <color theme="0"/>
      <name val="Calibri"/>
      <family val="2"/>
      <scheme val="minor"/>
    </font>
    <font>
      <sz val="10"/>
      <color theme="1"/>
      <name val="Calibri"/>
      <family val="2"/>
      <scheme val="minor"/>
    </font>
  </fonts>
  <fills count="17">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00"/>
        <bgColor indexed="64"/>
      </patternFill>
    </fill>
    <fill>
      <patternFill patternType="solid">
        <fgColor rgb="FFFF9966"/>
        <bgColor indexed="64"/>
      </patternFill>
    </fill>
    <fill>
      <patternFill patternType="solid">
        <fgColor theme="2"/>
        <bgColor indexed="64"/>
      </patternFill>
    </fill>
    <fill>
      <patternFill patternType="solid">
        <fgColor rgb="FFA5A5A5"/>
      </patternFill>
    </fill>
    <fill>
      <patternFill patternType="solid">
        <fgColor theme="7" tint="0.79998168889431442"/>
        <bgColor indexed="64"/>
      </patternFill>
    </fill>
    <fill>
      <patternFill patternType="solid">
        <fgColor theme="3" tint="0.79998168889431442"/>
        <bgColor indexed="64"/>
      </patternFill>
    </fill>
    <fill>
      <patternFill patternType="solid">
        <fgColor indexed="42"/>
        <bgColor indexed="64"/>
      </patternFill>
    </fill>
    <fill>
      <patternFill patternType="solid">
        <fgColor indexed="43"/>
        <bgColor indexed="64"/>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top/>
      <bottom style="thin">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s>
  <cellStyleXfs count="9">
    <xf numFmtId="0" fontId="0" fillId="0" borderId="0"/>
    <xf numFmtId="9" fontId="2" fillId="0" borderId="0" applyFont="0" applyFill="0" applyBorder="0" applyAlignment="0" applyProtection="0"/>
    <xf numFmtId="0" fontId="5" fillId="0" borderId="0"/>
    <xf numFmtId="0" fontId="16" fillId="9" borderId="35" applyNumberFormat="0" applyAlignment="0" applyProtection="0"/>
    <xf numFmtId="0" fontId="2" fillId="0" borderId="0"/>
    <xf numFmtId="43" fontId="2" fillId="0" borderId="0" applyFont="0" applyFill="0" applyBorder="0" applyAlignment="0" applyProtection="0"/>
    <xf numFmtId="0" fontId="25" fillId="14" borderId="0" applyNumberFormat="0" applyBorder="0" applyAlignment="0" applyProtection="0"/>
    <xf numFmtId="0" fontId="2" fillId="15" borderId="0" applyNumberFormat="0" applyBorder="0" applyAlignment="0" applyProtection="0"/>
    <xf numFmtId="0" fontId="25" fillId="16" borderId="0" applyNumberFormat="0" applyBorder="0" applyAlignment="0" applyProtection="0"/>
  </cellStyleXfs>
  <cellXfs count="271">
    <xf numFmtId="0" fontId="0" fillId="0" borderId="0" xfId="0"/>
    <xf numFmtId="0" fontId="0" fillId="0" borderId="0" xfId="0" applyAlignment="1">
      <alignment wrapText="1"/>
    </xf>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right"/>
    </xf>
    <xf numFmtId="164" fontId="0" fillId="0" borderId="0" xfId="0" applyNumberFormat="1" applyAlignment="1">
      <alignment horizontal="right"/>
    </xf>
    <xf numFmtId="165" fontId="0" fillId="0" borderId="0" xfId="0" applyNumberFormat="1"/>
    <xf numFmtId="2" fontId="0" fillId="0" borderId="0" xfId="0" applyNumberFormat="1" applyAlignment="1">
      <alignment horizontal="right"/>
    </xf>
    <xf numFmtId="0" fontId="4" fillId="0" borderId="0" xfId="0" applyFont="1" applyAlignment="1">
      <alignment horizontal="right"/>
    </xf>
    <xf numFmtId="0" fontId="0" fillId="0" borderId="0" xfId="0" applyAlignment="1">
      <alignment horizontal="right" vertical="top"/>
    </xf>
    <xf numFmtId="10" fontId="0" fillId="0" borderId="0" xfId="1" applyNumberFormat="1" applyFont="1" applyFill="1" applyBorder="1" applyAlignment="1">
      <alignment horizontal="right"/>
    </xf>
    <xf numFmtId="0" fontId="6" fillId="0" borderId="0" xfId="2" applyFont="1"/>
    <xf numFmtId="0" fontId="0" fillId="0" borderId="0" xfId="0" applyAlignment="1">
      <alignment vertical="center" wrapText="1"/>
    </xf>
    <xf numFmtId="0" fontId="3" fillId="0" borderId="0" xfId="0" applyFont="1" applyAlignment="1">
      <alignment horizontal="right"/>
    </xf>
    <xf numFmtId="0" fontId="4" fillId="0" borderId="0" xfId="0" applyFont="1" applyAlignment="1">
      <alignment horizontal="center"/>
    </xf>
    <xf numFmtId="10" fontId="0" fillId="0" borderId="0" xfId="0" applyNumberFormat="1" applyAlignment="1">
      <alignment horizontal="right"/>
    </xf>
    <xf numFmtId="168" fontId="0" fillId="0" borderId="0" xfId="0" applyNumberFormat="1"/>
    <xf numFmtId="0" fontId="1" fillId="0" borderId="0" xfId="0" applyFont="1"/>
    <xf numFmtId="0" fontId="1" fillId="0" borderId="0" xfId="0" applyFont="1" applyAlignment="1">
      <alignment horizontal="center"/>
    </xf>
    <xf numFmtId="0" fontId="0" fillId="0" borderId="0" xfId="0" applyAlignment="1">
      <alignment horizontal="right" vertical="top" wrapText="1"/>
    </xf>
    <xf numFmtId="165" fontId="1" fillId="0" borderId="0" xfId="0" applyNumberFormat="1" applyFont="1" applyAlignment="1">
      <alignment horizontal="right" wrapText="1"/>
    </xf>
    <xf numFmtId="1" fontId="7" fillId="0" borderId="0" xfId="2" applyNumberFormat="1" applyFont="1" applyAlignment="1">
      <alignment horizontal="center"/>
    </xf>
    <xf numFmtId="10" fontId="1" fillId="0" borderId="0" xfId="0" applyNumberFormat="1" applyFont="1" applyAlignment="1">
      <alignment horizontal="left" vertical="top"/>
    </xf>
    <xf numFmtId="0" fontId="1" fillId="0" borderId="0" xfId="0" applyFont="1" applyAlignment="1">
      <alignment horizontal="left" vertical="top"/>
    </xf>
    <xf numFmtId="0" fontId="0" fillId="4" borderId="2" xfId="0" applyFill="1" applyBorder="1" applyAlignment="1">
      <alignment wrapText="1"/>
    </xf>
    <xf numFmtId="0" fontId="0" fillId="4" borderId="0" xfId="0" applyFill="1" applyAlignment="1">
      <alignment wrapText="1"/>
    </xf>
    <xf numFmtId="0" fontId="0" fillId="4" borderId="3" xfId="0" applyFill="1" applyBorder="1" applyAlignment="1">
      <alignment wrapText="1"/>
    </xf>
    <xf numFmtId="0" fontId="1" fillId="4" borderId="2" xfId="0" applyFont="1" applyFill="1" applyBorder="1" applyAlignment="1">
      <alignment horizontal="center" wrapText="1"/>
    </xf>
    <xf numFmtId="0" fontId="1" fillId="4" borderId="2" xfId="0" applyFont="1" applyFill="1" applyBorder="1" applyAlignment="1">
      <alignment horizontal="center"/>
    </xf>
    <xf numFmtId="0" fontId="0" fillId="4" borderId="3" xfId="0" applyFill="1" applyBorder="1"/>
    <xf numFmtId="0" fontId="1" fillId="4" borderId="3" xfId="0" applyFont="1" applyFill="1" applyBorder="1"/>
    <xf numFmtId="0" fontId="1" fillId="4" borderId="2" xfId="0" applyFont="1" applyFill="1" applyBorder="1"/>
    <xf numFmtId="0" fontId="1" fillId="4" borderId="4" xfId="0" applyFont="1" applyFill="1" applyBorder="1" applyAlignment="1">
      <alignment horizontal="center"/>
    </xf>
    <xf numFmtId="0" fontId="1" fillId="4" borderId="6" xfId="0" applyFont="1" applyFill="1" applyBorder="1"/>
    <xf numFmtId="0" fontId="0" fillId="2" borderId="2" xfId="0" applyFill="1" applyBorder="1"/>
    <xf numFmtId="0" fontId="0" fillId="2" borderId="0" xfId="0" applyFill="1"/>
    <xf numFmtId="0" fontId="0" fillId="2" borderId="3" xfId="0" applyFill="1" applyBorder="1"/>
    <xf numFmtId="0" fontId="1" fillId="2" borderId="2" xfId="0" applyFont="1" applyFill="1" applyBorder="1" applyAlignment="1">
      <alignment horizontal="center" wrapText="1"/>
    </xf>
    <xf numFmtId="0" fontId="1" fillId="2" borderId="3" xfId="0" applyFont="1" applyFill="1" applyBorder="1"/>
    <xf numFmtId="0" fontId="1" fillId="2" borderId="4" xfId="0" applyFont="1" applyFill="1" applyBorder="1" applyAlignment="1">
      <alignment horizontal="center" wrapText="1"/>
    </xf>
    <xf numFmtId="0" fontId="0" fillId="2" borderId="6"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1" fillId="4" borderId="7" xfId="0" applyFont="1" applyFill="1" applyBorder="1" applyAlignment="1">
      <alignment horizontal="center" wrapText="1"/>
    </xf>
    <xf numFmtId="165" fontId="0" fillId="4" borderId="1" xfId="0" applyNumberFormat="1" applyFill="1" applyBorder="1"/>
    <xf numFmtId="1" fontId="0" fillId="4" borderId="1" xfId="0" applyNumberFormat="1" applyFill="1" applyBorder="1" applyAlignment="1">
      <alignment horizontal="center"/>
    </xf>
    <xf numFmtId="0" fontId="1" fillId="4" borderId="1" xfId="0" applyFont="1" applyFill="1" applyBorder="1" applyAlignment="1">
      <alignment horizontal="center"/>
    </xf>
    <xf numFmtId="165" fontId="1" fillId="4" borderId="1" xfId="0" applyNumberFormat="1" applyFont="1" applyFill="1" applyBorder="1"/>
    <xf numFmtId="168" fontId="0" fillId="4" borderId="16" xfId="0" applyNumberFormat="1" applyFill="1" applyBorder="1"/>
    <xf numFmtId="0" fontId="0" fillId="0" borderId="0" xfId="0" applyAlignment="1">
      <alignment horizontal="center" vertical="center" wrapText="1"/>
    </xf>
    <xf numFmtId="0" fontId="0" fillId="0" borderId="5" xfId="0" applyBorder="1" applyAlignment="1">
      <alignment horizontal="center" vertical="center" wrapText="1"/>
    </xf>
    <xf numFmtId="1" fontId="5" fillId="4" borderId="11" xfId="2" applyNumberFormat="1" applyFill="1" applyBorder="1" applyAlignment="1">
      <alignment horizontal="center"/>
    </xf>
    <xf numFmtId="165" fontId="0" fillId="4" borderId="3" xfId="0" applyNumberFormat="1" applyFill="1" applyBorder="1"/>
    <xf numFmtId="0" fontId="1" fillId="4" borderId="12" xfId="0" applyFont="1" applyFill="1" applyBorder="1" applyAlignment="1">
      <alignment horizontal="center" wrapText="1"/>
    </xf>
    <xf numFmtId="0" fontId="1" fillId="4" borderId="6" xfId="0" applyFont="1" applyFill="1" applyBorder="1" applyAlignment="1">
      <alignment horizontal="center" wrapText="1"/>
    </xf>
    <xf numFmtId="0" fontId="0" fillId="5" borderId="18" xfId="0" applyFill="1" applyBorder="1" applyAlignment="1">
      <alignment horizontal="center"/>
    </xf>
    <xf numFmtId="1" fontId="0" fillId="4" borderId="18" xfId="0" applyNumberFormat="1" applyFill="1" applyBorder="1" applyAlignment="1">
      <alignment horizontal="center"/>
    </xf>
    <xf numFmtId="165" fontId="0" fillId="4" borderId="18" xfId="0" applyNumberFormat="1" applyFill="1" applyBorder="1"/>
    <xf numFmtId="0" fontId="1" fillId="5" borderId="7" xfId="0" applyFont="1" applyFill="1" applyBorder="1" applyAlignment="1">
      <alignment horizontal="center" wrapText="1"/>
    </xf>
    <xf numFmtId="165" fontId="1" fillId="4" borderId="7" xfId="0" applyNumberFormat="1" applyFont="1" applyFill="1" applyBorder="1" applyAlignment="1">
      <alignment horizontal="center" wrapText="1"/>
    </xf>
    <xf numFmtId="0" fontId="0" fillId="2" borderId="1" xfId="0" applyFill="1" applyBorder="1" applyAlignment="1">
      <alignment horizontal="right"/>
    </xf>
    <xf numFmtId="167" fontId="0" fillId="2" borderId="1" xfId="0" applyNumberFormat="1" applyFill="1" applyBorder="1"/>
    <xf numFmtId="0" fontId="0" fillId="0" borderId="1" xfId="0" applyBorder="1"/>
    <xf numFmtId="0" fontId="0" fillId="0" borderId="18" xfId="0" applyBorder="1"/>
    <xf numFmtId="0" fontId="0" fillId="0" borderId="1" xfId="0" applyBorder="1" applyAlignment="1">
      <alignment horizontal="right"/>
    </xf>
    <xf numFmtId="2" fontId="4" fillId="0" borderId="1" xfId="0" applyNumberFormat="1" applyFont="1" applyBorder="1" applyAlignment="1">
      <alignment horizontal="right"/>
    </xf>
    <xf numFmtId="0" fontId="4" fillId="0" borderId="1" xfId="0" applyFont="1" applyBorder="1" applyAlignment="1">
      <alignment horizontal="right"/>
    </xf>
    <xf numFmtId="1" fontId="5" fillId="0" borderId="18" xfId="2" applyNumberFormat="1" applyBorder="1" applyAlignment="1">
      <alignment horizontal="center"/>
    </xf>
    <xf numFmtId="1" fontId="5" fillId="0" borderId="1" xfId="2" applyNumberFormat="1" applyBorder="1" applyAlignment="1">
      <alignment horizontal="center"/>
    </xf>
    <xf numFmtId="0" fontId="1" fillId="0" borderId="7" xfId="0" applyFont="1" applyBorder="1" applyAlignment="1">
      <alignment horizontal="center"/>
    </xf>
    <xf numFmtId="0" fontId="0" fillId="0" borderId="1" xfId="0" applyBorder="1" applyAlignment="1">
      <alignment horizontal="left"/>
    </xf>
    <xf numFmtId="166" fontId="0" fillId="0" borderId="1" xfId="0" applyNumberFormat="1" applyBorder="1" applyAlignment="1">
      <alignment horizontal="right"/>
    </xf>
    <xf numFmtId="0" fontId="0" fillId="3" borderId="1" xfId="0" applyFill="1" applyBorder="1"/>
    <xf numFmtId="0" fontId="1" fillId="0" borderId="10" xfId="0" applyFont="1" applyBorder="1" applyAlignment="1">
      <alignment horizontal="center" wrapText="1"/>
    </xf>
    <xf numFmtId="0" fontId="1" fillId="0" borderId="9" xfId="0" applyFont="1" applyBorder="1" applyAlignment="1">
      <alignment horizontal="center" wrapText="1"/>
    </xf>
    <xf numFmtId="0" fontId="0" fillId="6" borderId="0" xfId="0" applyFill="1" applyAlignment="1">
      <alignment horizontal="left"/>
    </xf>
    <xf numFmtId="0" fontId="0" fillId="6" borderId="0" xfId="0" applyFill="1"/>
    <xf numFmtId="164" fontId="0" fillId="6" borderId="0" xfId="0" applyNumberFormat="1" applyFill="1" applyAlignment="1">
      <alignment horizontal="right"/>
    </xf>
    <xf numFmtId="0" fontId="0" fillId="7" borderId="1" xfId="0" applyFill="1" applyBorder="1" applyAlignment="1">
      <alignment horizontal="right"/>
    </xf>
    <xf numFmtId="164" fontId="1" fillId="8" borderId="19" xfId="0" applyNumberFormat="1" applyFont="1" applyFill="1" applyBorder="1" applyAlignment="1">
      <alignment horizontal="right"/>
    </xf>
    <xf numFmtId="0" fontId="0" fillId="8" borderId="1" xfId="0" applyFill="1" applyBorder="1" applyAlignment="1">
      <alignment horizontal="right"/>
    </xf>
    <xf numFmtId="2" fontId="0" fillId="8" borderId="1" xfId="0" applyNumberFormat="1" applyFill="1" applyBorder="1"/>
    <xf numFmtId="0" fontId="0" fillId="6" borderId="0" xfId="0" applyFill="1" applyAlignment="1">
      <alignment horizontal="right"/>
    </xf>
    <xf numFmtId="167" fontId="0" fillId="5" borderId="18" xfId="0" applyNumberFormat="1" applyFill="1" applyBorder="1" applyAlignment="1">
      <alignment horizontal="right"/>
    </xf>
    <xf numFmtId="2" fontId="1" fillId="8" borderId="1" xfId="0" applyNumberFormat="1" applyFont="1" applyFill="1" applyBorder="1"/>
    <xf numFmtId="0" fontId="0" fillId="8" borderId="26" xfId="0" applyFill="1" applyBorder="1" applyAlignment="1">
      <alignment horizontal="right"/>
    </xf>
    <xf numFmtId="164" fontId="1" fillId="8" borderId="27" xfId="0" applyNumberFormat="1" applyFont="1" applyFill="1" applyBorder="1" applyAlignment="1">
      <alignment horizontal="right"/>
    </xf>
    <xf numFmtId="0" fontId="4" fillId="8" borderId="17" xfId="0" applyFont="1" applyFill="1" applyBorder="1" applyAlignment="1">
      <alignment horizontal="right"/>
    </xf>
    <xf numFmtId="0" fontId="0" fillId="8" borderId="28" xfId="0" applyFill="1" applyBorder="1" applyAlignment="1">
      <alignment horizontal="right"/>
    </xf>
    <xf numFmtId="0" fontId="0" fillId="8" borderId="29" xfId="0" applyFill="1" applyBorder="1" applyAlignment="1">
      <alignment wrapText="1"/>
    </xf>
    <xf numFmtId="0" fontId="10" fillId="8" borderId="29" xfId="2" applyFont="1" applyFill="1" applyBorder="1"/>
    <xf numFmtId="0" fontId="7" fillId="8" borderId="4" xfId="2" applyFont="1" applyFill="1" applyBorder="1"/>
    <xf numFmtId="0" fontId="0" fillId="7" borderId="29" xfId="0" applyFill="1" applyBorder="1" applyAlignment="1">
      <alignment horizontal="right"/>
    </xf>
    <xf numFmtId="0" fontId="0" fillId="7" borderId="28" xfId="0" applyFill="1" applyBorder="1" applyAlignment="1">
      <alignment horizontal="right"/>
    </xf>
    <xf numFmtId="0" fontId="9" fillId="7" borderId="30" xfId="0" applyFont="1" applyFill="1" applyBorder="1" applyAlignment="1">
      <alignment horizontal="right"/>
    </xf>
    <xf numFmtId="168" fontId="9" fillId="7" borderId="31" xfId="0" applyNumberFormat="1" applyFont="1" applyFill="1" applyBorder="1" applyAlignment="1">
      <alignment horizontal="right"/>
    </xf>
    <xf numFmtId="10" fontId="0" fillId="2" borderId="33" xfId="1" applyNumberFormat="1" applyFont="1" applyFill="1" applyBorder="1" applyAlignment="1">
      <alignment horizontal="right"/>
    </xf>
    <xf numFmtId="0" fontId="1" fillId="2" borderId="16" xfId="0" applyFont="1" applyFill="1" applyBorder="1" applyAlignment="1">
      <alignment horizontal="right"/>
    </xf>
    <xf numFmtId="0" fontId="0" fillId="2" borderId="28" xfId="0" applyFill="1" applyBorder="1" applyAlignment="1">
      <alignment horizontal="right"/>
    </xf>
    <xf numFmtId="167" fontId="0" fillId="2" borderId="28" xfId="0" applyNumberFormat="1" applyFill="1" applyBorder="1"/>
    <xf numFmtId="0" fontId="1" fillId="2" borderId="34" xfId="0" applyFont="1" applyFill="1" applyBorder="1" applyAlignment="1">
      <alignment horizontal="right"/>
    </xf>
    <xf numFmtId="167" fontId="0" fillId="2" borderId="31" xfId="0" applyNumberFormat="1" applyFill="1" applyBorder="1"/>
    <xf numFmtId="167" fontId="0" fillId="2" borderId="32" xfId="0" applyNumberFormat="1" applyFill="1" applyBorder="1"/>
    <xf numFmtId="0" fontId="1" fillId="0" borderId="0" xfId="0" applyFont="1" applyAlignment="1">
      <alignment horizontal="center" vertical="center"/>
    </xf>
    <xf numFmtId="0" fontId="13" fillId="0" borderId="0" xfId="0" applyFont="1" applyAlignment="1">
      <alignment vertical="center" wrapText="1"/>
    </xf>
    <xf numFmtId="165" fontId="13" fillId="0" borderId="0" xfId="0" applyNumberFormat="1" applyFont="1"/>
    <xf numFmtId="0" fontId="13" fillId="0" borderId="0" xfId="0" applyFont="1"/>
    <xf numFmtId="0" fontId="11" fillId="0" borderId="0" xfId="0" applyFont="1" applyAlignment="1">
      <alignment vertical="top"/>
    </xf>
    <xf numFmtId="0" fontId="0" fillId="10" borderId="0" xfId="0" applyFill="1" applyAlignment="1">
      <alignment horizontal="right"/>
    </xf>
    <xf numFmtId="0" fontId="0" fillId="10" borderId="0" xfId="0" applyFill="1" applyAlignment="1">
      <alignment horizontal="right" vertical="top"/>
    </xf>
    <xf numFmtId="0" fontId="4" fillId="10" borderId="0" xfId="0" applyFont="1" applyFill="1"/>
    <xf numFmtId="167" fontId="6" fillId="10" borderId="0" xfId="2" applyNumberFormat="1" applyFont="1" applyFill="1"/>
    <xf numFmtId="167" fontId="4" fillId="10" borderId="0" xfId="0" applyNumberFormat="1" applyFont="1" applyFill="1"/>
    <xf numFmtId="0" fontId="0" fillId="10" borderId="0" xfId="0" applyFill="1" applyAlignment="1">
      <alignment vertical="center" wrapText="1"/>
    </xf>
    <xf numFmtId="167" fontId="18" fillId="10" borderId="0" xfId="2" applyNumberFormat="1" applyFont="1" applyFill="1"/>
    <xf numFmtId="0" fontId="0" fillId="10" borderId="2" xfId="0" applyFill="1" applyBorder="1" applyAlignment="1">
      <alignment horizontal="center"/>
    </xf>
    <xf numFmtId="0" fontId="0" fillId="10" borderId="0" xfId="0" applyFill="1"/>
    <xf numFmtId="0" fontId="0" fillId="10" borderId="2" xfId="0" applyFill="1" applyBorder="1" applyAlignment="1">
      <alignment horizontal="center" vertical="top" wrapText="1"/>
    </xf>
    <xf numFmtId="0" fontId="0" fillId="10" borderId="0" xfId="0" applyFill="1" applyAlignment="1">
      <alignment wrapText="1"/>
    </xf>
    <xf numFmtId="0" fontId="0" fillId="10" borderId="4" xfId="0" applyFill="1" applyBorder="1" applyAlignment="1">
      <alignment horizontal="center"/>
    </xf>
    <xf numFmtId="0" fontId="0" fillId="10" borderId="5" xfId="0" applyFill="1" applyBorder="1" applyAlignment="1">
      <alignment wrapText="1"/>
    </xf>
    <xf numFmtId="0" fontId="0" fillId="10" borderId="5" xfId="0" applyFill="1" applyBorder="1"/>
    <xf numFmtId="0" fontId="0" fillId="10" borderId="5" xfId="0" applyFill="1" applyBorder="1" applyAlignment="1">
      <alignment horizontal="right"/>
    </xf>
    <xf numFmtId="0" fontId="0" fillId="10" borderId="10" xfId="0" applyFill="1" applyBorder="1" applyAlignment="1">
      <alignment horizontal="right" vertical="top" wrapText="1"/>
    </xf>
    <xf numFmtId="0" fontId="0" fillId="10" borderId="10" xfId="0" applyFill="1" applyBorder="1" applyAlignment="1">
      <alignment horizontal="right"/>
    </xf>
    <xf numFmtId="0" fontId="19" fillId="0" borderId="0" xfId="0" applyFont="1"/>
    <xf numFmtId="1" fontId="4" fillId="10" borderId="2" xfId="0" applyNumberFormat="1" applyFont="1" applyFill="1" applyBorder="1" applyAlignment="1">
      <alignment horizontal="right"/>
    </xf>
    <xf numFmtId="0" fontId="4" fillId="10" borderId="2" xfId="0" applyFont="1" applyFill="1" applyBorder="1" applyAlignment="1">
      <alignment horizontal="right"/>
    </xf>
    <xf numFmtId="0" fontId="4" fillId="0" borderId="0" xfId="0" applyFont="1" applyAlignment="1">
      <alignment horizontal="left"/>
    </xf>
    <xf numFmtId="0" fontId="0" fillId="10" borderId="8" xfId="0" applyFill="1" applyBorder="1" applyAlignment="1">
      <alignment horizontal="right"/>
    </xf>
    <xf numFmtId="166" fontId="4" fillId="10" borderId="5" xfId="0" applyNumberFormat="1" applyFont="1" applyFill="1" applyBorder="1"/>
    <xf numFmtId="166" fontId="4" fillId="10" borderId="0" xfId="0" applyNumberFormat="1" applyFont="1" applyFill="1"/>
    <xf numFmtId="165" fontId="4" fillId="10" borderId="0" xfId="0" applyNumberFormat="1" applyFont="1" applyFill="1"/>
    <xf numFmtId="167" fontId="1" fillId="2" borderId="0" xfId="0" applyNumberFormat="1" applyFont="1" applyFill="1" applyAlignment="1">
      <alignment horizontal="center"/>
    </xf>
    <xf numFmtId="1" fontId="1" fillId="2" borderId="0" xfId="0" applyNumberFormat="1" applyFont="1" applyFill="1" applyAlignment="1">
      <alignment horizontal="center"/>
    </xf>
    <xf numFmtId="0" fontId="0" fillId="2" borderId="0" xfId="0" applyFill="1" applyAlignment="1">
      <alignment horizontal="center"/>
    </xf>
    <xf numFmtId="0" fontId="1" fillId="2" borderId="0" xfId="0" applyFont="1" applyFill="1" applyAlignment="1">
      <alignment horizontal="center"/>
    </xf>
    <xf numFmtId="1" fontId="1" fillId="2" borderId="5" xfId="0" applyNumberFormat="1" applyFont="1" applyFill="1" applyBorder="1" applyAlignment="1">
      <alignment horizontal="center"/>
    </xf>
    <xf numFmtId="167" fontId="1" fillId="4" borderId="0" xfId="0" applyNumberFormat="1" applyFont="1" applyFill="1" applyAlignment="1">
      <alignment horizontal="center" wrapText="1"/>
    </xf>
    <xf numFmtId="167" fontId="1" fillId="4" borderId="0" xfId="0" applyNumberFormat="1" applyFont="1" applyFill="1" applyAlignment="1">
      <alignment horizontal="center"/>
    </xf>
    <xf numFmtId="1" fontId="1" fillId="4" borderId="0" xfId="0" applyNumberFormat="1" applyFont="1" applyFill="1" applyAlignment="1">
      <alignment horizontal="center"/>
    </xf>
    <xf numFmtId="0" fontId="1" fillId="4" borderId="0" xfId="0" applyFont="1" applyFill="1" applyAlignment="1">
      <alignment horizontal="center"/>
    </xf>
    <xf numFmtId="168" fontId="1" fillId="4" borderId="0" xfId="0" applyNumberFormat="1" applyFont="1" applyFill="1" applyAlignment="1">
      <alignment horizontal="center"/>
    </xf>
    <xf numFmtId="168" fontId="1" fillId="2" borderId="0" xfId="0" applyNumberFormat="1" applyFont="1" applyFill="1" applyAlignment="1">
      <alignment horizontal="center"/>
    </xf>
    <xf numFmtId="0" fontId="22" fillId="9" borderId="35" xfId="3" applyFont="1" applyAlignment="1">
      <alignment horizontal="center"/>
    </xf>
    <xf numFmtId="14" fontId="0" fillId="0" borderId="0" xfId="0" applyNumberFormat="1" applyAlignment="1">
      <alignment horizontal="center"/>
    </xf>
    <xf numFmtId="0" fontId="4" fillId="6" borderId="0" xfId="0" applyFont="1" applyFill="1"/>
    <xf numFmtId="0" fontId="4" fillId="0" borderId="0" xfId="0" applyFont="1"/>
    <xf numFmtId="2" fontId="9" fillId="0" borderId="7" xfId="0" applyNumberFormat="1" applyFont="1" applyBorder="1" applyAlignment="1">
      <alignment horizontal="center"/>
    </xf>
    <xf numFmtId="0" fontId="9" fillId="0" borderId="7" xfId="0" applyFont="1" applyBorder="1" applyAlignment="1">
      <alignment horizontal="center"/>
    </xf>
    <xf numFmtId="2" fontId="4" fillId="0" borderId="18" xfId="0" applyNumberFormat="1" applyFont="1" applyBorder="1" applyAlignment="1">
      <alignment horizontal="right"/>
    </xf>
    <xf numFmtId="0" fontId="4" fillId="0" borderId="18" xfId="0" applyFont="1" applyBorder="1" applyAlignment="1">
      <alignment horizontal="right"/>
    </xf>
    <xf numFmtId="2" fontId="0" fillId="8" borderId="28" xfId="0" applyNumberFormat="1" applyFill="1" applyBorder="1"/>
    <xf numFmtId="2" fontId="1" fillId="8" borderId="28" xfId="0" applyNumberFormat="1" applyFont="1" applyFill="1" applyBorder="1"/>
    <xf numFmtId="0" fontId="0" fillId="0" borderId="5" xfId="0" applyBorder="1"/>
    <xf numFmtId="0" fontId="0" fillId="0" borderId="6" xfId="0" applyBorder="1"/>
    <xf numFmtId="1" fontId="0" fillId="0" borderId="0" xfId="0" applyNumberFormat="1"/>
    <xf numFmtId="0" fontId="0" fillId="11" borderId="1" xfId="0" applyFill="1" applyBorder="1" applyAlignment="1">
      <alignment horizontal="right"/>
    </xf>
    <xf numFmtId="169" fontId="24" fillId="11" borderId="1" xfId="5" applyNumberFormat="1" applyFont="1" applyFill="1" applyBorder="1"/>
    <xf numFmtId="165" fontId="0" fillId="5" borderId="18" xfId="0" applyNumberFormat="1" applyFill="1" applyBorder="1" applyAlignment="1">
      <alignment horizontal="center"/>
    </xf>
    <xf numFmtId="165" fontId="0" fillId="5" borderId="18" xfId="0" applyNumberFormat="1" applyFill="1" applyBorder="1" applyAlignment="1">
      <alignment horizontal="right"/>
    </xf>
    <xf numFmtId="167" fontId="1" fillId="2" borderId="0" xfId="0" applyNumberFormat="1" applyFont="1" applyFill="1" applyAlignment="1">
      <alignment horizontal="center" wrapText="1"/>
    </xf>
    <xf numFmtId="165" fontId="0" fillId="5" borderId="18" xfId="0" applyNumberFormat="1" applyFill="1" applyBorder="1" applyAlignment="1">
      <alignment vertical="center" wrapText="1"/>
    </xf>
    <xf numFmtId="0" fontId="0" fillId="5" borderId="0" xfId="0" applyFill="1"/>
    <xf numFmtId="0" fontId="1" fillId="0" borderId="8" xfId="0" applyFont="1" applyBorder="1" applyAlignment="1">
      <alignment horizontal="left" wrapText="1"/>
    </xf>
    <xf numFmtId="0" fontId="24" fillId="0" borderId="0" xfId="0" applyFont="1"/>
    <xf numFmtId="0" fontId="0" fillId="12" borderId="1" xfId="0" applyFill="1" applyBorder="1"/>
    <xf numFmtId="0" fontId="0" fillId="13" borderId="1" xfId="0" applyFill="1" applyBorder="1"/>
    <xf numFmtId="2" fontId="1" fillId="4" borderId="0" xfId="0" applyNumberFormat="1" applyFont="1" applyFill="1" applyAlignment="1">
      <alignment horizontal="center"/>
    </xf>
    <xf numFmtId="2" fontId="1" fillId="2" borderId="0" xfId="0" applyNumberFormat="1" applyFont="1" applyFill="1" applyAlignment="1">
      <alignment horizontal="center"/>
    </xf>
    <xf numFmtId="1" fontId="1" fillId="4" borderId="1" xfId="0" applyNumberFormat="1" applyFont="1" applyFill="1" applyBorder="1"/>
    <xf numFmtId="0" fontId="25" fillId="0" borderId="0" xfId="6" applyFill="1"/>
    <xf numFmtId="0" fontId="4" fillId="0" borderId="0" xfId="8" applyFont="1" applyFill="1" applyAlignment="1">
      <alignment horizontal="center"/>
    </xf>
    <xf numFmtId="0" fontId="4" fillId="0" borderId="0" xfId="8" applyFont="1" applyFill="1"/>
    <xf numFmtId="0" fontId="4" fillId="0" borderId="0" xfId="7" applyFont="1" applyFill="1" applyAlignment="1">
      <alignment horizontal="center"/>
    </xf>
    <xf numFmtId="10" fontId="17" fillId="10" borderId="0" xfId="1" applyNumberFormat="1" applyFont="1" applyFill="1" applyBorder="1" applyAlignment="1"/>
    <xf numFmtId="164" fontId="0" fillId="2" borderId="1" xfId="0" applyNumberFormat="1" applyFill="1" applyBorder="1" applyAlignment="1">
      <alignment horizontal="right"/>
    </xf>
    <xf numFmtId="1" fontId="1" fillId="4" borderId="18" xfId="0" applyNumberFormat="1" applyFont="1" applyFill="1" applyBorder="1"/>
    <xf numFmtId="0" fontId="1" fillId="4" borderId="20" xfId="0" applyFont="1" applyFill="1" applyBorder="1" applyAlignment="1">
      <alignment horizontal="right"/>
    </xf>
    <xf numFmtId="164" fontId="1" fillId="4" borderId="37" xfId="0" applyNumberFormat="1" applyFont="1" applyFill="1" applyBorder="1" applyAlignment="1">
      <alignment horizontal="center"/>
    </xf>
    <xf numFmtId="164" fontId="1" fillId="4" borderId="38" xfId="0" applyNumberFormat="1" applyFont="1" applyFill="1" applyBorder="1" applyAlignment="1">
      <alignment horizontal="center"/>
    </xf>
    <xf numFmtId="0" fontId="1" fillId="4" borderId="4" xfId="0" applyFont="1" applyFill="1" applyBorder="1" applyAlignment="1">
      <alignment horizontal="right"/>
    </xf>
    <xf numFmtId="0" fontId="1" fillId="4" borderId="31" xfId="0" applyFont="1" applyFill="1" applyBorder="1" applyAlignment="1">
      <alignment horizontal="center"/>
    </xf>
    <xf numFmtId="0" fontId="1" fillId="4" borderId="32" xfId="0" applyFont="1" applyFill="1" applyBorder="1" applyAlignment="1">
      <alignment horizontal="center"/>
    </xf>
    <xf numFmtId="0" fontId="0" fillId="7" borderId="17" xfId="0" applyFill="1" applyBorder="1" applyAlignment="1">
      <alignment horizontal="right"/>
    </xf>
    <xf numFmtId="164" fontId="1" fillId="7" borderId="18" xfId="0" applyNumberFormat="1" applyFont="1" applyFill="1" applyBorder="1" applyAlignment="1">
      <alignment horizontal="right"/>
    </xf>
    <xf numFmtId="164" fontId="1" fillId="7" borderId="39" xfId="0" applyNumberFormat="1" applyFont="1" applyFill="1" applyBorder="1" applyAlignment="1">
      <alignment horizontal="right"/>
    </xf>
    <xf numFmtId="0" fontId="0" fillId="7" borderId="13" xfId="0" applyFill="1" applyBorder="1" applyAlignment="1">
      <alignment horizontal="right"/>
    </xf>
    <xf numFmtId="0" fontId="1" fillId="11" borderId="1" xfId="4" applyFont="1" applyFill="1" applyBorder="1"/>
    <xf numFmtId="2" fontId="0" fillId="11" borderId="1" xfId="1" applyNumberFormat="1" applyFont="1" applyFill="1" applyBorder="1" applyAlignment="1"/>
    <xf numFmtId="0" fontId="0" fillId="5" borderId="1" xfId="0" applyFill="1" applyBorder="1" applyAlignment="1">
      <alignment horizontal="right"/>
    </xf>
    <xf numFmtId="0" fontId="0" fillId="0" borderId="0" xfId="0" applyAlignment="1">
      <alignment vertical="top" wrapText="1"/>
    </xf>
    <xf numFmtId="0" fontId="0" fillId="0" borderId="0" xfId="0" applyAlignment="1">
      <alignment vertical="top"/>
    </xf>
    <xf numFmtId="0" fontId="0" fillId="0" borderId="0" xfId="0" applyAlignment="1">
      <alignment wrapText="1"/>
    </xf>
    <xf numFmtId="0" fontId="0" fillId="0" borderId="0" xfId="0"/>
    <xf numFmtId="0" fontId="11" fillId="0" borderId="20" xfId="0" applyFont="1" applyBorder="1" applyAlignment="1">
      <alignment horizontal="left" vertical="top" wrapText="1"/>
    </xf>
    <xf numFmtId="0" fontId="11" fillId="0" borderId="21" xfId="0" applyFont="1" applyBorder="1" applyAlignment="1">
      <alignment horizontal="left" vertical="top" wrapText="1"/>
    </xf>
    <xf numFmtId="0" fontId="11" fillId="0" borderId="2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1" fillId="0" borderId="9" xfId="0" applyFont="1" applyBorder="1" applyAlignment="1">
      <alignment horizontal="center" vertical="center"/>
    </xf>
    <xf numFmtId="0" fontId="1" fillId="4" borderId="8"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4" borderId="9" xfId="0" applyFont="1" applyFill="1" applyBorder="1" applyAlignment="1">
      <alignment horizontal="center" vertical="center" wrapText="1"/>
    </xf>
    <xf numFmtId="10" fontId="1" fillId="2" borderId="8" xfId="1" applyNumberFormat="1" applyFont="1" applyFill="1" applyBorder="1" applyAlignment="1">
      <alignment horizontal="center" vertical="center" wrapText="1"/>
    </xf>
    <xf numFmtId="10" fontId="1" fillId="2" borderId="10" xfId="1" applyNumberFormat="1" applyFont="1" applyFill="1" applyBorder="1" applyAlignment="1">
      <alignment horizontal="center" vertical="center" wrapText="1"/>
    </xf>
    <xf numFmtId="10" fontId="1" fillId="2" borderId="9" xfId="1" applyNumberFormat="1" applyFont="1" applyFill="1" applyBorder="1" applyAlignment="1">
      <alignment horizontal="center" vertical="center" wrapText="1"/>
    </xf>
    <xf numFmtId="0" fontId="26" fillId="10" borderId="20" xfId="0" quotePrefix="1" applyFont="1" applyFill="1" applyBorder="1" applyAlignment="1">
      <alignment horizontal="left" wrapText="1"/>
    </xf>
    <xf numFmtId="0" fontId="26" fillId="0" borderId="21" xfId="0" applyFont="1" applyBorder="1" applyAlignment="1">
      <alignment horizontal="left"/>
    </xf>
    <xf numFmtId="0" fontId="26" fillId="0" borderId="23" xfId="0" applyFont="1" applyBorder="1" applyAlignment="1">
      <alignment horizontal="left"/>
    </xf>
    <xf numFmtId="0" fontId="26" fillId="0" borderId="2" xfId="0" applyFont="1" applyBorder="1" applyAlignment="1">
      <alignment horizontal="left"/>
    </xf>
    <xf numFmtId="0" fontId="26" fillId="0" borderId="0" xfId="0" applyFont="1" applyAlignment="1">
      <alignment horizontal="left"/>
    </xf>
    <xf numFmtId="0" fontId="26" fillId="0" borderId="3" xfId="0" applyFont="1" applyBorder="1" applyAlignment="1">
      <alignment horizontal="left"/>
    </xf>
    <xf numFmtId="0" fontId="26" fillId="0" borderId="4" xfId="0" applyFont="1" applyBorder="1" applyAlignment="1">
      <alignment horizontal="left"/>
    </xf>
    <xf numFmtId="0" fontId="26" fillId="0" borderId="5" xfId="0" applyFont="1" applyBorder="1" applyAlignment="1">
      <alignment horizontal="left"/>
    </xf>
    <xf numFmtId="0" fontId="26" fillId="0" borderId="6" xfId="0" applyFont="1" applyBorder="1" applyAlignment="1">
      <alignment horizontal="left"/>
    </xf>
    <xf numFmtId="0" fontId="1" fillId="0" borderId="8" xfId="0" applyFont="1" applyBorder="1" applyAlignment="1">
      <alignment horizontal="center"/>
    </xf>
    <xf numFmtId="0" fontId="0" fillId="0" borderId="10" xfId="0" applyBorder="1"/>
    <xf numFmtId="0" fontId="0" fillId="0" borderId="9" xfId="0" applyBorder="1"/>
    <xf numFmtId="0" fontId="1" fillId="0" borderId="8" xfId="0" applyFont="1" applyBorder="1" applyAlignment="1">
      <alignment horizontal="center" vertical="center" wrapText="1"/>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1" fillId="8" borderId="20" xfId="0" applyFont="1" applyFill="1"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0" fillId="0" borderId="24" xfId="0" applyBorder="1" applyAlignment="1">
      <alignment vertical="center" wrapText="1"/>
    </xf>
    <xf numFmtId="0" fontId="0" fillId="0" borderId="22" xfId="0" applyBorder="1" applyAlignment="1">
      <alignment vertical="center" wrapText="1"/>
    </xf>
    <xf numFmtId="0" fontId="0" fillId="0" borderId="25" xfId="0" applyBorder="1" applyAlignment="1">
      <alignment vertical="center" wrapText="1"/>
    </xf>
    <xf numFmtId="10" fontId="1" fillId="7" borderId="8" xfId="1" applyNumberFormat="1" applyFont="1" applyFill="1" applyBorder="1" applyAlignment="1">
      <alignment horizontal="center" vertical="center" wrapText="1"/>
    </xf>
    <xf numFmtId="0" fontId="0" fillId="0" borderId="1" xfId="0" applyBorder="1"/>
    <xf numFmtId="0" fontId="1" fillId="0" borderId="1" xfId="0" applyFont="1" applyBorder="1" applyAlignment="1">
      <alignment horizontal="center"/>
    </xf>
    <xf numFmtId="0" fontId="0" fillId="0" borderId="1" xfId="0" applyBorder="1" applyAlignment="1">
      <alignment horizontal="left"/>
    </xf>
    <xf numFmtId="0" fontId="1" fillId="0" borderId="1" xfId="0" applyFont="1" applyBorder="1" applyAlignment="1">
      <alignment horizontal="left"/>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36" xfId="0" applyFont="1" applyBorder="1" applyAlignment="1">
      <alignment horizontal="center" vertical="center"/>
    </xf>
    <xf numFmtId="0" fontId="1" fillId="0" borderId="15" xfId="0" applyFont="1" applyBorder="1" applyAlignment="1">
      <alignment horizontal="center" vertical="center"/>
    </xf>
    <xf numFmtId="0" fontId="1" fillId="4" borderId="8" xfId="0" applyFont="1" applyFill="1" applyBorder="1" applyAlignment="1">
      <alignment horizontal="center" wrapText="1"/>
    </xf>
    <xf numFmtId="0" fontId="1" fillId="4" borderId="10" xfId="0" applyFont="1" applyFill="1" applyBorder="1" applyAlignment="1">
      <alignment horizontal="center" wrapText="1"/>
    </xf>
    <xf numFmtId="0" fontId="1" fillId="4" borderId="9" xfId="0" applyFont="1" applyFill="1" applyBorder="1" applyAlignment="1">
      <alignment horizontal="center" wrapText="1"/>
    </xf>
    <xf numFmtId="0" fontId="1" fillId="2" borderId="8" xfId="0" applyFont="1" applyFill="1" applyBorder="1" applyAlignment="1">
      <alignment horizontal="center" wrapText="1"/>
    </xf>
    <xf numFmtId="0" fontId="1" fillId="2" borderId="10" xfId="0" applyFont="1" applyFill="1" applyBorder="1" applyAlignment="1">
      <alignment horizontal="center" wrapText="1"/>
    </xf>
    <xf numFmtId="0" fontId="1" fillId="2" borderId="9" xfId="0" applyFont="1" applyFill="1" applyBorder="1" applyAlignment="1">
      <alignment horizontal="center" wrapText="1"/>
    </xf>
    <xf numFmtId="0" fontId="1" fillId="4" borderId="8" xfId="0" applyFont="1" applyFill="1" applyBorder="1" applyAlignment="1">
      <alignment horizontal="center"/>
    </xf>
    <xf numFmtId="0" fontId="1" fillId="4" borderId="10" xfId="0" applyFont="1" applyFill="1" applyBorder="1" applyAlignment="1">
      <alignment horizontal="center"/>
    </xf>
    <xf numFmtId="0" fontId="1" fillId="4" borderId="9" xfId="0" applyFont="1" applyFill="1" applyBorder="1" applyAlignment="1">
      <alignment horizontal="center"/>
    </xf>
    <xf numFmtId="0" fontId="12" fillId="0" borderId="8" xfId="0" applyFont="1" applyBorder="1" applyAlignment="1">
      <alignment horizontal="left" vertical="center"/>
    </xf>
    <xf numFmtId="0" fontId="12" fillId="0" borderId="10" xfId="0" applyFont="1" applyBorder="1" applyAlignment="1">
      <alignment horizontal="left" vertical="center"/>
    </xf>
    <xf numFmtId="0" fontId="12" fillId="0" borderId="9" xfId="0" applyFont="1" applyBorder="1" applyAlignment="1">
      <alignment horizontal="left" vertical="center"/>
    </xf>
    <xf numFmtId="0" fontId="12" fillId="0" borderId="8"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9" xfId="0" applyFont="1" applyBorder="1" applyAlignment="1">
      <alignment horizontal="center" vertical="center" wrapText="1"/>
    </xf>
    <xf numFmtId="0" fontId="1" fillId="5" borderId="8" xfId="0" applyFont="1" applyFill="1" applyBorder="1" applyAlignment="1">
      <alignment horizontal="center"/>
    </xf>
    <xf numFmtId="0" fontId="1" fillId="5" borderId="10" xfId="0" applyFont="1" applyFill="1" applyBorder="1" applyAlignment="1">
      <alignment horizontal="center"/>
    </xf>
    <xf numFmtId="0" fontId="1" fillId="5" borderId="9" xfId="0" applyFont="1" applyFill="1" applyBorder="1" applyAlignment="1">
      <alignment horizontal="center"/>
    </xf>
    <xf numFmtId="0" fontId="1" fillId="0" borderId="7" xfId="0" applyFont="1" applyBorder="1" applyAlignment="1">
      <alignment horizontal="center" vertical="center"/>
    </xf>
    <xf numFmtId="0" fontId="9" fillId="0" borderId="7" xfId="0" applyFont="1" applyBorder="1" applyAlignment="1">
      <alignment horizontal="center" vertical="center"/>
    </xf>
    <xf numFmtId="0" fontId="9" fillId="0" borderId="0" xfId="6" applyFont="1" applyFill="1" applyAlignment="1">
      <alignment horizontal="center"/>
    </xf>
    <xf numFmtId="0" fontId="4" fillId="0" borderId="0" xfId="7" applyFont="1" applyFill="1" applyAlignment="1">
      <alignment horizontal="center"/>
    </xf>
  </cellXfs>
  <cellStyles count="9">
    <cellStyle name="20% - Ênfase1" xfId="7" builtinId="30"/>
    <cellStyle name="60% - Ênfase1" xfId="8" builtinId="32"/>
    <cellStyle name="Célula de Verificação" xfId="3" builtinId="23"/>
    <cellStyle name="Comma 3" xfId="5" xr:uid="{00000000-0005-0000-0000-000004000000}"/>
    <cellStyle name="Ênfase1" xfId="6" builtinId="29"/>
    <cellStyle name="Normal" xfId="0" builtinId="0"/>
    <cellStyle name="Normal 2" xfId="2" xr:uid="{00000000-0005-0000-0000-000006000000}"/>
    <cellStyle name="Normal 20" xfId="4" xr:uid="{00000000-0005-0000-0000-000007000000}"/>
    <cellStyle name="Porcentagem" xfId="1" builtinId="5"/>
  </cellStyles>
  <dxfs count="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99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AT"/>
              <a:t>Spectral CM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'INIT-File+Corr'!$B$16:$B$636</c:f>
              <c:numCache>
                <c:formatCode>0.000000</c:formatCode>
                <c:ptCount val="620"/>
                <c:pt idx="0">
                  <c:v>0.19414000000000001</c:v>
                </c:pt>
                <c:pt idx="1">
                  <c:v>0.19611000000000001</c:v>
                </c:pt>
                <c:pt idx="2">
                  <c:v>0.19808999999999999</c:v>
                </c:pt>
                <c:pt idx="3">
                  <c:v>0.20008999999999999</c:v>
                </c:pt>
                <c:pt idx="4">
                  <c:v>0.20211000000000001</c:v>
                </c:pt>
                <c:pt idx="5">
                  <c:v>0.20415</c:v>
                </c:pt>
                <c:pt idx="6">
                  <c:v>0.20621</c:v>
                </c:pt>
                <c:pt idx="7">
                  <c:v>0.20829</c:v>
                </c:pt>
                <c:pt idx="8">
                  <c:v>0.2104</c:v>
                </c:pt>
                <c:pt idx="9">
                  <c:v>0.21251999999999999</c:v>
                </c:pt>
                <c:pt idx="10">
                  <c:v>0.21467</c:v>
                </c:pt>
                <c:pt idx="11">
                  <c:v>0.21684</c:v>
                </c:pt>
                <c:pt idx="12">
                  <c:v>0.21903</c:v>
                </c:pt>
                <c:pt idx="13">
                  <c:v>0.22123999999999999</c:v>
                </c:pt>
                <c:pt idx="14">
                  <c:v>0.22345999999999999</c:v>
                </c:pt>
                <c:pt idx="15">
                  <c:v>0.22569</c:v>
                </c:pt>
                <c:pt idx="16">
                  <c:v>0.22792000000000001</c:v>
                </c:pt>
                <c:pt idx="17">
                  <c:v>0.23011999999999999</c:v>
                </c:pt>
                <c:pt idx="18">
                  <c:v>0.23229</c:v>
                </c:pt>
                <c:pt idx="19">
                  <c:v>0.23438000000000001</c:v>
                </c:pt>
                <c:pt idx="20">
                  <c:v>0.23637</c:v>
                </c:pt>
                <c:pt idx="21">
                  <c:v>0.2382</c:v>
                </c:pt>
                <c:pt idx="22">
                  <c:v>0.23984</c:v>
                </c:pt>
                <c:pt idx="23">
                  <c:v>0.24121999999999999</c:v>
                </c:pt>
                <c:pt idx="24">
                  <c:v>0.24229999999999999</c:v>
                </c:pt>
                <c:pt idx="25">
                  <c:v>0.24301</c:v>
                </c:pt>
                <c:pt idx="26">
                  <c:v>0.24329999999999999</c:v>
                </c:pt>
                <c:pt idx="27">
                  <c:v>0.24312</c:v>
                </c:pt>
                <c:pt idx="28">
                  <c:v>0.24240999999999999</c:v>
                </c:pt>
                <c:pt idx="29">
                  <c:v>0.24113999999999999</c:v>
                </c:pt>
                <c:pt idx="30">
                  <c:v>0.23927000000000001</c:v>
                </c:pt>
                <c:pt idx="31">
                  <c:v>0.23677000000000001</c:v>
                </c:pt>
                <c:pt idx="32">
                  <c:v>0.23363999999999999</c:v>
                </c:pt>
                <c:pt idx="33">
                  <c:v>0.22985</c:v>
                </c:pt>
                <c:pt idx="34">
                  <c:v>0.22541</c:v>
                </c:pt>
                <c:pt idx="35">
                  <c:v>0.22033</c:v>
                </c:pt>
                <c:pt idx="36">
                  <c:v>0.21462000000000001</c:v>
                </c:pt>
                <c:pt idx="37">
                  <c:v>0.20830000000000001</c:v>
                </c:pt>
                <c:pt idx="38">
                  <c:v>0.20141000000000001</c:v>
                </c:pt>
                <c:pt idx="39">
                  <c:v>0.19397</c:v>
                </c:pt>
                <c:pt idx="40">
                  <c:v>0.18601999999999999</c:v>
                </c:pt>
                <c:pt idx="41">
                  <c:v>0.17760999999999999</c:v>
                </c:pt>
                <c:pt idx="42">
                  <c:v>0.16878000000000001</c:v>
                </c:pt>
                <c:pt idx="43">
                  <c:v>0.15959000000000001</c:v>
                </c:pt>
                <c:pt idx="44">
                  <c:v>0.15007000000000001</c:v>
                </c:pt>
                <c:pt idx="45">
                  <c:v>0.14029</c:v>
                </c:pt>
                <c:pt idx="46">
                  <c:v>0.1303</c:v>
                </c:pt>
                <c:pt idx="47">
                  <c:v>0.12015000000000001</c:v>
                </c:pt>
                <c:pt idx="48">
                  <c:v>0.1099</c:v>
                </c:pt>
                <c:pt idx="49">
                  <c:v>9.9596000000000004E-2</c:v>
                </c:pt>
                <c:pt idx="50">
                  <c:v>8.9299000000000003E-2</c:v>
                </c:pt>
                <c:pt idx="51">
                  <c:v>7.9061999999999993E-2</c:v>
                </c:pt>
                <c:pt idx="52">
                  <c:v>6.8934999999999996E-2</c:v>
                </c:pt>
                <c:pt idx="53">
                  <c:v>5.8971000000000003E-2</c:v>
                </c:pt>
                <c:pt idx="54">
                  <c:v>4.9218999999999999E-2</c:v>
                </c:pt>
                <c:pt idx="55">
                  <c:v>3.0540000000000001E-2</c:v>
                </c:pt>
                <c:pt idx="56">
                  <c:v>2.1704000000000001E-2</c:v>
                </c:pt>
                <c:pt idx="57">
                  <c:v>1.3261E-2</c:v>
                </c:pt>
                <c:pt idx="58">
                  <c:v>5.2488999999999999E-3</c:v>
                </c:pt>
                <c:pt idx="59">
                  <c:v>-2.2945999999999999E-3</c:v>
                </c:pt>
                <c:pt idx="60">
                  <c:v>-9.3361E-3</c:v>
                </c:pt>
                <c:pt idx="61">
                  <c:v>-1.5845000000000001E-2</c:v>
                </c:pt>
                <c:pt idx="62">
                  <c:v>-2.1795999999999999E-2</c:v>
                </c:pt>
                <c:pt idx="63">
                  <c:v>-2.7165999999999999E-2</c:v>
                </c:pt>
                <c:pt idx="64">
                  <c:v>-3.1937E-2</c:v>
                </c:pt>
                <c:pt idx="65">
                  <c:v>-3.6096999999999997E-2</c:v>
                </c:pt>
                <c:pt idx="66">
                  <c:v>-3.9639000000000001E-2</c:v>
                </c:pt>
                <c:pt idx="67">
                  <c:v>-4.2560000000000001E-2</c:v>
                </c:pt>
                <c:pt idx="68">
                  <c:v>-4.4867999999999998E-2</c:v>
                </c:pt>
                <c:pt idx="69">
                  <c:v>-4.6571000000000001E-2</c:v>
                </c:pt>
                <c:pt idx="70">
                  <c:v>-4.7688000000000001E-2</c:v>
                </c:pt>
                <c:pt idx="71">
                  <c:v>-4.8242E-2</c:v>
                </c:pt>
                <c:pt idx="72">
                  <c:v>-4.8260999999999998E-2</c:v>
                </c:pt>
                <c:pt idx="73">
                  <c:v>-4.7780000000000003E-2</c:v>
                </c:pt>
                <c:pt idx="74">
                  <c:v>-4.6835000000000002E-2</c:v>
                </c:pt>
                <c:pt idx="75">
                  <c:v>-4.5467E-2</c:v>
                </c:pt>
                <c:pt idx="76">
                  <c:v>-4.3721000000000003E-2</c:v>
                </c:pt>
                <c:pt idx="77">
                  <c:v>-4.1640999999999997E-2</c:v>
                </c:pt>
                <c:pt idx="78">
                  <c:v>-3.9272000000000001E-2</c:v>
                </c:pt>
                <c:pt idx="79">
                  <c:v>-3.6660999999999999E-2</c:v>
                </c:pt>
                <c:pt idx="80">
                  <c:v>-3.3852E-2</c:v>
                </c:pt>
                <c:pt idx="81">
                  <c:v>-3.0890000000000001E-2</c:v>
                </c:pt>
                <c:pt idx="82">
                  <c:v>-2.7817000000000001E-2</c:v>
                </c:pt>
                <c:pt idx="83">
                  <c:v>-2.4673E-2</c:v>
                </c:pt>
                <c:pt idx="84">
                  <c:v>-2.1495E-2</c:v>
                </c:pt>
                <c:pt idx="85">
                  <c:v>-1.8318000000000001E-2</c:v>
                </c:pt>
                <c:pt idx="86">
                  <c:v>-1.5173000000000001E-2</c:v>
                </c:pt>
                <c:pt idx="87">
                  <c:v>-1.2088E-2</c:v>
                </c:pt>
                <c:pt idx="88">
                  <c:v>-9.0868000000000008E-3</c:v>
                </c:pt>
                <c:pt idx="89">
                  <c:v>-6.1915E-3</c:v>
                </c:pt>
                <c:pt idx="90">
                  <c:v>-3.4198000000000002E-3</c:v>
                </c:pt>
                <c:pt idx="91">
                  <c:v>-7.8669999999999999E-4</c:v>
                </c:pt>
                <c:pt idx="92">
                  <c:v>1.6957999999999999E-3</c:v>
                </c:pt>
                <c:pt idx="93">
                  <c:v>4.0182000000000004E-3</c:v>
                </c:pt>
                <c:pt idx="94">
                  <c:v>6.1732999999999996E-3</c:v>
                </c:pt>
                <c:pt idx="95">
                  <c:v>8.1560999999999995E-3</c:v>
                </c:pt>
                <c:pt idx="96">
                  <c:v>9.9634000000000007E-3</c:v>
                </c:pt>
                <c:pt idx="97">
                  <c:v>1.1592999999999999E-2</c:v>
                </c:pt>
                <c:pt idx="98">
                  <c:v>1.3046E-2</c:v>
                </c:pt>
                <c:pt idx="99">
                  <c:v>1.4322E-2</c:v>
                </c:pt>
                <c:pt idx="100">
                  <c:v>1.5422999999999999E-2</c:v>
                </c:pt>
                <c:pt idx="101">
                  <c:v>1.6352999999999999E-2</c:v>
                </c:pt>
                <c:pt idx="102">
                  <c:v>1.7115999999999999E-2</c:v>
                </c:pt>
                <c:pt idx="103">
                  <c:v>1.7715999999999999E-2</c:v>
                </c:pt>
                <c:pt idx="104">
                  <c:v>1.8157E-2</c:v>
                </c:pt>
                <c:pt idx="105">
                  <c:v>1.8447999999999999E-2</c:v>
                </c:pt>
                <c:pt idx="106">
                  <c:v>1.8592000000000001E-2</c:v>
                </c:pt>
                <c:pt idx="107">
                  <c:v>1.8599000000000001E-2</c:v>
                </c:pt>
                <c:pt idx="108">
                  <c:v>1.8474000000000001E-2</c:v>
                </c:pt>
                <c:pt idx="109">
                  <c:v>1.8225000000000002E-2</c:v>
                </c:pt>
                <c:pt idx="110">
                  <c:v>1.7861999999999999E-2</c:v>
                </c:pt>
                <c:pt idx="111">
                  <c:v>1.7391E-2</c:v>
                </c:pt>
                <c:pt idx="112">
                  <c:v>1.6820999999999999E-2</c:v>
                </c:pt>
                <c:pt idx="113">
                  <c:v>1.6160999999999998E-2</c:v>
                </c:pt>
                <c:pt idx="114">
                  <c:v>1.542E-2</c:v>
                </c:pt>
                <c:pt idx="115">
                  <c:v>1.4607E-2</c:v>
                </c:pt>
                <c:pt idx="116">
                  <c:v>1.3731E-2</c:v>
                </c:pt>
                <c:pt idx="117">
                  <c:v>1.2800000000000001E-2</c:v>
                </c:pt>
                <c:pt idx="118">
                  <c:v>1.1825E-2</c:v>
                </c:pt>
                <c:pt idx="119">
                  <c:v>1.0814000000000001E-2</c:v>
                </c:pt>
                <c:pt idx="120">
                  <c:v>9.7750000000000007E-3</c:v>
                </c:pt>
                <c:pt idx="121">
                  <c:v>8.7182000000000006E-3</c:v>
                </c:pt>
                <c:pt idx="122">
                  <c:v>7.6518000000000003E-3</c:v>
                </c:pt>
                <c:pt idx="123">
                  <c:v>6.5842000000000001E-3</c:v>
                </c:pt>
                <c:pt idx="124">
                  <c:v>5.5234999999999998E-3</c:v>
                </c:pt>
                <c:pt idx="125">
                  <c:v>4.4774999999999997E-3</c:v>
                </c:pt>
                <c:pt idx="126">
                  <c:v>3.4534000000000001E-3</c:v>
                </c:pt>
                <c:pt idx="127">
                  <c:v>2.4583000000000001E-3</c:v>
                </c:pt>
                <c:pt idx="128">
                  <c:v>1.4982999999999999E-3</c:v>
                </c:pt>
                <c:pt idx="129">
                  <c:v>5.7949E-4</c:v>
                </c:pt>
                <c:pt idx="130">
                  <c:v>-2.9315E-4</c:v>
                </c:pt>
                <c:pt idx="131">
                  <c:v>-1.1150000000000001E-3</c:v>
                </c:pt>
                <c:pt idx="132">
                  <c:v>-1.8822999999999999E-3</c:v>
                </c:pt>
                <c:pt idx="133">
                  <c:v>-2.5918999999999998E-3</c:v>
                </c:pt>
                <c:pt idx="134">
                  <c:v>-3.2412000000000001E-3</c:v>
                </c:pt>
                <c:pt idx="135">
                  <c:v>-3.8284999999999999E-3</c:v>
                </c:pt>
                <c:pt idx="136">
                  <c:v>-4.3525999999999999E-3</c:v>
                </c:pt>
                <c:pt idx="137">
                  <c:v>-4.8132000000000001E-3</c:v>
                </c:pt>
                <c:pt idx="138">
                  <c:v>-5.2101999999999999E-3</c:v>
                </c:pt>
                <c:pt idx="139">
                  <c:v>-5.5443000000000003E-3</c:v>
                </c:pt>
                <c:pt idx="140">
                  <c:v>-5.8167000000000002E-3</c:v>
                </c:pt>
                <c:pt idx="141">
                  <c:v>-6.0286999999999997E-3</c:v>
                </c:pt>
                <c:pt idx="142">
                  <c:v>-6.1824999999999996E-3</c:v>
                </c:pt>
                <c:pt idx="143">
                  <c:v>-6.2802999999999999E-3</c:v>
                </c:pt>
                <c:pt idx="144">
                  <c:v>-6.3244E-3</c:v>
                </c:pt>
                <c:pt idx="145">
                  <c:v>-6.3176999999999999E-3</c:v>
                </c:pt>
                <c:pt idx="146">
                  <c:v>-6.2630999999999997E-3</c:v>
                </c:pt>
                <c:pt idx="147">
                  <c:v>-6.1636E-3</c:v>
                </c:pt>
                <c:pt idx="148">
                  <c:v>-6.0223000000000004E-3</c:v>
                </c:pt>
                <c:pt idx="149">
                  <c:v>-5.8424000000000002E-3</c:v>
                </c:pt>
                <c:pt idx="150">
                  <c:v>-5.6271000000000003E-3</c:v>
                </c:pt>
                <c:pt idx="151">
                  <c:v>-5.3797000000000003E-3</c:v>
                </c:pt>
                <c:pt idx="152">
                  <c:v>-5.1034000000000001E-3</c:v>
                </c:pt>
                <c:pt idx="153">
                  <c:v>-4.8015000000000002E-3</c:v>
                </c:pt>
                <c:pt idx="154">
                  <c:v>-4.4771000000000004E-3</c:v>
                </c:pt>
                <c:pt idx="155">
                  <c:v>-4.1335E-3</c:v>
                </c:pt>
                <c:pt idx="156">
                  <c:v>-3.7735999999999998E-3</c:v>
                </c:pt>
                <c:pt idx="157">
                  <c:v>-3.4004999999999999E-3</c:v>
                </c:pt>
                <c:pt idx="158">
                  <c:v>-3.0171999999999998E-3</c:v>
                </c:pt>
                <c:pt idx="159">
                  <c:v>-2.6266000000000002E-3</c:v>
                </c:pt>
                <c:pt idx="160">
                  <c:v>-2.2315E-3</c:v>
                </c:pt>
                <c:pt idx="161">
                  <c:v>-1.8346E-3</c:v>
                </c:pt>
                <c:pt idx="162">
                  <c:v>-1.4384000000000001E-3</c:v>
                </c:pt>
                <c:pt idx="163">
                  <c:v>-1.0453999999999999E-3</c:v>
                </c:pt>
                <c:pt idx="164">
                  <c:v>-6.5806000000000003E-4</c:v>
                </c:pt>
                <c:pt idx="165">
                  <c:v>-2.7856000000000002E-4</c:v>
                </c:pt>
                <c:pt idx="166">
                  <c:v>9.0985999999999999E-5</c:v>
                </c:pt>
                <c:pt idx="167">
                  <c:v>4.4859000000000001E-4</c:v>
                </c:pt>
                <c:pt idx="168">
                  <c:v>7.9241999999999995E-4</c:v>
                </c:pt>
                <c:pt idx="169">
                  <c:v>1.1207999999999999E-3</c:v>
                </c:pt>
                <c:pt idx="170">
                  <c:v>1.4319999999999999E-3</c:v>
                </c:pt>
                <c:pt idx="171">
                  <c:v>1.7248000000000001E-3</c:v>
                </c:pt>
                <c:pt idx="172">
                  <c:v>1.9978999999999999E-3</c:v>
                </c:pt>
                <c:pt idx="173">
                  <c:v>2.2499999999999998E-3</c:v>
                </c:pt>
                <c:pt idx="174">
                  <c:v>2.4803E-3</c:v>
                </c:pt>
                <c:pt idx="175">
                  <c:v>2.6878000000000002E-3</c:v>
                </c:pt>
                <c:pt idx="176">
                  <c:v>2.8719000000000001E-3</c:v>
                </c:pt>
                <c:pt idx="177">
                  <c:v>3.0319000000000001E-3</c:v>
                </c:pt>
                <c:pt idx="178">
                  <c:v>3.1675000000000002E-3</c:v>
                </c:pt>
                <c:pt idx="179">
                  <c:v>3.2783999999999999E-3</c:v>
                </c:pt>
                <c:pt idx="180">
                  <c:v>3.3644999999999999E-3</c:v>
                </c:pt>
                <c:pt idx="181">
                  <c:v>3.4256999999999998E-3</c:v>
                </c:pt>
                <c:pt idx="182">
                  <c:v>3.4621000000000001E-3</c:v>
                </c:pt>
                <c:pt idx="183">
                  <c:v>3.4740000000000001E-3</c:v>
                </c:pt>
                <c:pt idx="184">
                  <c:v>3.4619E-3</c:v>
                </c:pt>
                <c:pt idx="185">
                  <c:v>3.4261999999999999E-3</c:v>
                </c:pt>
                <c:pt idx="186">
                  <c:v>3.3676000000000001E-3</c:v>
                </c:pt>
                <c:pt idx="187">
                  <c:v>3.2869000000000002E-3</c:v>
                </c:pt>
                <c:pt idx="188">
                  <c:v>3.1849000000000001E-3</c:v>
                </c:pt>
                <c:pt idx="189">
                  <c:v>3.0626999999999998E-3</c:v>
                </c:pt>
                <c:pt idx="190">
                  <c:v>2.9215000000000001E-3</c:v>
                </c:pt>
                <c:pt idx="191">
                  <c:v>2.7623999999999999E-3</c:v>
                </c:pt>
                <c:pt idx="192">
                  <c:v>2.5868000000000002E-3</c:v>
                </c:pt>
                <c:pt idx="193">
                  <c:v>2.3963000000000001E-3</c:v>
                </c:pt>
                <c:pt idx="194">
                  <c:v>2.1922000000000001E-3</c:v>
                </c:pt>
                <c:pt idx="195">
                  <c:v>1.9764000000000001E-3</c:v>
                </c:pt>
                <c:pt idx="196">
                  <c:v>1.7504E-3</c:v>
                </c:pt>
                <c:pt idx="197">
                  <c:v>1.5161E-3</c:v>
                </c:pt>
                <c:pt idx="198">
                  <c:v>1.2753E-3</c:v>
                </c:pt>
                <c:pt idx="199">
                  <c:v>1.0300000000000001E-3</c:v>
                </c:pt>
                <c:pt idx="200">
                  <c:v>7.8193000000000002E-4</c:v>
                </c:pt>
                <c:pt idx="201">
                  <c:v>5.3319000000000001E-4</c:v>
                </c:pt>
                <c:pt idx="202">
                  <c:v>2.8571E-4</c:v>
                </c:pt>
                <c:pt idx="203">
                  <c:v>4.1412999999999998E-5</c:v>
                </c:pt>
                <c:pt idx="204">
                  <c:v>-1.9778999999999999E-4</c:v>
                </c:pt>
                <c:pt idx="205">
                  <c:v>-4.3005000000000002E-4</c:v>
                </c:pt>
                <c:pt idx="206">
                  <c:v>-6.5359999999999995E-4</c:v>
                </c:pt>
                <c:pt idx="207">
                  <c:v>-8.6678999999999999E-4</c:v>
                </c:pt>
                <c:pt idx="208">
                  <c:v>-1.0681E-3</c:v>
                </c:pt>
                <c:pt idx="209">
                  <c:v>-1.2562000000000001E-3</c:v>
                </c:pt>
                <c:pt idx="210">
                  <c:v>-1.4300000000000001E-3</c:v>
                </c:pt>
                <c:pt idx="211">
                  <c:v>-1.5885999999999999E-3</c:v>
                </c:pt>
                <c:pt idx="212">
                  <c:v>-1.7313000000000001E-3</c:v>
                </c:pt>
                <c:pt idx="213">
                  <c:v>-1.8579E-3</c:v>
                </c:pt>
                <c:pt idx="214">
                  <c:v>-1.9683000000000001E-3</c:v>
                </c:pt>
                <c:pt idx="215">
                  <c:v>-2.0625999999999999E-3</c:v>
                </c:pt>
                <c:pt idx="216">
                  <c:v>-2.1413999999999999E-3</c:v>
                </c:pt>
                <c:pt idx="217">
                  <c:v>-2.2051000000000002E-3</c:v>
                </c:pt>
                <c:pt idx="218">
                  <c:v>-2.2545E-3</c:v>
                </c:pt>
                <c:pt idx="219">
                  <c:v>-2.2904000000000002E-3</c:v>
                </c:pt>
                <c:pt idx="220">
                  <c:v>-2.3138E-3</c:v>
                </c:pt>
                <c:pt idx="221">
                  <c:v>-2.3254E-3</c:v>
                </c:pt>
                <c:pt idx="222">
                  <c:v>-2.3262000000000001E-3</c:v>
                </c:pt>
                <c:pt idx="223">
                  <c:v>-2.3170999999999999E-3</c:v>
                </c:pt>
                <c:pt idx="224">
                  <c:v>-2.2989E-3</c:v>
                </c:pt>
                <c:pt idx="225">
                  <c:v>-2.2721999999999998E-3</c:v>
                </c:pt>
                <c:pt idx="226">
                  <c:v>-2.238E-3</c:v>
                </c:pt>
                <c:pt idx="227">
                  <c:v>-2.1968999999999999E-3</c:v>
                </c:pt>
                <c:pt idx="228">
                  <c:v>-2.1492999999999998E-3</c:v>
                </c:pt>
                <c:pt idx="229">
                  <c:v>-2.0960000000000002E-3</c:v>
                </c:pt>
                <c:pt idx="230">
                  <c:v>-2.0373000000000001E-3</c:v>
                </c:pt>
                <c:pt idx="231">
                  <c:v>-1.9735999999999998E-3</c:v>
                </c:pt>
                <c:pt idx="232">
                  <c:v>-1.9053E-3</c:v>
                </c:pt>
                <c:pt idx="233">
                  <c:v>-1.8324999999999999E-3</c:v>
                </c:pt>
                <c:pt idx="234">
                  <c:v>-1.7554999999999999E-3</c:v>
                </c:pt>
                <c:pt idx="235">
                  <c:v>-1.6743000000000001E-3</c:v>
                </c:pt>
                <c:pt idx="236">
                  <c:v>-1.5889999999999999E-3</c:v>
                </c:pt>
                <c:pt idx="237">
                  <c:v>-1.4996E-3</c:v>
                </c:pt>
                <c:pt idx="238">
                  <c:v>-1.4059999999999999E-3</c:v>
                </c:pt>
                <c:pt idx="239">
                  <c:v>-1.3081E-3</c:v>
                </c:pt>
                <c:pt idx="240">
                  <c:v>-1.2057000000000001E-3</c:v>
                </c:pt>
                <c:pt idx="241">
                  <c:v>-1.0988E-3</c:v>
                </c:pt>
                <c:pt idx="242">
                  <c:v>-9.8722999999999997E-4</c:v>
                </c:pt>
                <c:pt idx="243">
                  <c:v>-8.7096000000000005E-4</c:v>
                </c:pt>
                <c:pt idx="244">
                  <c:v>-7.5002000000000001E-4</c:v>
                </c:pt>
                <c:pt idx="245">
                  <c:v>-6.2456000000000002E-4</c:v>
                </c:pt>
                <c:pt idx="246">
                  <c:v>-4.9489E-4</c:v>
                </c:pt>
                <c:pt idx="247">
                  <c:v>-3.6151E-4</c:v>
                </c:pt>
                <c:pt idx="248">
                  <c:v>-2.251E-4</c:v>
                </c:pt>
                <c:pt idx="249">
                  <c:v>-8.6562000000000002E-5</c:v>
                </c:pt>
                <c:pt idx="250">
                  <c:v>5.3075000000000003E-5</c:v>
                </c:pt>
                <c:pt idx="251">
                  <c:v>1.9265999999999999E-4</c:v>
                </c:pt>
                <c:pt idx="252">
                  <c:v>3.3100000000000002E-4</c:v>
                </c:pt>
                <c:pt idx="253">
                  <c:v>4.6694E-4</c:v>
                </c:pt>
                <c:pt idx="254">
                  <c:v>5.9942999999999997E-4</c:v>
                </c:pt>
                <c:pt idx="255">
                  <c:v>7.2753E-4</c:v>
                </c:pt>
                <c:pt idx="256">
                  <c:v>8.5048999999999997E-4</c:v>
                </c:pt>
                <c:pt idx="257">
                  <c:v>9.6770999999999999E-4</c:v>
                </c:pt>
                <c:pt idx="258">
                  <c:v>1.0788E-3</c:v>
                </c:pt>
                <c:pt idx="259">
                  <c:v>1.1834E-3</c:v>
                </c:pt>
                <c:pt idx="260">
                  <c:v>1.2814E-3</c:v>
                </c:pt>
                <c:pt idx="261">
                  <c:v>1.3726999999999999E-3</c:v>
                </c:pt>
                <c:pt idx="262">
                  <c:v>1.4572999999999999E-3</c:v>
                </c:pt>
                <c:pt idx="263">
                  <c:v>1.5353000000000001E-3</c:v>
                </c:pt>
                <c:pt idx="264">
                  <c:v>1.6069999999999999E-3</c:v>
                </c:pt>
                <c:pt idx="265">
                  <c:v>1.6723E-3</c:v>
                </c:pt>
                <c:pt idx="266">
                  <c:v>1.7317000000000001E-3</c:v>
                </c:pt>
                <c:pt idx="267">
                  <c:v>1.7853000000000001E-3</c:v>
                </c:pt>
                <c:pt idx="268">
                  <c:v>1.8335000000000001E-3</c:v>
                </c:pt>
                <c:pt idx="269">
                  <c:v>1.8766E-3</c:v>
                </c:pt>
                <c:pt idx="270">
                  <c:v>1.9149E-3</c:v>
                </c:pt>
                <c:pt idx="271">
                  <c:v>1.9487E-3</c:v>
                </c:pt>
                <c:pt idx="272">
                  <c:v>1.9784E-3</c:v>
                </c:pt>
                <c:pt idx="273">
                  <c:v>2.0043000000000001E-3</c:v>
                </c:pt>
                <c:pt idx="274">
                  <c:v>2.0267000000000002E-3</c:v>
                </c:pt>
                <c:pt idx="275">
                  <c:v>2.0460000000000001E-3</c:v>
                </c:pt>
                <c:pt idx="276">
                  <c:v>2.0623999999999998E-3</c:v>
                </c:pt>
                <c:pt idx="277">
                  <c:v>2.0761E-3</c:v>
                </c:pt>
                <c:pt idx="278">
                  <c:v>2.0874000000000001E-3</c:v>
                </c:pt>
                <c:pt idx="279">
                  <c:v>2.0964E-3</c:v>
                </c:pt>
                <c:pt idx="280">
                  <c:v>2.1032999999999998E-3</c:v>
                </c:pt>
                <c:pt idx="281">
                  <c:v>2.1080999999999999E-3</c:v>
                </c:pt>
                <c:pt idx="282">
                  <c:v>2.1107999999999999E-3</c:v>
                </c:pt>
                <c:pt idx="283">
                  <c:v>2.1112000000000001E-3</c:v>
                </c:pt>
                <c:pt idx="284">
                  <c:v>2.1094E-3</c:v>
                </c:pt>
                <c:pt idx="285">
                  <c:v>2.1048999999999998E-3</c:v>
                </c:pt>
                <c:pt idx="286">
                  <c:v>2.0975E-3</c:v>
                </c:pt>
                <c:pt idx="287">
                  <c:v>2.0866999999999999E-3</c:v>
                </c:pt>
                <c:pt idx="288">
                  <c:v>2.0720000000000001E-3</c:v>
                </c:pt>
                <c:pt idx="289">
                  <c:v>2.0528E-3</c:v>
                </c:pt>
                <c:pt idx="290">
                  <c:v>2.0286000000000002E-3</c:v>
                </c:pt>
                <c:pt idx="291">
                  <c:v>1.9987E-3</c:v>
                </c:pt>
                <c:pt idx="292">
                  <c:v>1.9624999999999998E-3</c:v>
                </c:pt>
                <c:pt idx="293">
                  <c:v>1.9193999999999999E-3</c:v>
                </c:pt>
                <c:pt idx="294">
                  <c:v>1.8687E-3</c:v>
                </c:pt>
                <c:pt idx="295">
                  <c:v>1.8098999999999999E-3</c:v>
                </c:pt>
                <c:pt idx="296">
                  <c:v>1.7424999999999999E-3</c:v>
                </c:pt>
                <c:pt idx="297">
                  <c:v>1.6661E-3</c:v>
                </c:pt>
                <c:pt idx="298">
                  <c:v>1.5801999999999999E-3</c:v>
                </c:pt>
                <c:pt idx="299">
                  <c:v>1.4844999999999999E-3</c:v>
                </c:pt>
                <c:pt idx="300">
                  <c:v>1.3789E-3</c:v>
                </c:pt>
                <c:pt idx="301">
                  <c:v>1.2631000000000001E-3</c:v>
                </c:pt>
                <c:pt idx="302">
                  <c:v>1.137E-3</c:v>
                </c:pt>
                <c:pt idx="303">
                  <c:v>1.0007E-3</c:v>
                </c:pt>
                <c:pt idx="304">
                  <c:v>8.5444000000000004E-4</c:v>
                </c:pt>
                <c:pt idx="305">
                  <c:v>6.9842999999999999E-4</c:v>
                </c:pt>
                <c:pt idx="306">
                  <c:v>5.3311999999999999E-4</c:v>
                </c:pt>
                <c:pt idx="307">
                  <c:v>3.5912999999999999E-4</c:v>
                </c:pt>
                <c:pt idx="308">
                  <c:v>1.7717000000000001E-4</c:v>
                </c:pt>
                <c:pt idx="309">
                  <c:v>-1.1868000000000001E-5</c:v>
                </c:pt>
                <c:pt idx="310">
                  <c:v>-2.0701000000000001E-4</c:v>
                </c:pt>
                <c:pt idx="311">
                  <c:v>-4.0718999999999998E-4</c:v>
                </c:pt>
                <c:pt idx="312">
                  <c:v>-6.1125999999999997E-4</c:v>
                </c:pt>
                <c:pt idx="313">
                  <c:v>-8.1806999999999995E-4</c:v>
                </c:pt>
                <c:pt idx="314">
                  <c:v>-1.0264E-3</c:v>
                </c:pt>
                <c:pt idx="315">
                  <c:v>-1.2352999999999999E-3</c:v>
                </c:pt>
                <c:pt idx="316">
                  <c:v>-1.4434000000000001E-3</c:v>
                </c:pt>
                <c:pt idx="317">
                  <c:v>-1.6498999999999999E-3</c:v>
                </c:pt>
                <c:pt idx="318">
                  <c:v>-1.8538000000000001E-3</c:v>
                </c:pt>
                <c:pt idx="319">
                  <c:v>-2.0542999999999998E-3</c:v>
                </c:pt>
                <c:pt idx="320">
                  <c:v>-2.2504999999999999E-3</c:v>
                </c:pt>
                <c:pt idx="321">
                  <c:v>-2.4420000000000002E-3</c:v>
                </c:pt>
                <c:pt idx="322">
                  <c:v>-2.6281999999999998E-3</c:v>
                </c:pt>
                <c:pt idx="323">
                  <c:v>-2.8086999999999999E-3</c:v>
                </c:pt>
                <c:pt idx="324">
                  <c:v>-2.9832999999999999E-3</c:v>
                </c:pt>
                <c:pt idx="325">
                  <c:v>-3.1518000000000002E-3</c:v>
                </c:pt>
                <c:pt idx="326">
                  <c:v>-3.3140999999999999E-3</c:v>
                </c:pt>
                <c:pt idx="327">
                  <c:v>-3.4702000000000001E-3</c:v>
                </c:pt>
                <c:pt idx="328">
                  <c:v>-3.6202000000000001E-3</c:v>
                </c:pt>
                <c:pt idx="329">
                  <c:v>-3.7642999999999999E-3</c:v>
                </c:pt>
                <c:pt idx="330">
                  <c:v>-3.9026E-3</c:v>
                </c:pt>
                <c:pt idx="331">
                  <c:v>-4.0353999999999998E-3</c:v>
                </c:pt>
                <c:pt idx="332">
                  <c:v>-4.1631000000000003E-3</c:v>
                </c:pt>
                <c:pt idx="333">
                  <c:v>-4.2861000000000002E-3</c:v>
                </c:pt>
                <c:pt idx="334">
                  <c:v>-4.4048999999999998E-3</c:v>
                </c:pt>
                <c:pt idx="335">
                  <c:v>-4.5199999999999997E-3</c:v>
                </c:pt>
                <c:pt idx="336">
                  <c:v>-4.6321000000000001E-3</c:v>
                </c:pt>
                <c:pt idx="337">
                  <c:v>-4.7418E-3</c:v>
                </c:pt>
                <c:pt idx="338">
                  <c:v>-4.8497999999999996E-3</c:v>
                </c:pt>
                <c:pt idx="339">
                  <c:v>-4.9569000000000002E-3</c:v>
                </c:pt>
                <c:pt idx="340">
                  <c:v>-5.0638000000000002E-3</c:v>
                </c:pt>
                <c:pt idx="341">
                  <c:v>-5.1713000000000002E-3</c:v>
                </c:pt>
                <c:pt idx="342">
                  <c:v>-5.2802999999999999E-3</c:v>
                </c:pt>
                <c:pt idx="343">
                  <c:v>-5.3914999999999996E-3</c:v>
                </c:pt>
                <c:pt idx="344">
                  <c:v>-5.5057999999999999E-3</c:v>
                </c:pt>
                <c:pt idx="345">
                  <c:v>-5.6239000000000003E-3</c:v>
                </c:pt>
                <c:pt idx="346">
                  <c:v>-5.7463999999999996E-3</c:v>
                </c:pt>
                <c:pt idx="347">
                  <c:v>-5.8741000000000002E-3</c:v>
                </c:pt>
                <c:pt idx="348">
                  <c:v>-6.0076000000000001E-3</c:v>
                </c:pt>
                <c:pt idx="349">
                  <c:v>-6.1473999999999999E-3</c:v>
                </c:pt>
                <c:pt idx="350">
                  <c:v>-6.2938999999999998E-3</c:v>
                </c:pt>
                <c:pt idx="351">
                  <c:v>-6.4475000000000001E-3</c:v>
                </c:pt>
                <c:pt idx="352">
                  <c:v>-6.6083000000000001E-3</c:v>
                </c:pt>
                <c:pt idx="353">
                  <c:v>-6.7765000000000004E-3</c:v>
                </c:pt>
                <c:pt idx="354">
                  <c:v>-6.9519999999999998E-3</c:v>
                </c:pt>
                <c:pt idx="355">
                  <c:v>-7.1345999999999996E-3</c:v>
                </c:pt>
                <c:pt idx="356">
                  <c:v>-7.3241000000000001E-3</c:v>
                </c:pt>
                <c:pt idx="357">
                  <c:v>-7.5201E-3</c:v>
                </c:pt>
                <c:pt idx="358">
                  <c:v>-7.7219999999999997E-3</c:v>
                </c:pt>
                <c:pt idx="359">
                  <c:v>-7.9292000000000008E-3</c:v>
                </c:pt>
                <c:pt idx="360">
                  <c:v>-8.1410000000000007E-3</c:v>
                </c:pt>
                <c:pt idx="361">
                  <c:v>-8.3566999999999999E-3</c:v>
                </c:pt>
                <c:pt idx="362">
                  <c:v>-8.5754000000000004E-3</c:v>
                </c:pt>
                <c:pt idx="363">
                  <c:v>-8.7965000000000005E-3</c:v>
                </c:pt>
                <c:pt idx="364">
                  <c:v>-9.0191000000000004E-3</c:v>
                </c:pt>
                <c:pt idx="365">
                  <c:v>-9.2425000000000007E-3</c:v>
                </c:pt>
                <c:pt idx="366">
                  <c:v>-9.4660999999999999E-3</c:v>
                </c:pt>
                <c:pt idx="367">
                  <c:v>-9.6892000000000002E-3</c:v>
                </c:pt>
                <c:pt idx="368">
                  <c:v>-9.9114000000000008E-3</c:v>
                </c:pt>
                <c:pt idx="369">
                  <c:v>-1.0132E-2</c:v>
                </c:pt>
                <c:pt idx="370">
                  <c:v>-1.0351000000000001E-2</c:v>
                </c:pt>
                <c:pt idx="371">
                  <c:v>-1.0567999999999999E-2</c:v>
                </c:pt>
                <c:pt idx="372">
                  <c:v>-1.0782999999999999E-2</c:v>
                </c:pt>
                <c:pt idx="373">
                  <c:v>-1.0996000000000001E-2</c:v>
                </c:pt>
                <c:pt idx="374">
                  <c:v>-1.1206000000000001E-2</c:v>
                </c:pt>
                <c:pt idx="375">
                  <c:v>-1.1415E-2</c:v>
                </c:pt>
                <c:pt idx="376">
                  <c:v>-1.1620999999999999E-2</c:v>
                </c:pt>
                <c:pt idx="377">
                  <c:v>-1.1825E-2</c:v>
                </c:pt>
                <c:pt idx="378">
                  <c:v>-1.2026999999999999E-2</c:v>
                </c:pt>
                <c:pt idx="379">
                  <c:v>-1.2227999999999999E-2</c:v>
                </c:pt>
                <c:pt idx="380">
                  <c:v>-1.2427000000000001E-2</c:v>
                </c:pt>
                <c:pt idx="381">
                  <c:v>-1.2626E-2</c:v>
                </c:pt>
                <c:pt idx="382">
                  <c:v>-1.2824E-2</c:v>
                </c:pt>
                <c:pt idx="383">
                  <c:v>-1.3021E-2</c:v>
                </c:pt>
                <c:pt idx="384">
                  <c:v>-1.3218000000000001E-2</c:v>
                </c:pt>
                <c:pt idx="385">
                  <c:v>-1.3414000000000001E-2</c:v>
                </c:pt>
                <c:pt idx="386">
                  <c:v>-1.3611E-2</c:v>
                </c:pt>
                <c:pt idx="387">
                  <c:v>-1.3808000000000001E-2</c:v>
                </c:pt>
                <c:pt idx="388">
                  <c:v>-1.4005E-2</c:v>
                </c:pt>
                <c:pt idx="389">
                  <c:v>-1.4203E-2</c:v>
                </c:pt>
                <c:pt idx="390">
                  <c:v>-1.4401000000000001E-2</c:v>
                </c:pt>
                <c:pt idx="391">
                  <c:v>-1.46E-2</c:v>
                </c:pt>
                <c:pt idx="392">
                  <c:v>-1.4799E-2</c:v>
                </c:pt>
                <c:pt idx="393">
                  <c:v>-1.4997999999999999E-2</c:v>
                </c:pt>
                <c:pt idx="394">
                  <c:v>-1.5198E-2</c:v>
                </c:pt>
                <c:pt idx="395">
                  <c:v>-1.5396999999999999E-2</c:v>
                </c:pt>
                <c:pt idx="396">
                  <c:v>-1.5597E-2</c:v>
                </c:pt>
                <c:pt idx="397">
                  <c:v>-1.5796999999999999E-2</c:v>
                </c:pt>
                <c:pt idx="398">
                  <c:v>-1.5997000000000001E-2</c:v>
                </c:pt>
                <c:pt idx="399">
                  <c:v>-1.6197E-2</c:v>
                </c:pt>
                <c:pt idx="400">
                  <c:v>-1.6396000000000001E-2</c:v>
                </c:pt>
                <c:pt idx="401">
                  <c:v>-1.6594999999999999E-2</c:v>
                </c:pt>
                <c:pt idx="402">
                  <c:v>-1.6792999999999999E-2</c:v>
                </c:pt>
                <c:pt idx="403">
                  <c:v>-1.6990999999999999E-2</c:v>
                </c:pt>
                <c:pt idx="404">
                  <c:v>-1.7187999999999998E-2</c:v>
                </c:pt>
                <c:pt idx="405">
                  <c:v>-1.7382999999999999E-2</c:v>
                </c:pt>
                <c:pt idx="406">
                  <c:v>-1.7576999999999999E-2</c:v>
                </c:pt>
                <c:pt idx="407">
                  <c:v>-1.7770000000000001E-2</c:v>
                </c:pt>
                <c:pt idx="408">
                  <c:v>-1.7961000000000001E-2</c:v>
                </c:pt>
                <c:pt idx="409">
                  <c:v>-1.8151E-2</c:v>
                </c:pt>
                <c:pt idx="410">
                  <c:v>-1.8339000000000001E-2</c:v>
                </c:pt>
                <c:pt idx="411">
                  <c:v>-1.8525E-2</c:v>
                </c:pt>
                <c:pt idx="412">
                  <c:v>-1.8707999999999999E-2</c:v>
                </c:pt>
                <c:pt idx="413">
                  <c:v>-1.8889E-2</c:v>
                </c:pt>
                <c:pt idx="414">
                  <c:v>-1.9068000000000002E-2</c:v>
                </c:pt>
                <c:pt idx="415">
                  <c:v>-1.9244000000000001E-2</c:v>
                </c:pt>
                <c:pt idx="416">
                  <c:v>-1.9417E-2</c:v>
                </c:pt>
                <c:pt idx="417">
                  <c:v>-1.9588000000000001E-2</c:v>
                </c:pt>
                <c:pt idx="418">
                  <c:v>-1.9755000000000002E-2</c:v>
                </c:pt>
                <c:pt idx="419">
                  <c:v>-1.9918999999999999E-2</c:v>
                </c:pt>
                <c:pt idx="420">
                  <c:v>-2.0080000000000001E-2</c:v>
                </c:pt>
                <c:pt idx="421">
                  <c:v>-2.0237000000000002E-2</c:v>
                </c:pt>
                <c:pt idx="422">
                  <c:v>-2.0390999999999999E-2</c:v>
                </c:pt>
                <c:pt idx="423">
                  <c:v>-2.0541E-2</c:v>
                </c:pt>
                <c:pt idx="424">
                  <c:v>-2.0687000000000001E-2</c:v>
                </c:pt>
                <c:pt idx="425">
                  <c:v>-2.0829E-2</c:v>
                </c:pt>
                <c:pt idx="426">
                  <c:v>-2.0967E-2</c:v>
                </c:pt>
                <c:pt idx="427">
                  <c:v>-2.1101000000000002E-2</c:v>
                </c:pt>
                <c:pt idx="428">
                  <c:v>-2.1231E-2</c:v>
                </c:pt>
                <c:pt idx="429">
                  <c:v>-2.1356E-2</c:v>
                </c:pt>
                <c:pt idx="430">
                  <c:v>-2.1477E-2</c:v>
                </c:pt>
                <c:pt idx="431">
                  <c:v>-2.1593000000000001E-2</c:v>
                </c:pt>
                <c:pt idx="432">
                  <c:v>-2.1704000000000001E-2</c:v>
                </c:pt>
                <c:pt idx="433">
                  <c:v>-2.1811000000000001E-2</c:v>
                </c:pt>
                <c:pt idx="434">
                  <c:v>-2.1912999999999998E-2</c:v>
                </c:pt>
                <c:pt idx="435">
                  <c:v>-2.2009999999999998E-2</c:v>
                </c:pt>
                <c:pt idx="436">
                  <c:v>-2.2102E-2</c:v>
                </c:pt>
                <c:pt idx="437">
                  <c:v>-2.2189E-2</c:v>
                </c:pt>
                <c:pt idx="438">
                  <c:v>-2.2272E-2</c:v>
                </c:pt>
                <c:pt idx="439">
                  <c:v>-2.2349000000000001E-2</c:v>
                </c:pt>
                <c:pt idx="440">
                  <c:v>-2.2421E-2</c:v>
                </c:pt>
                <c:pt idx="441">
                  <c:v>-2.2487E-2</c:v>
                </c:pt>
                <c:pt idx="442">
                  <c:v>-2.2549E-2</c:v>
                </c:pt>
                <c:pt idx="443">
                  <c:v>-2.2605E-2</c:v>
                </c:pt>
                <c:pt idx="444">
                  <c:v>-2.2655999999999999E-2</c:v>
                </c:pt>
                <c:pt idx="445">
                  <c:v>-2.2700999999999999E-2</c:v>
                </c:pt>
                <c:pt idx="446">
                  <c:v>-2.2741000000000001E-2</c:v>
                </c:pt>
                <c:pt idx="447">
                  <c:v>-2.2775E-2</c:v>
                </c:pt>
                <c:pt idx="448">
                  <c:v>-2.2804000000000001E-2</c:v>
                </c:pt>
                <c:pt idx="449">
                  <c:v>-2.2827E-2</c:v>
                </c:pt>
                <c:pt idx="450">
                  <c:v>-2.2845000000000001E-2</c:v>
                </c:pt>
                <c:pt idx="451">
                  <c:v>-2.2856000000000001E-2</c:v>
                </c:pt>
                <c:pt idx="452">
                  <c:v>-2.2862E-2</c:v>
                </c:pt>
                <c:pt idx="453">
                  <c:v>-2.2862E-2</c:v>
                </c:pt>
                <c:pt idx="454">
                  <c:v>-2.2856000000000001E-2</c:v>
                </c:pt>
                <c:pt idx="455">
                  <c:v>-2.2845000000000001E-2</c:v>
                </c:pt>
                <c:pt idx="456">
                  <c:v>-2.2827E-2</c:v>
                </c:pt>
                <c:pt idx="457">
                  <c:v>-2.2803E-2</c:v>
                </c:pt>
                <c:pt idx="458">
                  <c:v>-2.2773999999999999E-2</c:v>
                </c:pt>
                <c:pt idx="459">
                  <c:v>-2.2738000000000001E-2</c:v>
                </c:pt>
                <c:pt idx="460">
                  <c:v>-2.2696000000000001E-2</c:v>
                </c:pt>
                <c:pt idx="461">
                  <c:v>-2.2648000000000001E-2</c:v>
                </c:pt>
                <c:pt idx="462">
                  <c:v>-2.2594E-2</c:v>
                </c:pt>
                <c:pt idx="463">
                  <c:v>-2.2533000000000001E-2</c:v>
                </c:pt>
                <c:pt idx="464">
                  <c:v>-2.2467000000000001E-2</c:v>
                </c:pt>
                <c:pt idx="465">
                  <c:v>-2.2394000000000001E-2</c:v>
                </c:pt>
                <c:pt idx="466">
                  <c:v>-2.2315000000000002E-2</c:v>
                </c:pt>
                <c:pt idx="467">
                  <c:v>-2.223E-2</c:v>
                </c:pt>
                <c:pt idx="468">
                  <c:v>-2.2138000000000001E-2</c:v>
                </c:pt>
                <c:pt idx="469">
                  <c:v>-2.2040000000000001E-2</c:v>
                </c:pt>
                <c:pt idx="470">
                  <c:v>-2.1936000000000001E-2</c:v>
                </c:pt>
                <c:pt idx="471">
                  <c:v>-2.1826000000000002E-2</c:v>
                </c:pt>
                <c:pt idx="472">
                  <c:v>-2.1708999999999999E-2</c:v>
                </c:pt>
                <c:pt idx="473">
                  <c:v>-2.1586000000000001E-2</c:v>
                </c:pt>
                <c:pt idx="474">
                  <c:v>-2.1457E-2</c:v>
                </c:pt>
                <c:pt idx="475">
                  <c:v>-2.1322000000000001E-2</c:v>
                </c:pt>
                <c:pt idx="476">
                  <c:v>-2.1180000000000001E-2</c:v>
                </c:pt>
                <c:pt idx="477">
                  <c:v>-2.1033E-2</c:v>
                </c:pt>
                <c:pt idx="478">
                  <c:v>-2.0879000000000002E-2</c:v>
                </c:pt>
                <c:pt idx="479">
                  <c:v>-2.0719000000000001E-2</c:v>
                </c:pt>
                <c:pt idx="480">
                  <c:v>-2.0553999999999999E-2</c:v>
                </c:pt>
                <c:pt idx="481">
                  <c:v>-2.0382000000000001E-2</c:v>
                </c:pt>
                <c:pt idx="482">
                  <c:v>-2.0204E-2</c:v>
                </c:pt>
                <c:pt idx="483">
                  <c:v>-2.002E-2</c:v>
                </c:pt>
                <c:pt idx="484">
                  <c:v>-1.9831000000000001E-2</c:v>
                </c:pt>
                <c:pt idx="485">
                  <c:v>-1.9635E-2</c:v>
                </c:pt>
                <c:pt idx="486">
                  <c:v>-1.9434E-2</c:v>
                </c:pt>
                <c:pt idx="487">
                  <c:v>-1.9227000000000001E-2</c:v>
                </c:pt>
                <c:pt idx="488">
                  <c:v>-1.9015000000000001E-2</c:v>
                </c:pt>
                <c:pt idx="489">
                  <c:v>-1.8796E-2</c:v>
                </c:pt>
                <c:pt idx="490">
                  <c:v>-1.8572000000000002E-2</c:v>
                </c:pt>
                <c:pt idx="491">
                  <c:v>-1.8343000000000002E-2</c:v>
                </c:pt>
                <c:pt idx="492">
                  <c:v>-1.8107999999999999E-2</c:v>
                </c:pt>
                <c:pt idx="493">
                  <c:v>-1.7867000000000001E-2</c:v>
                </c:pt>
                <c:pt idx="494">
                  <c:v>-1.7621000000000001E-2</c:v>
                </c:pt>
                <c:pt idx="495">
                  <c:v>-1.737E-2</c:v>
                </c:pt>
                <c:pt idx="496">
                  <c:v>-1.7114000000000001E-2</c:v>
                </c:pt>
                <c:pt idx="497">
                  <c:v>-1.6851999999999999E-2</c:v>
                </c:pt>
                <c:pt idx="498">
                  <c:v>-1.6584999999999999E-2</c:v>
                </c:pt>
                <c:pt idx="499">
                  <c:v>-1.6313000000000001E-2</c:v>
                </c:pt>
                <c:pt idx="500">
                  <c:v>-1.6036000000000002E-2</c:v>
                </c:pt>
                <c:pt idx="501">
                  <c:v>-1.5754000000000001E-2</c:v>
                </c:pt>
                <c:pt idx="502">
                  <c:v>-1.5467E-2</c:v>
                </c:pt>
                <c:pt idx="503">
                  <c:v>-1.5174999999999999E-2</c:v>
                </c:pt>
                <c:pt idx="504">
                  <c:v>-1.4878000000000001E-2</c:v>
                </c:pt>
                <c:pt idx="505">
                  <c:v>-1.4577E-2</c:v>
                </c:pt>
                <c:pt idx="506">
                  <c:v>-1.4271000000000001E-2</c:v>
                </c:pt>
                <c:pt idx="507">
                  <c:v>-1.396E-2</c:v>
                </c:pt>
                <c:pt idx="508">
                  <c:v>-1.3644E-2</c:v>
                </c:pt>
                <c:pt idx="509">
                  <c:v>-1.3324000000000001E-2</c:v>
                </c:pt>
                <c:pt idx="510">
                  <c:v>-1.2999999999999999E-2</c:v>
                </c:pt>
                <c:pt idx="511">
                  <c:v>-1.2671E-2</c:v>
                </c:pt>
                <c:pt idx="512">
                  <c:v>-1.2337000000000001E-2</c:v>
                </c:pt>
                <c:pt idx="513">
                  <c:v>-1.2E-2</c:v>
                </c:pt>
                <c:pt idx="514">
                  <c:v>-1.1658E-2</c:v>
                </c:pt>
                <c:pt idx="515">
                  <c:v>-1.1311999999999999E-2</c:v>
                </c:pt>
                <c:pt idx="516">
                  <c:v>-1.0962E-2</c:v>
                </c:pt>
                <c:pt idx="517">
                  <c:v>-1.0607999999999999E-2</c:v>
                </c:pt>
                <c:pt idx="518">
                  <c:v>-1.025E-2</c:v>
                </c:pt>
                <c:pt idx="519">
                  <c:v>-9.8887000000000003E-3</c:v>
                </c:pt>
                <c:pt idx="520">
                  <c:v>-9.5233999999999996E-3</c:v>
                </c:pt>
                <c:pt idx="521">
                  <c:v>-9.1544E-3</c:v>
                </c:pt>
                <c:pt idx="522">
                  <c:v>-8.7817999999999993E-3</c:v>
                </c:pt>
                <c:pt idx="523">
                  <c:v>-8.4057999999999997E-3</c:v>
                </c:pt>
                <c:pt idx="524">
                  <c:v>-8.0265000000000006E-3</c:v>
                </c:pt>
                <c:pt idx="525">
                  <c:v>-7.6439000000000003E-3</c:v>
                </c:pt>
                <c:pt idx="526">
                  <c:v>-7.2582000000000002E-3</c:v>
                </c:pt>
                <c:pt idx="527">
                  <c:v>-6.8694000000000003E-3</c:v>
                </c:pt>
                <c:pt idx="528">
                  <c:v>-6.4777999999999997E-3</c:v>
                </c:pt>
                <c:pt idx="529">
                  <c:v>-6.0832999999999998E-3</c:v>
                </c:pt>
                <c:pt idx="530">
                  <c:v>-5.6861999999999998E-3</c:v>
                </c:pt>
                <c:pt idx="531">
                  <c:v>-5.2865000000000004E-3</c:v>
                </c:pt>
                <c:pt idx="532">
                  <c:v>-4.8843999999999997E-3</c:v>
                </c:pt>
                <c:pt idx="533">
                  <c:v>-4.4800999999999999E-3</c:v>
                </c:pt>
                <c:pt idx="534">
                  <c:v>-4.0734999999999999E-3</c:v>
                </c:pt>
                <c:pt idx="535">
                  <c:v>-3.6649999999999999E-3</c:v>
                </c:pt>
                <c:pt idx="536">
                  <c:v>-3.2545999999999999E-3</c:v>
                </c:pt>
                <c:pt idx="537">
                  <c:v>-2.8424000000000001E-3</c:v>
                </c:pt>
                <c:pt idx="538">
                  <c:v>-2.4285999999999999E-3</c:v>
                </c:pt>
                <c:pt idx="539">
                  <c:v>-2.0133999999999998E-3</c:v>
                </c:pt>
                <c:pt idx="540">
                  <c:v>-1.5968E-3</c:v>
                </c:pt>
                <c:pt idx="541">
                  <c:v>-1.1789999999999999E-3</c:v>
                </c:pt>
                <c:pt idx="542">
                  <c:v>-7.6017999999999995E-4</c:v>
                </c:pt>
                <c:pt idx="543">
                  <c:v>-3.4044000000000001E-4</c:v>
                </c:pt>
                <c:pt idx="544">
                  <c:v>8.0062999999999996E-5</c:v>
                </c:pt>
                <c:pt idx="545">
                  <c:v>5.0117E-4</c:v>
                </c:pt>
                <c:pt idx="546">
                  <c:v>9.2274000000000002E-4</c:v>
                </c:pt>
                <c:pt idx="547">
                  <c:v>1.3446E-3</c:v>
                </c:pt>
                <c:pt idx="548">
                  <c:v>1.7665999999999999E-3</c:v>
                </c:pt>
                <c:pt idx="549">
                  <c:v>2.1887E-3</c:v>
                </c:pt>
                <c:pt idx="550">
                  <c:v>2.6105E-3</c:v>
                </c:pt>
                <c:pt idx="551">
                  <c:v>3.0320999999999998E-3</c:v>
                </c:pt>
                <c:pt idx="552">
                  <c:v>3.4532E-3</c:v>
                </c:pt>
                <c:pt idx="553">
                  <c:v>3.8736E-3</c:v>
                </c:pt>
                <c:pt idx="554">
                  <c:v>4.2931999999999996E-3</c:v>
                </c:pt>
                <c:pt idx="555">
                  <c:v>4.7118999999999998E-3</c:v>
                </c:pt>
                <c:pt idx="556">
                  <c:v>5.1294000000000001E-3</c:v>
                </c:pt>
                <c:pt idx="557">
                  <c:v>5.5456999999999998E-3</c:v>
                </c:pt>
                <c:pt idx="558">
                  <c:v>5.9604000000000002E-3</c:v>
                </c:pt>
                <c:pt idx="559">
                  <c:v>6.3736000000000001E-3</c:v>
                </c:pt>
                <c:pt idx="560">
                  <c:v>6.7849E-3</c:v>
                </c:pt>
                <c:pt idx="561">
                  <c:v>7.1942999999999998E-3</c:v>
                </c:pt>
                <c:pt idx="562">
                  <c:v>7.6014000000000003E-3</c:v>
                </c:pt>
                <c:pt idx="563">
                  <c:v>8.0062999999999992E-3</c:v>
                </c:pt>
                <c:pt idx="564">
                  <c:v>8.4086000000000004E-3</c:v>
                </c:pt>
                <c:pt idx="565">
                  <c:v>8.8082000000000004E-3</c:v>
                </c:pt>
                <c:pt idx="566">
                  <c:v>9.2049000000000002E-3</c:v>
                </c:pt>
                <c:pt idx="567">
                  <c:v>9.5984999999999994E-3</c:v>
                </c:pt>
                <c:pt idx="568">
                  <c:v>9.9889000000000002E-3</c:v>
                </c:pt>
                <c:pt idx="569">
                  <c:v>1.0376E-2</c:v>
                </c:pt>
                <c:pt idx="570">
                  <c:v>1.0758999999999999E-2</c:v>
                </c:pt>
                <c:pt idx="571">
                  <c:v>1.1139E-2</c:v>
                </c:pt>
                <c:pt idx="572">
                  <c:v>1.1514E-2</c:v>
                </c:pt>
                <c:pt idx="573">
                  <c:v>1.1886000000000001E-2</c:v>
                </c:pt>
                <c:pt idx="574">
                  <c:v>1.2253E-2</c:v>
                </c:pt>
                <c:pt idx="575">
                  <c:v>1.2614999999999999E-2</c:v>
                </c:pt>
                <c:pt idx="576">
                  <c:v>1.2973E-2</c:v>
                </c:pt>
                <c:pt idx="577">
                  <c:v>1.3325999999999999E-2</c:v>
                </c:pt>
                <c:pt idx="578">
                  <c:v>1.3674E-2</c:v>
                </c:pt>
                <c:pt idx="579">
                  <c:v>1.4016000000000001E-2</c:v>
                </c:pt>
                <c:pt idx="580">
                  <c:v>1.4352999999999999E-2</c:v>
                </c:pt>
                <c:pt idx="581">
                  <c:v>1.4685E-2</c:v>
                </c:pt>
                <c:pt idx="582">
                  <c:v>1.5010000000000001E-2</c:v>
                </c:pt>
                <c:pt idx="583">
                  <c:v>1.533E-2</c:v>
                </c:pt>
                <c:pt idx="584">
                  <c:v>1.5644000000000002E-2</c:v>
                </c:pt>
                <c:pt idx="585">
                  <c:v>1.5951E-2</c:v>
                </c:pt>
                <c:pt idx="586">
                  <c:v>1.6251999999999999E-2</c:v>
                </c:pt>
                <c:pt idx="587">
                  <c:v>1.6546000000000002E-2</c:v>
                </c:pt>
                <c:pt idx="588">
                  <c:v>1.6833999999999998E-2</c:v>
                </c:pt>
                <c:pt idx="589">
                  <c:v>1.7114000000000001E-2</c:v>
                </c:pt>
                <c:pt idx="590">
                  <c:v>1.7388000000000001E-2</c:v>
                </c:pt>
                <c:pt idx="591">
                  <c:v>1.7654E-2</c:v>
                </c:pt>
                <c:pt idx="592">
                  <c:v>1.7913999999999999E-2</c:v>
                </c:pt>
                <c:pt idx="593">
                  <c:v>1.8166000000000002E-2</c:v>
                </c:pt>
                <c:pt idx="594">
                  <c:v>1.8409999999999999E-2</c:v>
                </c:pt>
                <c:pt idx="595">
                  <c:v>1.8647E-2</c:v>
                </c:pt>
                <c:pt idx="596">
                  <c:v>1.8877000000000001E-2</c:v>
                </c:pt>
                <c:pt idx="597">
                  <c:v>1.9098E-2</c:v>
                </c:pt>
                <c:pt idx="598">
                  <c:v>1.9313E-2</c:v>
                </c:pt>
                <c:pt idx="599">
                  <c:v>1.9519000000000002E-2</c:v>
                </c:pt>
                <c:pt idx="600">
                  <c:v>1.9717999999999999E-2</c:v>
                </c:pt>
                <c:pt idx="601">
                  <c:v>1.9907999999999999E-2</c:v>
                </c:pt>
                <c:pt idx="602">
                  <c:v>2.0091999999999999E-2</c:v>
                </c:pt>
                <c:pt idx="603">
                  <c:v>2.0267E-2</c:v>
                </c:pt>
                <c:pt idx="604">
                  <c:v>2.0434999999999998E-2</c:v>
                </c:pt>
                <c:pt idx="605">
                  <c:v>2.0594999999999999E-2</c:v>
                </c:pt>
                <c:pt idx="606">
                  <c:v>2.0747000000000002E-2</c:v>
                </c:pt>
                <c:pt idx="607">
                  <c:v>2.0892000000000001E-2</c:v>
                </c:pt>
                <c:pt idx="608">
                  <c:v>2.1028999999999999E-2</c:v>
                </c:pt>
                <c:pt idx="609">
                  <c:v>2.1159000000000001E-2</c:v>
                </c:pt>
                <c:pt idx="610">
                  <c:v>2.1281000000000001E-2</c:v>
                </c:pt>
                <c:pt idx="611">
                  <c:v>2.1395999999999998E-2</c:v>
                </c:pt>
                <c:pt idx="612">
                  <c:v>2.1503999999999999E-2</c:v>
                </c:pt>
                <c:pt idx="613">
                  <c:v>2.1604999999999999E-2</c:v>
                </c:pt>
                <c:pt idx="614">
                  <c:v>2.1699E-2</c:v>
                </c:pt>
                <c:pt idx="615">
                  <c:v>2.1786E-2</c:v>
                </c:pt>
                <c:pt idx="616">
                  <c:v>2.1866E-2</c:v>
                </c:pt>
                <c:pt idx="617">
                  <c:v>2.1939E-2</c:v>
                </c:pt>
                <c:pt idx="618">
                  <c:v>2.2006000000000001E-2</c:v>
                </c:pt>
                <c:pt idx="619">
                  <c:v>2.2065999999999999E-2</c:v>
                </c:pt>
              </c:numCache>
            </c:numRef>
          </c:yVal>
          <c:smooth val="1"/>
          <c:extLst>
            <c:ext xmlns:c16="http://schemas.microsoft.com/office/drawing/2014/chart" uri="{C3380CC4-5D6E-409C-BE32-E72D297353CC}">
              <c16:uniqueId val="{00000000-00C6-46B2-92E3-3CDC1A8F00F7}"/>
            </c:ext>
          </c:extLst>
        </c:ser>
        <c:ser>
          <c:idx val="1"/>
          <c:order val="1"/>
          <c:spPr>
            <a:ln w="19050" cap="rnd">
              <a:solidFill>
                <a:schemeClr val="accent2"/>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'INIT-File+Corr'!$C$16:$C$636</c:f>
              <c:numCache>
                <c:formatCode>0.000000</c:formatCode>
                <c:ptCount val="620"/>
                <c:pt idx="0">
                  <c:v>-3.3867000000000001E-2</c:v>
                </c:pt>
                <c:pt idx="1">
                  <c:v>-3.4209000000000003E-2</c:v>
                </c:pt>
                <c:pt idx="2">
                  <c:v>-3.4555000000000002E-2</c:v>
                </c:pt>
                <c:pt idx="3">
                  <c:v>-3.4903999999999998E-2</c:v>
                </c:pt>
                <c:pt idx="4">
                  <c:v>-3.5256999999999997E-2</c:v>
                </c:pt>
                <c:pt idx="5">
                  <c:v>-3.5612999999999999E-2</c:v>
                </c:pt>
                <c:pt idx="6">
                  <c:v>-3.5971999999999997E-2</c:v>
                </c:pt>
                <c:pt idx="7">
                  <c:v>-3.6336E-2</c:v>
                </c:pt>
                <c:pt idx="8">
                  <c:v>-3.6703E-2</c:v>
                </c:pt>
                <c:pt idx="9">
                  <c:v>-3.7073000000000002E-2</c:v>
                </c:pt>
                <c:pt idx="10">
                  <c:v>-3.7448000000000002E-2</c:v>
                </c:pt>
                <c:pt idx="11">
                  <c:v>-3.7825999999999999E-2</c:v>
                </c:pt>
                <c:pt idx="12">
                  <c:v>-3.8207999999999999E-2</c:v>
                </c:pt>
                <c:pt idx="13">
                  <c:v>-3.8592000000000001E-2</c:v>
                </c:pt>
                <c:pt idx="14">
                  <c:v>-3.8975000000000003E-2</c:v>
                </c:pt>
                <c:pt idx="15">
                  <c:v>-3.9351999999999998E-2</c:v>
                </c:pt>
                <c:pt idx="16">
                  <c:v>-3.9718000000000003E-2</c:v>
                </c:pt>
                <c:pt idx="17">
                  <c:v>-4.0060999999999999E-2</c:v>
                </c:pt>
                <c:pt idx="18">
                  <c:v>-4.0367E-2</c:v>
                </c:pt>
                <c:pt idx="19">
                  <c:v>-4.0620000000000003E-2</c:v>
                </c:pt>
                <c:pt idx="20">
                  <c:v>-4.0797E-2</c:v>
                </c:pt>
                <c:pt idx="21">
                  <c:v>-4.0871999999999999E-2</c:v>
                </c:pt>
                <c:pt idx="22">
                  <c:v>-4.0814000000000003E-2</c:v>
                </c:pt>
                <c:pt idx="23">
                  <c:v>-4.0592000000000003E-2</c:v>
                </c:pt>
                <c:pt idx="24">
                  <c:v>-4.0169999999999997E-2</c:v>
                </c:pt>
                <c:pt idx="25">
                  <c:v>-3.9515000000000002E-2</c:v>
                </c:pt>
                <c:pt idx="26">
                  <c:v>-3.8591E-2</c:v>
                </c:pt>
                <c:pt idx="27">
                  <c:v>-3.7367999999999998E-2</c:v>
                </c:pt>
                <c:pt idx="28">
                  <c:v>-3.5816000000000001E-2</c:v>
                </c:pt>
                <c:pt idx="29">
                  <c:v>-3.3910999999999997E-2</c:v>
                </c:pt>
                <c:pt idx="30">
                  <c:v>-3.1634000000000002E-2</c:v>
                </c:pt>
                <c:pt idx="31">
                  <c:v>-2.8969999999999999E-2</c:v>
                </c:pt>
                <c:pt idx="32">
                  <c:v>-2.5911E-2</c:v>
                </c:pt>
                <c:pt idx="33">
                  <c:v>-2.2454000000000002E-2</c:v>
                </c:pt>
                <c:pt idx="34">
                  <c:v>-1.8600999999999999E-2</c:v>
                </c:pt>
                <c:pt idx="35">
                  <c:v>-1.436E-2</c:v>
                </c:pt>
                <c:pt idx="36">
                  <c:v>-9.7450000000000002E-3</c:v>
                </c:pt>
                <c:pt idx="37">
                  <c:v>-4.7720999999999996E-3</c:v>
                </c:pt>
                <c:pt idx="38">
                  <c:v>5.3667999999999999E-4</c:v>
                </c:pt>
                <c:pt idx="39">
                  <c:v>6.1561000000000003E-3</c:v>
                </c:pt>
                <c:pt idx="40">
                  <c:v>1.2057E-2</c:v>
                </c:pt>
                <c:pt idx="41">
                  <c:v>1.8208999999999999E-2</c:v>
                </c:pt>
                <c:pt idx="42">
                  <c:v>2.4577000000000002E-2</c:v>
                </c:pt>
                <c:pt idx="43">
                  <c:v>3.1123999999999999E-2</c:v>
                </c:pt>
                <c:pt idx="44">
                  <c:v>3.7811999999999998E-2</c:v>
                </c:pt>
                <c:pt idx="45">
                  <c:v>4.4601000000000002E-2</c:v>
                </c:pt>
                <c:pt idx="46">
                  <c:v>5.1449000000000002E-2</c:v>
                </c:pt>
                <c:pt idx="47">
                  <c:v>5.8313999999999998E-2</c:v>
                </c:pt>
                <c:pt idx="48">
                  <c:v>6.5152000000000002E-2</c:v>
                </c:pt>
                <c:pt idx="49">
                  <c:v>7.1918999999999997E-2</c:v>
                </c:pt>
                <c:pt idx="50">
                  <c:v>7.8572000000000003E-2</c:v>
                </c:pt>
                <c:pt idx="51">
                  <c:v>8.5066000000000003E-2</c:v>
                </c:pt>
                <c:pt idx="52">
                  <c:v>9.1357999999999995E-2</c:v>
                </c:pt>
                <c:pt idx="53">
                  <c:v>9.7405000000000005E-2</c:v>
                </c:pt>
                <c:pt idx="54">
                  <c:v>0.10316</c:v>
                </c:pt>
                <c:pt idx="55">
                  <c:v>0.11366</c:v>
                </c:pt>
                <c:pt idx="56">
                  <c:v>0.11833</c:v>
                </c:pt>
                <c:pt idx="57">
                  <c:v>0.12255000000000001</c:v>
                </c:pt>
                <c:pt idx="58">
                  <c:v>0.1263</c:v>
                </c:pt>
                <c:pt idx="59">
                  <c:v>0.12955</c:v>
                </c:pt>
                <c:pt idx="60">
                  <c:v>0.13227</c:v>
                </c:pt>
                <c:pt idx="61">
                  <c:v>0.13442999999999999</c:v>
                </c:pt>
                <c:pt idx="62">
                  <c:v>0.13602</c:v>
                </c:pt>
                <c:pt idx="63">
                  <c:v>0.13700999999999999</c:v>
                </c:pt>
                <c:pt idx="64">
                  <c:v>0.13741</c:v>
                </c:pt>
                <c:pt idx="65">
                  <c:v>0.13719000000000001</c:v>
                </c:pt>
                <c:pt idx="66">
                  <c:v>0.13635</c:v>
                </c:pt>
                <c:pt idx="67">
                  <c:v>0.13491</c:v>
                </c:pt>
                <c:pt idx="68">
                  <c:v>0.13286999999999999</c:v>
                </c:pt>
                <c:pt idx="69">
                  <c:v>0.13023999999999999</c:v>
                </c:pt>
                <c:pt idx="70">
                  <c:v>0.12705</c:v>
                </c:pt>
                <c:pt idx="71">
                  <c:v>0.12334000000000001</c:v>
                </c:pt>
                <c:pt idx="72">
                  <c:v>0.11912</c:v>
                </c:pt>
                <c:pt idx="73">
                  <c:v>0.11444</c:v>
                </c:pt>
                <c:pt idx="74">
                  <c:v>0.10935</c:v>
                </c:pt>
                <c:pt idx="75">
                  <c:v>0.10389</c:v>
                </c:pt>
                <c:pt idx="76">
                  <c:v>9.8103999999999997E-2</c:v>
                </c:pt>
                <c:pt idx="77">
                  <c:v>9.2049000000000006E-2</c:v>
                </c:pt>
                <c:pt idx="78">
                  <c:v>8.5774000000000003E-2</c:v>
                </c:pt>
                <c:pt idx="79">
                  <c:v>7.9332E-2</c:v>
                </c:pt>
                <c:pt idx="80">
                  <c:v>7.2771000000000002E-2</c:v>
                </c:pt>
                <c:pt idx="81">
                  <c:v>6.6143999999999994E-2</c:v>
                </c:pt>
                <c:pt idx="82">
                  <c:v>5.9497000000000001E-2</c:v>
                </c:pt>
                <c:pt idx="83">
                  <c:v>5.2875999999999999E-2</c:v>
                </c:pt>
                <c:pt idx="84">
                  <c:v>4.6324999999999998E-2</c:v>
                </c:pt>
                <c:pt idx="85">
                  <c:v>3.9884999999999997E-2</c:v>
                </c:pt>
                <c:pt idx="86">
                  <c:v>3.3591999999999997E-2</c:v>
                </c:pt>
                <c:pt idx="87">
                  <c:v>2.7480999999999998E-2</c:v>
                </c:pt>
                <c:pt idx="88">
                  <c:v>2.1582E-2</c:v>
                </c:pt>
                <c:pt idx="89">
                  <c:v>1.5923E-2</c:v>
                </c:pt>
                <c:pt idx="90">
                  <c:v>1.0526000000000001E-2</c:v>
                </c:pt>
                <c:pt idx="91">
                  <c:v>5.4130999999999997E-3</c:v>
                </c:pt>
                <c:pt idx="92">
                  <c:v>6.0013000000000004E-4</c:v>
                </c:pt>
                <c:pt idx="93">
                  <c:v>-3.8988E-3</c:v>
                </c:pt>
                <c:pt idx="94">
                  <c:v>-8.0727999999999998E-3</c:v>
                </c:pt>
                <c:pt idx="95">
                  <c:v>-1.1913E-2</c:v>
                </c:pt>
                <c:pt idx="96">
                  <c:v>-1.5415E-2</c:v>
                </c:pt>
                <c:pt idx="97">
                  <c:v>-1.8575000000000001E-2</c:v>
                </c:pt>
                <c:pt idx="98">
                  <c:v>-2.1392000000000001E-2</c:v>
                </c:pt>
                <c:pt idx="99">
                  <c:v>-2.3866999999999999E-2</c:v>
                </c:pt>
                <c:pt idx="100">
                  <c:v>-2.6002999999999998E-2</c:v>
                </c:pt>
                <c:pt idx="101">
                  <c:v>-2.7806000000000001E-2</c:v>
                </c:pt>
                <c:pt idx="102">
                  <c:v>-2.9281999999999999E-2</c:v>
                </c:pt>
                <c:pt idx="103">
                  <c:v>-3.0439999999999998E-2</c:v>
                </c:pt>
                <c:pt idx="104">
                  <c:v>-3.1288999999999997E-2</c:v>
                </c:pt>
                <c:pt idx="105">
                  <c:v>-3.184E-2</c:v>
                </c:pt>
                <c:pt idx="106">
                  <c:v>-3.2106999999999997E-2</c:v>
                </c:pt>
                <c:pt idx="107">
                  <c:v>-3.2101999999999999E-2</c:v>
                </c:pt>
                <c:pt idx="108">
                  <c:v>-3.1841000000000001E-2</c:v>
                </c:pt>
                <c:pt idx="109">
                  <c:v>-3.1337999999999998E-2</c:v>
                </c:pt>
                <c:pt idx="110">
                  <c:v>-3.0609999999999998E-2</c:v>
                </c:pt>
                <c:pt idx="111">
                  <c:v>-2.9673000000000001E-2</c:v>
                </c:pt>
                <c:pt idx="112">
                  <c:v>-2.8545000000000001E-2</c:v>
                </c:pt>
                <c:pt idx="113">
                  <c:v>-2.7241999999999999E-2</c:v>
                </c:pt>
                <c:pt idx="114">
                  <c:v>-2.5784000000000001E-2</c:v>
                </c:pt>
                <c:pt idx="115">
                  <c:v>-2.4188000000000001E-2</c:v>
                </c:pt>
                <c:pt idx="116">
                  <c:v>-2.2473E-2</c:v>
                </c:pt>
                <c:pt idx="117">
                  <c:v>-2.0656000000000001E-2</c:v>
                </c:pt>
                <c:pt idx="118">
                  <c:v>-1.8755999999999998E-2</c:v>
                </c:pt>
                <c:pt idx="119">
                  <c:v>-1.6791E-2</c:v>
                </c:pt>
                <c:pt idx="120">
                  <c:v>-1.4777999999999999E-2</c:v>
                </c:pt>
                <c:pt idx="121">
                  <c:v>-1.2735E-2</c:v>
                </c:pt>
                <c:pt idx="122">
                  <c:v>-1.0678E-2</c:v>
                </c:pt>
                <c:pt idx="123">
                  <c:v>-8.6248000000000002E-3</c:v>
                </c:pt>
                <c:pt idx="124">
                  <c:v>-6.5900000000000004E-3</c:v>
                </c:pt>
                <c:pt idx="125">
                  <c:v>-4.5887000000000002E-3</c:v>
                </c:pt>
                <c:pt idx="126">
                  <c:v>-2.6350000000000002E-3</c:v>
                </c:pt>
                <c:pt idx="127">
                  <c:v>-7.4217E-4</c:v>
                </c:pt>
                <c:pt idx="128">
                  <c:v>1.0776E-3</c:v>
                </c:pt>
                <c:pt idx="129">
                  <c:v>2.8132000000000001E-3</c:v>
                </c:pt>
                <c:pt idx="130">
                  <c:v>4.4546999999999998E-3</c:v>
                </c:pt>
                <c:pt idx="131">
                  <c:v>5.9931999999999997E-3</c:v>
                </c:pt>
                <c:pt idx="132">
                  <c:v>7.4210999999999999E-3</c:v>
                </c:pt>
                <c:pt idx="133">
                  <c:v>8.7322000000000007E-3</c:v>
                </c:pt>
                <c:pt idx="134">
                  <c:v>9.9212999999999992E-3</c:v>
                </c:pt>
                <c:pt idx="135">
                  <c:v>1.0985E-2</c:v>
                </c:pt>
                <c:pt idx="136">
                  <c:v>1.192E-2</c:v>
                </c:pt>
                <c:pt idx="137">
                  <c:v>1.2725E-2</c:v>
                </c:pt>
                <c:pt idx="138">
                  <c:v>1.3401E-2</c:v>
                </c:pt>
                <c:pt idx="139">
                  <c:v>1.3949E-2</c:v>
                </c:pt>
                <c:pt idx="140">
                  <c:v>1.4370000000000001E-2</c:v>
                </c:pt>
                <c:pt idx="141">
                  <c:v>1.4666999999999999E-2</c:v>
                </c:pt>
                <c:pt idx="142">
                  <c:v>1.4845000000000001E-2</c:v>
                </c:pt>
                <c:pt idx="143">
                  <c:v>1.4907999999999999E-2</c:v>
                </c:pt>
                <c:pt idx="144">
                  <c:v>1.4862999999999999E-2</c:v>
                </c:pt>
                <c:pt idx="145">
                  <c:v>1.4714E-2</c:v>
                </c:pt>
                <c:pt idx="146">
                  <c:v>1.4468999999999999E-2</c:v>
                </c:pt>
                <c:pt idx="147">
                  <c:v>1.4135E-2</c:v>
                </c:pt>
                <c:pt idx="148">
                  <c:v>1.3719E-2</c:v>
                </c:pt>
                <c:pt idx="149">
                  <c:v>1.3228999999999999E-2</c:v>
                </c:pt>
                <c:pt idx="150">
                  <c:v>1.2671999999999999E-2</c:v>
                </c:pt>
                <c:pt idx="151">
                  <c:v>1.2057999999999999E-2</c:v>
                </c:pt>
                <c:pt idx="152">
                  <c:v>1.1393E-2</c:v>
                </c:pt>
                <c:pt idx="153">
                  <c:v>1.0685E-2</c:v>
                </c:pt>
                <c:pt idx="154">
                  <c:v>9.9419999999999994E-3</c:v>
                </c:pt>
                <c:pt idx="155">
                  <c:v>9.1713000000000003E-3</c:v>
                </c:pt>
                <c:pt idx="156">
                  <c:v>8.3798999999999992E-3</c:v>
                </c:pt>
                <c:pt idx="157">
                  <c:v>7.5747999999999996E-3</c:v>
                </c:pt>
                <c:pt idx="158">
                  <c:v>6.7624E-3</c:v>
                </c:pt>
                <c:pt idx="159">
                  <c:v>5.9489E-3</c:v>
                </c:pt>
                <c:pt idx="160">
                  <c:v>5.1399999999999996E-3</c:v>
                </c:pt>
                <c:pt idx="161">
                  <c:v>4.3410999999999996E-3</c:v>
                </c:pt>
                <c:pt idx="162">
                  <c:v>3.5571000000000001E-3</c:v>
                </c:pt>
                <c:pt idx="163">
                  <c:v>2.7927999999999998E-3</c:v>
                </c:pt>
                <c:pt idx="164">
                  <c:v>2.0522000000000001E-3</c:v>
                </c:pt>
                <c:pt idx="165">
                  <c:v>1.3391E-3</c:v>
                </c:pt>
                <c:pt idx="166">
                  <c:v>6.5711000000000003E-4</c:v>
                </c:pt>
                <c:pt idx="167">
                  <c:v>9.1259000000000002E-6</c:v>
                </c:pt>
                <c:pt idx="168">
                  <c:v>-6.0212000000000004E-4</c:v>
                </c:pt>
                <c:pt idx="169">
                  <c:v>-1.1743000000000001E-3</c:v>
                </c:pt>
                <c:pt idx="170">
                  <c:v>-1.7053999999999999E-3</c:v>
                </c:pt>
                <c:pt idx="171">
                  <c:v>-2.1938000000000001E-3</c:v>
                </c:pt>
                <c:pt idx="172">
                  <c:v>-2.6381999999999998E-3</c:v>
                </c:pt>
                <c:pt idx="173">
                  <c:v>-3.0374E-3</c:v>
                </c:pt>
                <c:pt idx="174">
                  <c:v>-3.3907999999999998E-3</c:v>
                </c:pt>
                <c:pt idx="175">
                  <c:v>-3.6979000000000001E-3</c:v>
                </c:pt>
                <c:pt idx="176">
                  <c:v>-3.9585999999999996E-3</c:v>
                </c:pt>
                <c:pt idx="177">
                  <c:v>-4.1729999999999996E-3</c:v>
                </c:pt>
                <c:pt idx="178">
                  <c:v>-4.3413000000000002E-3</c:v>
                </c:pt>
                <c:pt idx="179">
                  <c:v>-4.4643E-3</c:v>
                </c:pt>
                <c:pt idx="180">
                  <c:v>-4.5427000000000002E-3</c:v>
                </c:pt>
                <c:pt idx="181">
                  <c:v>-4.5776000000000002E-3</c:v>
                </c:pt>
                <c:pt idx="182">
                  <c:v>-4.5703000000000002E-3</c:v>
                </c:pt>
                <c:pt idx="183">
                  <c:v>-4.5221000000000003E-3</c:v>
                </c:pt>
                <c:pt idx="184">
                  <c:v>-4.4349000000000003E-3</c:v>
                </c:pt>
                <c:pt idx="185">
                  <c:v>-4.3103999999999998E-3</c:v>
                </c:pt>
                <c:pt idx="186">
                  <c:v>-4.1507000000000002E-3</c:v>
                </c:pt>
                <c:pt idx="187">
                  <c:v>-3.9578E-3</c:v>
                </c:pt>
                <c:pt idx="188">
                  <c:v>-3.7342E-3</c:v>
                </c:pt>
                <c:pt idx="189">
                  <c:v>-3.4822E-3</c:v>
                </c:pt>
                <c:pt idx="190">
                  <c:v>-3.2044999999999999E-3</c:v>
                </c:pt>
                <c:pt idx="191">
                  <c:v>-2.9037999999999998E-3</c:v>
                </c:pt>
                <c:pt idx="192">
                  <c:v>-2.5826999999999998E-3</c:v>
                </c:pt>
                <c:pt idx="193">
                  <c:v>-2.2442999999999999E-3</c:v>
                </c:pt>
                <c:pt idx="194">
                  <c:v>-1.8915E-3</c:v>
                </c:pt>
                <c:pt idx="195">
                  <c:v>-1.5272E-3</c:v>
                </c:pt>
                <c:pt idx="196">
                  <c:v>-1.1546E-3</c:v>
                </c:pt>
                <c:pt idx="197">
                  <c:v>-7.7680999999999996E-4</c:v>
                </c:pt>
                <c:pt idx="198">
                  <c:v>-3.9688000000000001E-4</c:v>
                </c:pt>
                <c:pt idx="199">
                  <c:v>-1.7989E-5</c:v>
                </c:pt>
                <c:pt idx="200">
                  <c:v>3.5677000000000001E-4</c:v>
                </c:pt>
                <c:pt idx="201">
                  <c:v>7.2431999999999998E-4</c:v>
                </c:pt>
                <c:pt idx="202">
                  <c:v>1.0816000000000001E-3</c:v>
                </c:pt>
                <c:pt idx="203">
                  <c:v>1.4258000000000001E-3</c:v>
                </c:pt>
                <c:pt idx="204">
                  <c:v>1.7539999999999999E-3</c:v>
                </c:pt>
                <c:pt idx="205">
                  <c:v>2.0636000000000001E-3</c:v>
                </c:pt>
                <c:pt idx="206">
                  <c:v>2.3519999999999999E-3</c:v>
                </c:pt>
                <c:pt idx="207">
                  <c:v>2.617E-3</c:v>
                </c:pt>
                <c:pt idx="208">
                  <c:v>2.8565999999999999E-3</c:v>
                </c:pt>
                <c:pt idx="209">
                  <c:v>3.0690000000000001E-3</c:v>
                </c:pt>
                <c:pt idx="210">
                  <c:v>3.2528000000000001E-3</c:v>
                </c:pt>
                <c:pt idx="211">
                  <c:v>3.4069999999999999E-3</c:v>
                </c:pt>
                <c:pt idx="212">
                  <c:v>3.5309999999999999E-3</c:v>
                </c:pt>
                <c:pt idx="213">
                  <c:v>3.6246E-3</c:v>
                </c:pt>
                <c:pt idx="214">
                  <c:v>3.6881000000000001E-3</c:v>
                </c:pt>
                <c:pt idx="215">
                  <c:v>3.722E-3</c:v>
                </c:pt>
                <c:pt idx="216">
                  <c:v>3.7272999999999998E-3</c:v>
                </c:pt>
                <c:pt idx="217">
                  <c:v>3.7054000000000002E-3</c:v>
                </c:pt>
                <c:pt idx="218">
                  <c:v>3.6576999999999998E-3</c:v>
                </c:pt>
                <c:pt idx="219">
                  <c:v>3.5858999999999999E-3</c:v>
                </c:pt>
                <c:pt idx="220">
                  <c:v>3.4919E-3</c:v>
                </c:pt>
                <c:pt idx="221">
                  <c:v>3.3774E-3</c:v>
                </c:pt>
                <c:pt idx="222">
                  <c:v>3.2445E-3</c:v>
                </c:pt>
                <c:pt idx="223">
                  <c:v>3.0952000000000002E-3</c:v>
                </c:pt>
                <c:pt idx="224">
                  <c:v>2.9313E-3</c:v>
                </c:pt>
                <c:pt idx="225">
                  <c:v>2.7548999999999998E-3</c:v>
                </c:pt>
                <c:pt idx="226">
                  <c:v>2.5677999999999999E-3</c:v>
                </c:pt>
                <c:pt idx="227">
                  <c:v>2.372E-3</c:v>
                </c:pt>
                <c:pt idx="228">
                  <c:v>2.1694000000000001E-3</c:v>
                </c:pt>
                <c:pt idx="229">
                  <c:v>1.9616E-3</c:v>
                </c:pt>
                <c:pt idx="230">
                  <c:v>1.7503E-3</c:v>
                </c:pt>
                <c:pt idx="231">
                  <c:v>1.5372000000000001E-3</c:v>
                </c:pt>
                <c:pt idx="232">
                  <c:v>1.3238E-3</c:v>
                </c:pt>
                <c:pt idx="233">
                  <c:v>1.1115000000000001E-3</c:v>
                </c:pt>
                <c:pt idx="234">
                  <c:v>9.0165000000000004E-4</c:v>
                </c:pt>
                <c:pt idx="235">
                  <c:v>6.9539000000000005E-4</c:v>
                </c:pt>
                <c:pt idx="236">
                  <c:v>4.9379999999999997E-4</c:v>
                </c:pt>
                <c:pt idx="237">
                  <c:v>2.9785E-4</c:v>
                </c:pt>
                <c:pt idx="238">
                  <c:v>1.0836E-4</c:v>
                </c:pt>
                <c:pt idx="239">
                  <c:v>-7.3972000000000003E-5</c:v>
                </c:pt>
                <c:pt idx="240">
                  <c:v>-2.4854E-4</c:v>
                </c:pt>
                <c:pt idx="241">
                  <c:v>-4.1483999999999998E-4</c:v>
                </c:pt>
                <c:pt idx="242">
                  <c:v>-5.7246E-4</c:v>
                </c:pt>
                <c:pt idx="243">
                  <c:v>-7.2101000000000001E-4</c:v>
                </c:pt>
                <c:pt idx="244">
                  <c:v>-8.6014999999999996E-4</c:v>
                </c:pt>
                <c:pt idx="245">
                  <c:v>-9.8949999999999993E-4</c:v>
                </c:pt>
                <c:pt idx="246">
                  <c:v>-1.1087E-3</c:v>
                </c:pt>
                <c:pt idx="247">
                  <c:v>-1.2171E-3</c:v>
                </c:pt>
                <c:pt idx="248">
                  <c:v>-1.3144000000000001E-3</c:v>
                </c:pt>
                <c:pt idx="249">
                  <c:v>-1.3997E-3</c:v>
                </c:pt>
                <c:pt idx="250">
                  <c:v>-1.4725000000000001E-3</c:v>
                </c:pt>
                <c:pt idx="251">
                  <c:v>-1.5319999999999999E-3</c:v>
                </c:pt>
                <c:pt idx="252">
                  <c:v>-1.5776E-3</c:v>
                </c:pt>
                <c:pt idx="253">
                  <c:v>-1.6086E-3</c:v>
                </c:pt>
                <c:pt idx="254">
                  <c:v>-1.6245999999999999E-3</c:v>
                </c:pt>
                <c:pt idx="255">
                  <c:v>-1.6253999999999999E-3</c:v>
                </c:pt>
                <c:pt idx="256">
                  <c:v>-1.6107999999999999E-3</c:v>
                </c:pt>
                <c:pt idx="257">
                  <c:v>-1.5809000000000001E-3</c:v>
                </c:pt>
                <c:pt idx="258">
                  <c:v>-1.536E-3</c:v>
                </c:pt>
                <c:pt idx="259">
                  <c:v>-1.4763000000000001E-3</c:v>
                </c:pt>
                <c:pt idx="260">
                  <c:v>-1.4024E-3</c:v>
                </c:pt>
                <c:pt idx="261">
                  <c:v>-1.3148999999999999E-3</c:v>
                </c:pt>
                <c:pt idx="262">
                  <c:v>-1.2145000000000001E-3</c:v>
                </c:pt>
                <c:pt idx="263">
                  <c:v>-1.1019999999999999E-3</c:v>
                </c:pt>
                <c:pt idx="264">
                  <c:v>-9.7799999999999992E-4</c:v>
                </c:pt>
                <c:pt idx="265">
                  <c:v>-8.4354999999999999E-4</c:v>
                </c:pt>
                <c:pt idx="266">
                  <c:v>-6.9950999999999998E-4</c:v>
                </c:pt>
                <c:pt idx="267">
                  <c:v>-5.4682999999999999E-4</c:v>
                </c:pt>
                <c:pt idx="268">
                  <c:v>-3.8650000000000002E-4</c:v>
                </c:pt>
                <c:pt idx="269">
                  <c:v>-2.1955999999999999E-4</c:v>
                </c:pt>
                <c:pt idx="270">
                  <c:v>-4.7079000000000001E-5</c:v>
                </c:pt>
                <c:pt idx="271">
                  <c:v>1.2983999999999999E-4</c:v>
                </c:pt>
                <c:pt idx="272">
                  <c:v>3.1004999999999997E-4</c:v>
                </c:pt>
                <c:pt idx="273">
                  <c:v>4.9238999999999999E-4</c:v>
                </c:pt>
                <c:pt idx="274">
                  <c:v>6.7564000000000003E-4</c:v>
                </c:pt>
                <c:pt idx="275">
                  <c:v>8.5855999999999997E-4</c:v>
                </c:pt>
                <c:pt idx="276">
                  <c:v>1.0399000000000001E-3</c:v>
                </c:pt>
                <c:pt idx="277">
                  <c:v>1.2183000000000001E-3</c:v>
                </c:pt>
                <c:pt idx="278">
                  <c:v>1.3925000000000001E-3</c:v>
                </c:pt>
                <c:pt idx="279">
                  <c:v>1.5610000000000001E-3</c:v>
                </c:pt>
                <c:pt idx="280">
                  <c:v>1.7225000000000001E-3</c:v>
                </c:pt>
                <c:pt idx="281">
                  <c:v>1.8756000000000001E-3</c:v>
                </c:pt>
                <c:pt idx="282">
                  <c:v>2.0189000000000001E-3</c:v>
                </c:pt>
                <c:pt idx="283">
                  <c:v>2.1508999999999999E-3</c:v>
                </c:pt>
                <c:pt idx="284">
                  <c:v>2.2705999999999998E-3</c:v>
                </c:pt>
                <c:pt idx="285">
                  <c:v>2.3768999999999999E-3</c:v>
                </c:pt>
                <c:pt idx="286">
                  <c:v>2.4688000000000002E-3</c:v>
                </c:pt>
                <c:pt idx="287">
                  <c:v>2.5457000000000001E-3</c:v>
                </c:pt>
                <c:pt idx="288">
                  <c:v>2.6071000000000002E-3</c:v>
                </c:pt>
                <c:pt idx="289">
                  <c:v>2.6526000000000002E-3</c:v>
                </c:pt>
                <c:pt idx="290">
                  <c:v>2.6819999999999999E-3</c:v>
                </c:pt>
                <c:pt idx="291">
                  <c:v>2.6952999999999999E-3</c:v>
                </c:pt>
                <c:pt idx="292">
                  <c:v>2.6925E-3</c:v>
                </c:pt>
                <c:pt idx="293">
                  <c:v>2.6737000000000002E-3</c:v>
                </c:pt>
                <c:pt idx="294">
                  <c:v>2.6389999999999999E-3</c:v>
                </c:pt>
                <c:pt idx="295">
                  <c:v>2.5885999999999999E-3</c:v>
                </c:pt>
                <c:pt idx="296">
                  <c:v>2.5228E-3</c:v>
                </c:pt>
                <c:pt idx="297">
                  <c:v>2.4417000000000002E-3</c:v>
                </c:pt>
                <c:pt idx="298">
                  <c:v>2.3454999999999999E-3</c:v>
                </c:pt>
                <c:pt idx="299">
                  <c:v>2.2346000000000002E-3</c:v>
                </c:pt>
                <c:pt idx="300">
                  <c:v>2.1091E-3</c:v>
                </c:pt>
                <c:pt idx="301">
                  <c:v>1.9691999999999999E-3</c:v>
                </c:pt>
                <c:pt idx="302">
                  <c:v>1.8152000000000001E-3</c:v>
                </c:pt>
                <c:pt idx="303">
                  <c:v>1.6473E-3</c:v>
                </c:pt>
                <c:pt idx="304">
                  <c:v>1.4656000000000001E-3</c:v>
                </c:pt>
                <c:pt idx="305">
                  <c:v>1.2702E-3</c:v>
                </c:pt>
                <c:pt idx="306">
                  <c:v>1.0614000000000001E-3</c:v>
                </c:pt>
                <c:pt idx="307">
                  <c:v>8.3914000000000005E-4</c:v>
                </c:pt>
                <c:pt idx="308">
                  <c:v>6.0351999999999997E-4</c:v>
                </c:pt>
                <c:pt idx="309">
                  <c:v>3.5456000000000002E-4</c:v>
                </c:pt>
                <c:pt idx="310">
                  <c:v>9.2288999999999997E-5</c:v>
                </c:pt>
                <c:pt idx="311">
                  <c:v>-1.8327999999999999E-4</c:v>
                </c:pt>
                <c:pt idx="312">
                  <c:v>-4.7209999999999998E-4</c:v>
                </c:pt>
                <c:pt idx="313">
                  <c:v>-7.7413000000000004E-4</c:v>
                </c:pt>
                <c:pt idx="314">
                  <c:v>-1.0893000000000001E-3</c:v>
                </c:pt>
                <c:pt idx="315">
                  <c:v>-1.4173E-3</c:v>
                </c:pt>
                <c:pt idx="316">
                  <c:v>-1.7581999999999999E-3</c:v>
                </c:pt>
                <c:pt idx="317">
                  <c:v>-2.1115000000000001E-3</c:v>
                </c:pt>
                <c:pt idx="318">
                  <c:v>-2.4767999999999999E-3</c:v>
                </c:pt>
                <c:pt idx="319">
                  <c:v>-2.8538000000000001E-3</c:v>
                </c:pt>
                <c:pt idx="320">
                  <c:v>-3.2418999999999998E-3</c:v>
                </c:pt>
                <c:pt idx="321">
                  <c:v>-3.6403E-3</c:v>
                </c:pt>
                <c:pt idx="322">
                  <c:v>-4.0485E-3</c:v>
                </c:pt>
                <c:pt idx="323">
                  <c:v>-4.4653999999999996E-3</c:v>
                </c:pt>
                <c:pt idx="324">
                  <c:v>-4.8901999999999999E-3</c:v>
                </c:pt>
                <c:pt idx="325">
                  <c:v>-5.3220000000000003E-3</c:v>
                </c:pt>
                <c:pt idx="326">
                  <c:v>-5.7597000000000004E-3</c:v>
                </c:pt>
                <c:pt idx="327">
                  <c:v>-6.2021999999999997E-3</c:v>
                </c:pt>
                <c:pt idx="328">
                  <c:v>-6.6486000000000002E-3</c:v>
                </c:pt>
                <c:pt idx="329">
                  <c:v>-7.0975999999999999E-3</c:v>
                </c:pt>
                <c:pt idx="330">
                  <c:v>-7.5483E-3</c:v>
                </c:pt>
                <c:pt idx="331">
                  <c:v>-7.9994000000000003E-3</c:v>
                </c:pt>
                <c:pt idx="332">
                  <c:v>-8.4498999999999998E-3</c:v>
                </c:pt>
                <c:pt idx="333">
                  <c:v>-8.8988000000000001E-3</c:v>
                </c:pt>
                <c:pt idx="334">
                  <c:v>-9.3448999999999997E-3</c:v>
                </c:pt>
                <c:pt idx="335">
                  <c:v>-9.7873000000000005E-3</c:v>
                </c:pt>
                <c:pt idx="336">
                  <c:v>-1.0225E-2</c:v>
                </c:pt>
                <c:pt idx="337">
                  <c:v>-1.0656000000000001E-2</c:v>
                </c:pt>
                <c:pt idx="338">
                  <c:v>-1.1081000000000001E-2</c:v>
                </c:pt>
                <c:pt idx="339">
                  <c:v>-1.1499000000000001E-2</c:v>
                </c:pt>
                <c:pt idx="340">
                  <c:v>-1.1906999999999999E-2</c:v>
                </c:pt>
                <c:pt idx="341">
                  <c:v>-1.2305999999999999E-2</c:v>
                </c:pt>
                <c:pt idx="342">
                  <c:v>-1.2695E-2</c:v>
                </c:pt>
                <c:pt idx="343">
                  <c:v>-1.3073E-2</c:v>
                </c:pt>
                <c:pt idx="344">
                  <c:v>-1.3439E-2</c:v>
                </c:pt>
                <c:pt idx="345">
                  <c:v>-1.3792E-2</c:v>
                </c:pt>
                <c:pt idx="346">
                  <c:v>-1.4133E-2</c:v>
                </c:pt>
                <c:pt idx="347">
                  <c:v>-1.4460000000000001E-2</c:v>
                </c:pt>
                <c:pt idx="348">
                  <c:v>-1.4773E-2</c:v>
                </c:pt>
                <c:pt idx="349">
                  <c:v>-1.5070999999999999E-2</c:v>
                </c:pt>
                <c:pt idx="350">
                  <c:v>-1.5355000000000001E-2</c:v>
                </c:pt>
                <c:pt idx="351">
                  <c:v>-1.5624000000000001E-2</c:v>
                </c:pt>
                <c:pt idx="352">
                  <c:v>-1.5878E-2</c:v>
                </c:pt>
                <c:pt idx="353">
                  <c:v>-1.6116999999999999E-2</c:v>
                </c:pt>
                <c:pt idx="354">
                  <c:v>-1.6341000000000001E-2</c:v>
                </c:pt>
                <c:pt idx="355">
                  <c:v>-1.6549999999999999E-2</c:v>
                </c:pt>
                <c:pt idx="356">
                  <c:v>-1.6743999999999998E-2</c:v>
                </c:pt>
                <c:pt idx="357">
                  <c:v>-1.6924000000000002E-2</c:v>
                </c:pt>
                <c:pt idx="358">
                  <c:v>-1.7090000000000001E-2</c:v>
                </c:pt>
                <c:pt idx="359">
                  <c:v>-1.7242E-2</c:v>
                </c:pt>
                <c:pt idx="360">
                  <c:v>-1.7382000000000002E-2</c:v>
                </c:pt>
                <c:pt idx="361">
                  <c:v>-1.7509E-2</c:v>
                </c:pt>
                <c:pt idx="362">
                  <c:v>-1.7624999999999998E-2</c:v>
                </c:pt>
                <c:pt idx="363">
                  <c:v>-1.7729999999999999E-2</c:v>
                </c:pt>
                <c:pt idx="364">
                  <c:v>-1.7825000000000001E-2</c:v>
                </c:pt>
                <c:pt idx="365">
                  <c:v>-1.7909000000000001E-2</c:v>
                </c:pt>
                <c:pt idx="366">
                  <c:v>-1.7985000000000001E-2</c:v>
                </c:pt>
                <c:pt idx="367">
                  <c:v>-1.8053E-2</c:v>
                </c:pt>
                <c:pt idx="368">
                  <c:v>-1.8112E-2</c:v>
                </c:pt>
                <c:pt idx="369">
                  <c:v>-1.8165000000000001E-2</c:v>
                </c:pt>
                <c:pt idx="370">
                  <c:v>-1.821E-2</c:v>
                </c:pt>
                <c:pt idx="371">
                  <c:v>-1.8249000000000001E-2</c:v>
                </c:pt>
                <c:pt idx="372">
                  <c:v>-1.8283000000000001E-2</c:v>
                </c:pt>
                <c:pt idx="373">
                  <c:v>-1.8311000000000001E-2</c:v>
                </c:pt>
                <c:pt idx="374">
                  <c:v>-1.8332999999999999E-2</c:v>
                </c:pt>
                <c:pt idx="375">
                  <c:v>-1.8350999999999999E-2</c:v>
                </c:pt>
                <c:pt idx="376">
                  <c:v>-1.8364999999999999E-2</c:v>
                </c:pt>
                <c:pt idx="377">
                  <c:v>-1.8374000000000001E-2</c:v>
                </c:pt>
                <c:pt idx="378">
                  <c:v>-1.8377999999999999E-2</c:v>
                </c:pt>
                <c:pt idx="379">
                  <c:v>-1.8379E-2</c:v>
                </c:pt>
                <c:pt idx="380">
                  <c:v>-1.8376E-2</c:v>
                </c:pt>
                <c:pt idx="381">
                  <c:v>-1.8369E-2</c:v>
                </c:pt>
                <c:pt idx="382">
                  <c:v>-1.8357999999999999E-2</c:v>
                </c:pt>
                <c:pt idx="383">
                  <c:v>-1.8343999999999999E-2</c:v>
                </c:pt>
                <c:pt idx="384">
                  <c:v>-1.8325999999999999E-2</c:v>
                </c:pt>
                <c:pt idx="385">
                  <c:v>-1.8304999999999998E-2</c:v>
                </c:pt>
                <c:pt idx="386">
                  <c:v>-1.8280000000000001E-2</c:v>
                </c:pt>
                <c:pt idx="387">
                  <c:v>-1.8251E-2</c:v>
                </c:pt>
                <c:pt idx="388">
                  <c:v>-1.8218999999999999E-2</c:v>
                </c:pt>
                <c:pt idx="389">
                  <c:v>-1.8183999999999999E-2</c:v>
                </c:pt>
                <c:pt idx="390">
                  <c:v>-1.8144E-2</c:v>
                </c:pt>
                <c:pt idx="391">
                  <c:v>-1.8102E-2</c:v>
                </c:pt>
                <c:pt idx="392">
                  <c:v>-1.8055000000000002E-2</c:v>
                </c:pt>
                <c:pt idx="393">
                  <c:v>-1.8005E-2</c:v>
                </c:pt>
                <c:pt idx="394">
                  <c:v>-1.7951000000000002E-2</c:v>
                </c:pt>
                <c:pt idx="395">
                  <c:v>-1.7892999999999999E-2</c:v>
                </c:pt>
                <c:pt idx="396">
                  <c:v>-1.7832000000000001E-2</c:v>
                </c:pt>
                <c:pt idx="397">
                  <c:v>-1.7766000000000001E-2</c:v>
                </c:pt>
                <c:pt idx="398">
                  <c:v>-1.7697000000000001E-2</c:v>
                </c:pt>
                <c:pt idx="399">
                  <c:v>-1.7623E-2</c:v>
                </c:pt>
                <c:pt idx="400">
                  <c:v>-1.7545000000000002E-2</c:v>
                </c:pt>
                <c:pt idx="401">
                  <c:v>-1.7464E-2</c:v>
                </c:pt>
                <c:pt idx="402">
                  <c:v>-1.7378000000000001E-2</c:v>
                </c:pt>
                <c:pt idx="403">
                  <c:v>-1.7287E-2</c:v>
                </c:pt>
                <c:pt idx="404">
                  <c:v>-1.7193E-2</c:v>
                </c:pt>
                <c:pt idx="405">
                  <c:v>-1.7094000000000002E-2</c:v>
                </c:pt>
                <c:pt idx="406">
                  <c:v>-1.6990000000000002E-2</c:v>
                </c:pt>
                <c:pt idx="407">
                  <c:v>-1.6882000000000001E-2</c:v>
                </c:pt>
                <c:pt idx="408">
                  <c:v>-1.6768999999999999E-2</c:v>
                </c:pt>
                <c:pt idx="409">
                  <c:v>-1.6652E-2</c:v>
                </c:pt>
                <c:pt idx="410">
                  <c:v>-1.653E-2</c:v>
                </c:pt>
                <c:pt idx="411">
                  <c:v>-1.6403000000000001E-2</c:v>
                </c:pt>
                <c:pt idx="412">
                  <c:v>-1.6271999999999998E-2</c:v>
                </c:pt>
                <c:pt idx="413">
                  <c:v>-1.6136000000000001E-2</c:v>
                </c:pt>
                <c:pt idx="414">
                  <c:v>-1.5994999999999999E-2</c:v>
                </c:pt>
                <c:pt idx="415">
                  <c:v>-1.5848999999999999E-2</c:v>
                </c:pt>
                <c:pt idx="416">
                  <c:v>-1.5698E-2</c:v>
                </c:pt>
                <c:pt idx="417">
                  <c:v>-1.5543E-2</c:v>
                </c:pt>
                <c:pt idx="418">
                  <c:v>-1.5382E-2</c:v>
                </c:pt>
                <c:pt idx="419">
                  <c:v>-1.5217E-2</c:v>
                </c:pt>
                <c:pt idx="420">
                  <c:v>-1.5047E-2</c:v>
                </c:pt>
                <c:pt idx="421">
                  <c:v>-1.4872E-2</c:v>
                </c:pt>
                <c:pt idx="422">
                  <c:v>-1.4692E-2</c:v>
                </c:pt>
                <c:pt idx="423">
                  <c:v>-1.4507000000000001E-2</c:v>
                </c:pt>
                <c:pt idx="424">
                  <c:v>-1.4318000000000001E-2</c:v>
                </c:pt>
                <c:pt idx="425">
                  <c:v>-1.4123E-2</c:v>
                </c:pt>
                <c:pt idx="426">
                  <c:v>-1.3924000000000001E-2</c:v>
                </c:pt>
                <c:pt idx="427">
                  <c:v>-1.3721000000000001E-2</c:v>
                </c:pt>
                <c:pt idx="428">
                  <c:v>-1.3513000000000001E-2</c:v>
                </c:pt>
                <c:pt idx="429">
                  <c:v>-1.3299999999999999E-2</c:v>
                </c:pt>
                <c:pt idx="430">
                  <c:v>-1.3082999999999999E-2</c:v>
                </c:pt>
                <c:pt idx="431">
                  <c:v>-1.2862E-2</c:v>
                </c:pt>
                <c:pt idx="432">
                  <c:v>-1.2637000000000001E-2</c:v>
                </c:pt>
                <c:pt idx="433">
                  <c:v>-1.2407E-2</c:v>
                </c:pt>
                <c:pt idx="434">
                  <c:v>-1.2174000000000001E-2</c:v>
                </c:pt>
                <c:pt idx="435">
                  <c:v>-1.1937E-2</c:v>
                </c:pt>
                <c:pt idx="436">
                  <c:v>-1.1697000000000001E-2</c:v>
                </c:pt>
                <c:pt idx="437">
                  <c:v>-1.1453E-2</c:v>
                </c:pt>
                <c:pt idx="438">
                  <c:v>-1.1205E-2</c:v>
                </c:pt>
                <c:pt idx="439">
                  <c:v>-1.0954999999999999E-2</c:v>
                </c:pt>
                <c:pt idx="440">
                  <c:v>-1.0702E-2</c:v>
                </c:pt>
                <c:pt idx="441">
                  <c:v>-1.0446E-2</c:v>
                </c:pt>
                <c:pt idx="442">
                  <c:v>-1.0187E-2</c:v>
                </c:pt>
                <c:pt idx="443">
                  <c:v>-9.9263000000000007E-3</c:v>
                </c:pt>
                <c:pt idx="444">
                  <c:v>-9.6631000000000009E-3</c:v>
                </c:pt>
                <c:pt idx="445">
                  <c:v>-9.3977000000000002E-3</c:v>
                </c:pt>
                <c:pt idx="446">
                  <c:v>-9.1304999999999997E-3</c:v>
                </c:pt>
                <c:pt idx="447">
                  <c:v>-8.8614999999999996E-3</c:v>
                </c:pt>
                <c:pt idx="448">
                  <c:v>-8.5909000000000003E-3</c:v>
                </c:pt>
                <c:pt idx="449">
                  <c:v>-8.3187999999999995E-3</c:v>
                </c:pt>
                <c:pt idx="450">
                  <c:v>-8.0456E-3</c:v>
                </c:pt>
                <c:pt idx="451">
                  <c:v>-7.7711999999999998E-3</c:v>
                </c:pt>
                <c:pt idx="452">
                  <c:v>-7.4958999999999998E-3</c:v>
                </c:pt>
                <c:pt idx="453">
                  <c:v>-7.2198000000000002E-3</c:v>
                </c:pt>
                <c:pt idx="454">
                  <c:v>-6.9430999999999998E-3</c:v>
                </c:pt>
                <c:pt idx="455">
                  <c:v>-6.6660000000000001E-3</c:v>
                </c:pt>
                <c:pt idx="456">
                  <c:v>-6.3886000000000004E-3</c:v>
                </c:pt>
                <c:pt idx="457">
                  <c:v>-6.1110000000000001E-3</c:v>
                </c:pt>
                <c:pt idx="458">
                  <c:v>-5.8335000000000001E-3</c:v>
                </c:pt>
                <c:pt idx="459">
                  <c:v>-5.5561999999999999E-3</c:v>
                </c:pt>
                <c:pt idx="460">
                  <c:v>-5.2792000000000004E-3</c:v>
                </c:pt>
                <c:pt idx="461">
                  <c:v>-5.0026999999999997E-3</c:v>
                </c:pt>
                <c:pt idx="462">
                  <c:v>-4.7267999999999998E-3</c:v>
                </c:pt>
                <c:pt idx="463">
                  <c:v>-4.4517000000000003E-3</c:v>
                </c:pt>
                <c:pt idx="464">
                  <c:v>-4.1776000000000001E-3</c:v>
                </c:pt>
                <c:pt idx="465">
                  <c:v>-3.9045E-3</c:v>
                </c:pt>
                <c:pt idx="466">
                  <c:v>-3.6326000000000002E-3</c:v>
                </c:pt>
                <c:pt idx="467">
                  <c:v>-3.3620999999999998E-3</c:v>
                </c:pt>
                <c:pt idx="468">
                  <c:v>-3.0931999999999999E-3</c:v>
                </c:pt>
                <c:pt idx="469">
                  <c:v>-2.8257999999999998E-3</c:v>
                </c:pt>
                <c:pt idx="470">
                  <c:v>-2.5601999999999999E-3</c:v>
                </c:pt>
                <c:pt idx="471">
                  <c:v>-2.2964999999999999E-3</c:v>
                </c:pt>
                <c:pt idx="472">
                  <c:v>-2.0349000000000001E-3</c:v>
                </c:pt>
                <c:pt idx="473">
                  <c:v>-1.7753999999999999E-3</c:v>
                </c:pt>
                <c:pt idx="474">
                  <c:v>-1.5181999999999999E-3</c:v>
                </c:pt>
                <c:pt idx="475">
                  <c:v>-1.2634E-3</c:v>
                </c:pt>
                <c:pt idx="476">
                  <c:v>-1.0111E-3</c:v>
                </c:pt>
                <c:pt idx="477">
                  <c:v>-7.6150999999999996E-4</c:v>
                </c:pt>
                <c:pt idx="478">
                  <c:v>-5.1464000000000002E-4</c:v>
                </c:pt>
                <c:pt idx="479">
                  <c:v>-2.7065999999999999E-4</c:v>
                </c:pt>
                <c:pt idx="480">
                  <c:v>-2.9683E-5</c:v>
                </c:pt>
                <c:pt idx="481">
                  <c:v>2.0818E-4</c:v>
                </c:pt>
                <c:pt idx="482">
                  <c:v>4.4281000000000002E-4</c:v>
                </c:pt>
                <c:pt idx="483">
                  <c:v>6.7409999999999996E-4</c:v>
                </c:pt>
                <c:pt idx="484">
                  <c:v>9.0193999999999995E-4</c:v>
                </c:pt>
                <c:pt idx="485">
                  <c:v>1.1261999999999999E-3</c:v>
                </c:pt>
                <c:pt idx="486">
                  <c:v>1.3468E-3</c:v>
                </c:pt>
                <c:pt idx="487">
                  <c:v>1.5636000000000001E-3</c:v>
                </c:pt>
                <c:pt idx="488">
                  <c:v>1.7765000000000001E-3</c:v>
                </c:pt>
                <c:pt idx="489">
                  <c:v>1.9854999999999999E-3</c:v>
                </c:pt>
                <c:pt idx="490">
                  <c:v>2.1903000000000001E-3</c:v>
                </c:pt>
                <c:pt idx="491">
                  <c:v>2.3909000000000001E-3</c:v>
                </c:pt>
                <c:pt idx="492">
                  <c:v>2.5872999999999998E-3</c:v>
                </c:pt>
                <c:pt idx="493">
                  <c:v>2.7791999999999999E-3</c:v>
                </c:pt>
                <c:pt idx="494">
                  <c:v>2.9667000000000001E-3</c:v>
                </c:pt>
                <c:pt idx="495">
                  <c:v>3.1495999999999998E-3</c:v>
                </c:pt>
                <c:pt idx="496">
                  <c:v>3.3278000000000001E-3</c:v>
                </c:pt>
                <c:pt idx="497">
                  <c:v>3.5013000000000002E-3</c:v>
                </c:pt>
                <c:pt idx="498">
                  <c:v>3.6698999999999998E-3</c:v>
                </c:pt>
                <c:pt idx="499">
                  <c:v>3.8335000000000001E-3</c:v>
                </c:pt>
                <c:pt idx="500">
                  <c:v>3.9921000000000002E-3</c:v>
                </c:pt>
                <c:pt idx="501">
                  <c:v>4.1456000000000002E-3</c:v>
                </c:pt>
                <c:pt idx="502">
                  <c:v>4.2938999999999998E-3</c:v>
                </c:pt>
                <c:pt idx="503">
                  <c:v>4.4368999999999997E-3</c:v>
                </c:pt>
                <c:pt idx="504">
                  <c:v>4.5744999999999996E-3</c:v>
                </c:pt>
                <c:pt idx="505">
                  <c:v>4.7066E-3</c:v>
                </c:pt>
                <c:pt idx="506">
                  <c:v>4.8332000000000002E-3</c:v>
                </c:pt>
                <c:pt idx="507">
                  <c:v>4.9541999999999997E-3</c:v>
                </c:pt>
                <c:pt idx="508">
                  <c:v>5.0695000000000002E-3</c:v>
                </c:pt>
                <c:pt idx="509">
                  <c:v>5.1790999999999998E-3</c:v>
                </c:pt>
                <c:pt idx="510">
                  <c:v>5.2827999999999998E-3</c:v>
                </c:pt>
                <c:pt idx="511">
                  <c:v>5.3806000000000001E-3</c:v>
                </c:pt>
                <c:pt idx="512">
                  <c:v>5.4723999999999997E-3</c:v>
                </c:pt>
                <c:pt idx="513">
                  <c:v>5.5582000000000001E-3</c:v>
                </c:pt>
                <c:pt idx="514">
                  <c:v>5.6379000000000004E-3</c:v>
                </c:pt>
                <c:pt idx="515">
                  <c:v>5.7115000000000004E-3</c:v>
                </c:pt>
                <c:pt idx="516">
                  <c:v>5.7787999999999997E-3</c:v>
                </c:pt>
                <c:pt idx="517">
                  <c:v>5.8399999999999997E-3</c:v>
                </c:pt>
                <c:pt idx="518">
                  <c:v>5.8948000000000004E-3</c:v>
                </c:pt>
                <c:pt idx="519">
                  <c:v>5.9433000000000003E-3</c:v>
                </c:pt>
                <c:pt idx="520">
                  <c:v>5.9854000000000001E-3</c:v>
                </c:pt>
                <c:pt idx="521">
                  <c:v>6.0212E-3</c:v>
                </c:pt>
                <c:pt idx="522">
                  <c:v>6.0505000000000003E-3</c:v>
                </c:pt>
                <c:pt idx="523">
                  <c:v>6.0733999999999996E-3</c:v>
                </c:pt>
                <c:pt idx="524">
                  <c:v>6.0898000000000002E-3</c:v>
                </c:pt>
                <c:pt idx="525">
                  <c:v>6.0996999999999996E-3</c:v>
                </c:pt>
                <c:pt idx="526">
                  <c:v>6.1031999999999996E-3</c:v>
                </c:pt>
                <c:pt idx="527">
                  <c:v>6.1002000000000001E-3</c:v>
                </c:pt>
                <c:pt idx="528">
                  <c:v>6.0908000000000004E-3</c:v>
                </c:pt>
                <c:pt idx="529">
                  <c:v>6.0748E-3</c:v>
                </c:pt>
                <c:pt idx="530">
                  <c:v>6.0524999999999997E-3</c:v>
                </c:pt>
                <c:pt idx="531">
                  <c:v>6.0236999999999999E-3</c:v>
                </c:pt>
                <c:pt idx="532">
                  <c:v>5.9884999999999999E-3</c:v>
                </c:pt>
                <c:pt idx="533">
                  <c:v>5.947E-3</c:v>
                </c:pt>
                <c:pt idx="534">
                  <c:v>5.8991E-3</c:v>
                </c:pt>
                <c:pt idx="535">
                  <c:v>5.8449000000000001E-3</c:v>
                </c:pt>
                <c:pt idx="536">
                  <c:v>5.7844000000000003E-3</c:v>
                </c:pt>
                <c:pt idx="537">
                  <c:v>5.7178000000000003E-3</c:v>
                </c:pt>
                <c:pt idx="538">
                  <c:v>5.6448999999999996E-3</c:v>
                </c:pt>
                <c:pt idx="539">
                  <c:v>5.5659000000000004E-3</c:v>
                </c:pt>
                <c:pt idx="540">
                  <c:v>5.4808000000000001E-3</c:v>
                </c:pt>
                <c:pt idx="541">
                  <c:v>5.3896999999999999E-3</c:v>
                </c:pt>
                <c:pt idx="542">
                  <c:v>5.2925999999999997E-3</c:v>
                </c:pt>
                <c:pt idx="543">
                  <c:v>5.1895999999999999E-3</c:v>
                </c:pt>
                <c:pt idx="544">
                  <c:v>5.0807999999999999E-3</c:v>
                </c:pt>
                <c:pt idx="545">
                  <c:v>4.9661999999999996E-3</c:v>
                </c:pt>
                <c:pt idx="546">
                  <c:v>4.8459000000000002E-3</c:v>
                </c:pt>
                <c:pt idx="547">
                  <c:v>4.7199E-3</c:v>
                </c:pt>
                <c:pt idx="548">
                  <c:v>4.5884000000000003E-3</c:v>
                </c:pt>
                <c:pt idx="549">
                  <c:v>4.4514999999999997E-3</c:v>
                </c:pt>
                <c:pt idx="550">
                  <c:v>4.3092E-3</c:v>
                </c:pt>
                <c:pt idx="551">
                  <c:v>4.1615999999999997E-3</c:v>
                </c:pt>
                <c:pt idx="552">
                  <c:v>4.0089000000000001E-3</c:v>
                </c:pt>
                <c:pt idx="553">
                  <c:v>3.8511000000000001E-3</c:v>
                </c:pt>
                <c:pt idx="554">
                  <c:v>3.6882999999999998E-3</c:v>
                </c:pt>
                <c:pt idx="555">
                  <c:v>3.5208000000000001E-3</c:v>
                </c:pt>
                <c:pt idx="556">
                  <c:v>3.3486000000000002E-3</c:v>
                </c:pt>
                <c:pt idx="557">
                  <c:v>3.1717999999999998E-3</c:v>
                </c:pt>
                <c:pt idx="558">
                  <c:v>2.9905000000000001E-3</c:v>
                </c:pt>
                <c:pt idx="559">
                  <c:v>2.8051E-3</c:v>
                </c:pt>
                <c:pt idx="560">
                  <c:v>2.6155000000000002E-3</c:v>
                </c:pt>
                <c:pt idx="561">
                  <c:v>2.4218999999999998E-3</c:v>
                </c:pt>
                <c:pt idx="562">
                  <c:v>2.2246000000000002E-3</c:v>
                </c:pt>
                <c:pt idx="563">
                  <c:v>2.0236999999999998E-3</c:v>
                </c:pt>
                <c:pt idx="564">
                  <c:v>1.8194000000000001E-3</c:v>
                </c:pt>
                <c:pt idx="565">
                  <c:v>1.6119000000000001E-3</c:v>
                </c:pt>
                <c:pt idx="566">
                  <c:v>1.4013999999999999E-3</c:v>
                </c:pt>
                <c:pt idx="567">
                  <c:v>1.1881000000000001E-3</c:v>
                </c:pt>
                <c:pt idx="568">
                  <c:v>9.7216999999999996E-4</c:v>
                </c:pt>
                <c:pt idx="569">
                  <c:v>7.5389999999999995E-4</c:v>
                </c:pt>
                <c:pt idx="570">
                  <c:v>5.3350000000000001E-4</c:v>
                </c:pt>
                <c:pt idx="571">
                  <c:v>3.1121000000000002E-4</c:v>
                </c:pt>
                <c:pt idx="572">
                  <c:v>8.7264999999999999E-5</c:v>
                </c:pt>
                <c:pt idx="573">
                  <c:v>-1.3808000000000001E-4</c:v>
                </c:pt>
                <c:pt idx="574">
                  <c:v>-3.6457999999999998E-4</c:v>
                </c:pt>
                <c:pt idx="575">
                  <c:v>-5.9197999999999998E-4</c:v>
                </c:pt>
                <c:pt idx="576">
                  <c:v>-8.2001999999999997E-4</c:v>
                </c:pt>
                <c:pt idx="577">
                  <c:v>-1.0483999999999999E-3</c:v>
                </c:pt>
                <c:pt idx="578">
                  <c:v>-1.2769000000000001E-3</c:v>
                </c:pt>
                <c:pt idx="579">
                  <c:v>-1.5053E-3</c:v>
                </c:pt>
                <c:pt idx="580">
                  <c:v>-1.7332999999999999E-3</c:v>
                </c:pt>
                <c:pt idx="581">
                  <c:v>-1.9605E-3</c:v>
                </c:pt>
                <c:pt idx="582">
                  <c:v>-2.1868E-3</c:v>
                </c:pt>
                <c:pt idx="583">
                  <c:v>-2.4118999999999998E-3</c:v>
                </c:pt>
                <c:pt idx="584">
                  <c:v>-2.6356000000000001E-3</c:v>
                </c:pt>
                <c:pt idx="585">
                  <c:v>-2.8574999999999998E-3</c:v>
                </c:pt>
                <c:pt idx="586">
                  <c:v>-3.0774000000000001E-3</c:v>
                </c:pt>
                <c:pt idx="587">
                  <c:v>-3.2951999999999999E-3</c:v>
                </c:pt>
                <c:pt idx="588">
                  <c:v>-3.5105000000000002E-3</c:v>
                </c:pt>
                <c:pt idx="589">
                  <c:v>-3.7231999999999999E-3</c:v>
                </c:pt>
                <c:pt idx="590">
                  <c:v>-3.9329999999999999E-3</c:v>
                </c:pt>
                <c:pt idx="591">
                  <c:v>-4.1397999999999999E-3</c:v>
                </c:pt>
                <c:pt idx="592">
                  <c:v>-4.3432000000000002E-3</c:v>
                </c:pt>
                <c:pt idx="593">
                  <c:v>-4.5433000000000001E-3</c:v>
                </c:pt>
                <c:pt idx="594">
                  <c:v>-4.7396000000000001E-3</c:v>
                </c:pt>
                <c:pt idx="595">
                  <c:v>-4.9322000000000003E-3</c:v>
                </c:pt>
                <c:pt idx="596">
                  <c:v>-5.1208E-3</c:v>
                </c:pt>
                <c:pt idx="597">
                  <c:v>-5.3052999999999998E-3</c:v>
                </c:pt>
                <c:pt idx="598">
                  <c:v>-5.4856000000000002E-3</c:v>
                </c:pt>
                <c:pt idx="599">
                  <c:v>-5.6616000000000001E-3</c:v>
                </c:pt>
                <c:pt idx="600">
                  <c:v>-5.8332000000000002E-3</c:v>
                </c:pt>
                <c:pt idx="601">
                  <c:v>-6.0003000000000001E-3</c:v>
                </c:pt>
                <c:pt idx="602">
                  <c:v>-6.1628000000000004E-3</c:v>
                </c:pt>
                <c:pt idx="603">
                  <c:v>-6.3207000000000003E-3</c:v>
                </c:pt>
                <c:pt idx="604">
                  <c:v>-6.4739000000000003E-3</c:v>
                </c:pt>
                <c:pt idx="605">
                  <c:v>-6.6223000000000002E-3</c:v>
                </c:pt>
                <c:pt idx="606">
                  <c:v>-6.7660999999999997E-3</c:v>
                </c:pt>
                <c:pt idx="607">
                  <c:v>-6.9049999999999997E-3</c:v>
                </c:pt>
                <c:pt idx="608">
                  <c:v>-7.0391999999999998E-3</c:v>
                </c:pt>
                <c:pt idx="609">
                  <c:v>-7.1687000000000001E-3</c:v>
                </c:pt>
                <c:pt idx="610">
                  <c:v>-7.2934000000000002E-3</c:v>
                </c:pt>
                <c:pt idx="611">
                  <c:v>-7.4135E-3</c:v>
                </c:pt>
                <c:pt idx="612">
                  <c:v>-7.5288000000000004E-3</c:v>
                </c:pt>
                <c:pt idx="613">
                  <c:v>-7.6394999999999996E-3</c:v>
                </c:pt>
                <c:pt idx="614">
                  <c:v>-7.7456000000000001E-3</c:v>
                </c:pt>
                <c:pt idx="615">
                  <c:v>-7.8470999999999992E-3</c:v>
                </c:pt>
                <c:pt idx="616">
                  <c:v>-7.9441000000000008E-3</c:v>
                </c:pt>
                <c:pt idx="617">
                  <c:v>-8.0367000000000008E-3</c:v>
                </c:pt>
                <c:pt idx="618">
                  <c:v>-8.1248999999999991E-3</c:v>
                </c:pt>
                <c:pt idx="619">
                  <c:v>-8.2088000000000005E-3</c:v>
                </c:pt>
              </c:numCache>
            </c:numRef>
          </c:yVal>
          <c:smooth val="1"/>
          <c:extLst>
            <c:ext xmlns:c16="http://schemas.microsoft.com/office/drawing/2014/chart" uri="{C3380CC4-5D6E-409C-BE32-E72D297353CC}">
              <c16:uniqueId val="{00000002-00C6-46B2-92E3-3CDC1A8F00F7}"/>
            </c:ext>
          </c:extLst>
        </c:ser>
        <c:ser>
          <c:idx val="2"/>
          <c:order val="2"/>
          <c:spPr>
            <a:ln w="19050" cap="rnd">
              <a:solidFill>
                <a:schemeClr val="accent3"/>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'INIT-File+Corr'!$D$16:$D$636</c:f>
              <c:numCache>
                <c:formatCode>0.000000</c:formatCode>
                <c:ptCount val="620"/>
                <c:pt idx="0">
                  <c:v>9.4997999999999992E-3</c:v>
                </c:pt>
                <c:pt idx="1">
                  <c:v>9.5957999999999998E-3</c:v>
                </c:pt>
                <c:pt idx="2">
                  <c:v>9.6927000000000003E-3</c:v>
                </c:pt>
                <c:pt idx="3">
                  <c:v>9.7906E-3</c:v>
                </c:pt>
                <c:pt idx="4">
                  <c:v>9.8895000000000007E-3</c:v>
                </c:pt>
                <c:pt idx="5">
                  <c:v>9.9894000000000007E-3</c:v>
                </c:pt>
                <c:pt idx="6">
                  <c:v>1.009E-2</c:v>
                </c:pt>
                <c:pt idx="7">
                  <c:v>1.0192E-2</c:v>
                </c:pt>
                <c:pt idx="8">
                  <c:v>1.0295E-2</c:v>
                </c:pt>
                <c:pt idx="9">
                  <c:v>1.0399E-2</c:v>
                </c:pt>
                <c:pt idx="10">
                  <c:v>1.0503999999999999E-2</c:v>
                </c:pt>
                <c:pt idx="11">
                  <c:v>1.061E-2</c:v>
                </c:pt>
                <c:pt idx="12">
                  <c:v>1.0717000000000001E-2</c:v>
                </c:pt>
                <c:pt idx="13">
                  <c:v>1.0825E-2</c:v>
                </c:pt>
                <c:pt idx="14">
                  <c:v>1.0933E-2</c:v>
                </c:pt>
                <c:pt idx="15">
                  <c:v>1.1039999999999999E-2</c:v>
                </c:pt>
                <c:pt idx="16">
                  <c:v>1.1145E-2</c:v>
                </c:pt>
                <c:pt idx="17">
                  <c:v>1.1245E-2</c:v>
                </c:pt>
                <c:pt idx="18">
                  <c:v>1.1336000000000001E-2</c:v>
                </c:pt>
                <c:pt idx="19">
                  <c:v>1.1415E-2</c:v>
                </c:pt>
                <c:pt idx="20">
                  <c:v>1.1476999999999999E-2</c:v>
                </c:pt>
                <c:pt idx="21">
                  <c:v>1.1513000000000001E-2</c:v>
                </c:pt>
                <c:pt idx="22">
                  <c:v>1.1516999999999999E-2</c:v>
                </c:pt>
                <c:pt idx="23">
                  <c:v>1.1481E-2</c:v>
                </c:pt>
                <c:pt idx="24">
                  <c:v>1.1396E-2</c:v>
                </c:pt>
                <c:pt idx="25">
                  <c:v>1.1253000000000001E-2</c:v>
                </c:pt>
                <c:pt idx="26">
                  <c:v>1.1043000000000001E-2</c:v>
                </c:pt>
                <c:pt idx="27">
                  <c:v>1.0758999999999999E-2</c:v>
                </c:pt>
                <c:pt idx="28">
                  <c:v>1.0394E-2</c:v>
                </c:pt>
                <c:pt idx="29">
                  <c:v>9.9413000000000001E-3</c:v>
                </c:pt>
                <c:pt idx="30">
                  <c:v>9.3974000000000002E-3</c:v>
                </c:pt>
                <c:pt idx="31">
                  <c:v>8.7591000000000006E-3</c:v>
                </c:pt>
                <c:pt idx="32">
                  <c:v>8.0251999999999997E-3</c:v>
                </c:pt>
                <c:pt idx="33">
                  <c:v>7.1960000000000001E-3</c:v>
                </c:pt>
                <c:pt idx="34">
                  <c:v>6.2735000000000004E-3</c:v>
                </c:pt>
                <c:pt idx="35">
                  <c:v>5.2611999999999997E-3</c:v>
                </c:pt>
                <c:pt idx="36">
                  <c:v>4.1640999999999996E-3</c:v>
                </c:pt>
                <c:pt idx="37">
                  <c:v>2.9884999999999998E-3</c:v>
                </c:pt>
                <c:pt idx="38">
                  <c:v>1.7420000000000001E-3</c:v>
                </c:pt>
                <c:pt idx="39">
                  <c:v>4.3343E-4</c:v>
                </c:pt>
                <c:pt idx="40">
                  <c:v>-9.2721000000000004E-4</c:v>
                </c:pt>
                <c:pt idx="41">
                  <c:v>-2.3289999999999999E-3</c:v>
                </c:pt>
                <c:pt idx="42">
                  <c:v>-3.7599999999999999E-3</c:v>
                </c:pt>
                <c:pt idx="43">
                  <c:v>-5.2072999999999998E-3</c:v>
                </c:pt>
                <c:pt idx="44">
                  <c:v>-6.6572000000000003E-3</c:v>
                </c:pt>
                <c:pt idx="45">
                  <c:v>-8.0952000000000003E-3</c:v>
                </c:pt>
                <c:pt idx="46">
                  <c:v>-9.5061E-3</c:v>
                </c:pt>
                <c:pt idx="47">
                  <c:v>-1.0874E-2</c:v>
                </c:pt>
                <c:pt idx="48">
                  <c:v>-1.2182E-2</c:v>
                </c:pt>
                <c:pt idx="49">
                  <c:v>-1.3414000000000001E-2</c:v>
                </c:pt>
                <c:pt idx="50">
                  <c:v>-1.4552000000000001E-2</c:v>
                </c:pt>
                <c:pt idx="51">
                  <c:v>-1.558E-2</c:v>
                </c:pt>
                <c:pt idx="52">
                  <c:v>-1.6479000000000001E-2</c:v>
                </c:pt>
                <c:pt idx="53">
                  <c:v>-1.7232000000000001E-2</c:v>
                </c:pt>
                <c:pt idx="54">
                  <c:v>-1.7822999999999999E-2</c:v>
                </c:pt>
                <c:pt idx="55">
                  <c:v>-1.8454999999999999E-2</c:v>
                </c:pt>
                <c:pt idx="56">
                  <c:v>-1.8464999999999999E-2</c:v>
                </c:pt>
                <c:pt idx="57">
                  <c:v>-1.8252000000000001E-2</c:v>
                </c:pt>
                <c:pt idx="58">
                  <c:v>-1.7802999999999999E-2</c:v>
                </c:pt>
                <c:pt idx="59">
                  <c:v>-1.7107000000000001E-2</c:v>
                </c:pt>
                <c:pt idx="60">
                  <c:v>-1.6154000000000002E-2</c:v>
                </c:pt>
                <c:pt idx="61">
                  <c:v>-1.4936E-2</c:v>
                </c:pt>
                <c:pt idx="62">
                  <c:v>-1.3445E-2</c:v>
                </c:pt>
                <c:pt idx="63">
                  <c:v>-1.1676000000000001E-2</c:v>
                </c:pt>
                <c:pt idx="64">
                  <c:v>-9.6285999999999993E-3</c:v>
                </c:pt>
                <c:pt idx="65">
                  <c:v>-7.3010999999999996E-3</c:v>
                </c:pt>
                <c:pt idx="66">
                  <c:v>-4.6969999999999998E-3</c:v>
                </c:pt>
                <c:pt idx="67">
                  <c:v>-1.8219E-3</c:v>
                </c:pt>
                <c:pt idx="68">
                  <c:v>1.3151E-3</c:v>
                </c:pt>
                <c:pt idx="69">
                  <c:v>4.7019999999999996E-3</c:v>
                </c:pt>
                <c:pt idx="70">
                  <c:v>8.3233999999999999E-3</c:v>
                </c:pt>
                <c:pt idx="71">
                  <c:v>1.2161E-2</c:v>
                </c:pt>
                <c:pt idx="72">
                  <c:v>1.6192999999999999E-2</c:v>
                </c:pt>
                <c:pt idx="73">
                  <c:v>2.0396999999999998E-2</c:v>
                </c:pt>
                <c:pt idx="74">
                  <c:v>2.4746000000000001E-2</c:v>
                </c:pt>
                <c:pt idx="75">
                  <c:v>2.9211000000000001E-2</c:v>
                </c:pt>
                <c:pt idx="76">
                  <c:v>3.3765000000000003E-2</c:v>
                </c:pt>
                <c:pt idx="77">
                  <c:v>3.8377000000000001E-2</c:v>
                </c:pt>
                <c:pt idx="78">
                  <c:v>4.3015999999999999E-2</c:v>
                </c:pt>
                <c:pt idx="79">
                  <c:v>4.7649999999999998E-2</c:v>
                </c:pt>
                <c:pt idx="80">
                  <c:v>5.2248999999999997E-2</c:v>
                </c:pt>
                <c:pt idx="81">
                  <c:v>5.6783E-2</c:v>
                </c:pt>
                <c:pt idx="82">
                  <c:v>6.1219999999999997E-2</c:v>
                </c:pt>
                <c:pt idx="83">
                  <c:v>6.5532000000000007E-2</c:v>
                </c:pt>
                <c:pt idx="84">
                  <c:v>6.9690000000000002E-2</c:v>
                </c:pt>
                <c:pt idx="85">
                  <c:v>7.3667999999999997E-2</c:v>
                </c:pt>
                <c:pt idx="86">
                  <c:v>7.7438999999999994E-2</c:v>
                </c:pt>
                <c:pt idx="87">
                  <c:v>8.0979999999999996E-2</c:v>
                </c:pt>
                <c:pt idx="88">
                  <c:v>8.4266999999999995E-2</c:v>
                </c:pt>
                <c:pt idx="89">
                  <c:v>8.7281999999999998E-2</c:v>
                </c:pt>
                <c:pt idx="90">
                  <c:v>9.0004000000000001E-2</c:v>
                </c:pt>
                <c:pt idx="91">
                  <c:v>9.2418E-2</c:v>
                </c:pt>
                <c:pt idx="92">
                  <c:v>9.4509999999999997E-2</c:v>
                </c:pt>
                <c:pt idx="93">
                  <c:v>9.6267000000000005E-2</c:v>
                </c:pt>
                <c:pt idx="94">
                  <c:v>9.7679000000000002E-2</c:v>
                </c:pt>
                <c:pt idx="95">
                  <c:v>9.8738000000000006E-2</c:v>
                </c:pt>
                <c:pt idx="96">
                  <c:v>9.9441000000000002E-2</c:v>
                </c:pt>
                <c:pt idx="97">
                  <c:v>9.9782999999999997E-2</c:v>
                </c:pt>
                <c:pt idx="98">
                  <c:v>9.9764000000000005E-2</c:v>
                </c:pt>
                <c:pt idx="99">
                  <c:v>9.9387000000000003E-2</c:v>
                </c:pt>
                <c:pt idx="100">
                  <c:v>9.8654000000000006E-2</c:v>
                </c:pt>
                <c:pt idx="101">
                  <c:v>9.7573999999999994E-2</c:v>
                </c:pt>
                <c:pt idx="102">
                  <c:v>9.6154000000000003E-2</c:v>
                </c:pt>
                <c:pt idx="103">
                  <c:v>9.4405000000000003E-2</c:v>
                </c:pt>
                <c:pt idx="104">
                  <c:v>9.2339000000000004E-2</c:v>
                </c:pt>
                <c:pt idx="105">
                  <c:v>8.9971999999999996E-2</c:v>
                </c:pt>
                <c:pt idx="106">
                  <c:v>8.7318999999999994E-2</c:v>
                </c:pt>
                <c:pt idx="107">
                  <c:v>8.4398000000000001E-2</c:v>
                </c:pt>
                <c:pt idx="108">
                  <c:v>8.1226999999999994E-2</c:v>
                </c:pt>
                <c:pt idx="109">
                  <c:v>7.7826000000000006E-2</c:v>
                </c:pt>
                <c:pt idx="110">
                  <c:v>7.4217000000000005E-2</c:v>
                </c:pt>
                <c:pt idx="111">
                  <c:v>7.0419999999999996E-2</c:v>
                </c:pt>
                <c:pt idx="112">
                  <c:v>6.6459000000000004E-2</c:v>
                </c:pt>
                <c:pt idx="113">
                  <c:v>6.2355000000000001E-2</c:v>
                </c:pt>
                <c:pt idx="114">
                  <c:v>5.8132999999999997E-2</c:v>
                </c:pt>
                <c:pt idx="115">
                  <c:v>5.3815000000000002E-2</c:v>
                </c:pt>
                <c:pt idx="116">
                  <c:v>4.9425999999999998E-2</c:v>
                </c:pt>
                <c:pt idx="117">
                  <c:v>4.4988E-2</c:v>
                </c:pt>
                <c:pt idx="118">
                  <c:v>4.0526E-2</c:v>
                </c:pt>
                <c:pt idx="119">
                  <c:v>3.6061999999999997E-2</c:v>
                </c:pt>
                <c:pt idx="120">
                  <c:v>3.1618E-2</c:v>
                </c:pt>
                <c:pt idx="121">
                  <c:v>2.7217000000000002E-2</c:v>
                </c:pt>
                <c:pt idx="122">
                  <c:v>2.2880999999999999E-2</c:v>
                </c:pt>
                <c:pt idx="123">
                  <c:v>1.8630000000000001E-2</c:v>
                </c:pt>
                <c:pt idx="124">
                  <c:v>1.4482999999999999E-2</c:v>
                </c:pt>
                <c:pt idx="125">
                  <c:v>1.0460000000000001E-2</c:v>
                </c:pt>
                <c:pt idx="126">
                  <c:v>6.5785000000000001E-3</c:v>
                </c:pt>
                <c:pt idx="127">
                  <c:v>2.8549000000000001E-3</c:v>
                </c:pt>
                <c:pt idx="128">
                  <c:v>-6.9539999999999999E-4</c:v>
                </c:pt>
                <c:pt idx="129">
                  <c:v>-4.0584000000000002E-3</c:v>
                </c:pt>
                <c:pt idx="130">
                  <c:v>-7.2215999999999999E-3</c:v>
                </c:pt>
                <c:pt idx="131">
                  <c:v>-1.0174000000000001E-2</c:v>
                </c:pt>
                <c:pt idx="132">
                  <c:v>-1.2906000000000001E-2</c:v>
                </c:pt>
                <c:pt idx="133">
                  <c:v>-1.5409000000000001E-2</c:v>
                </c:pt>
                <c:pt idx="134">
                  <c:v>-1.7677999999999999E-2</c:v>
                </c:pt>
                <c:pt idx="135">
                  <c:v>-1.9706999999999999E-2</c:v>
                </c:pt>
                <c:pt idx="136">
                  <c:v>-2.1493999999999999E-2</c:v>
                </c:pt>
                <c:pt idx="137">
                  <c:v>-2.3037999999999999E-2</c:v>
                </c:pt>
                <c:pt idx="138">
                  <c:v>-2.4340000000000001E-2</c:v>
                </c:pt>
                <c:pt idx="139">
                  <c:v>-2.5402000000000001E-2</c:v>
                </c:pt>
                <c:pt idx="140">
                  <c:v>-2.6227E-2</c:v>
                </c:pt>
                <c:pt idx="141">
                  <c:v>-2.6821000000000001E-2</c:v>
                </c:pt>
                <c:pt idx="142">
                  <c:v>-2.7192000000000001E-2</c:v>
                </c:pt>
                <c:pt idx="143">
                  <c:v>-2.7348000000000001E-2</c:v>
                </c:pt>
                <c:pt idx="144">
                  <c:v>-2.7299E-2</c:v>
                </c:pt>
                <c:pt idx="145">
                  <c:v>-2.7056E-2</c:v>
                </c:pt>
                <c:pt idx="146">
                  <c:v>-2.6630000000000001E-2</c:v>
                </c:pt>
                <c:pt idx="147">
                  <c:v>-2.6036E-2</c:v>
                </c:pt>
                <c:pt idx="148">
                  <c:v>-2.5285999999999999E-2</c:v>
                </c:pt>
                <c:pt idx="149">
                  <c:v>-2.4395E-2</c:v>
                </c:pt>
                <c:pt idx="150">
                  <c:v>-2.3377999999999999E-2</c:v>
                </c:pt>
                <c:pt idx="151">
                  <c:v>-2.2248E-2</c:v>
                </c:pt>
                <c:pt idx="152">
                  <c:v>-2.1021000000000001E-2</c:v>
                </c:pt>
                <c:pt idx="153">
                  <c:v>-1.9710999999999999E-2</c:v>
                </c:pt>
                <c:pt idx="154">
                  <c:v>-1.8332999999999999E-2</c:v>
                </c:pt>
                <c:pt idx="155">
                  <c:v>-1.6900999999999999E-2</c:v>
                </c:pt>
                <c:pt idx="156">
                  <c:v>-1.5428000000000001E-2</c:v>
                </c:pt>
                <c:pt idx="157">
                  <c:v>-1.3927E-2</c:v>
                </c:pt>
                <c:pt idx="158">
                  <c:v>-1.2409999999999999E-2</c:v>
                </c:pt>
                <c:pt idx="159">
                  <c:v>-1.0888E-2</c:v>
                </c:pt>
                <c:pt idx="160">
                  <c:v>-9.3729999999999994E-3</c:v>
                </c:pt>
                <c:pt idx="161">
                  <c:v>-7.8741000000000002E-3</c:v>
                </c:pt>
                <c:pt idx="162">
                  <c:v>-6.4004999999999999E-3</c:v>
                </c:pt>
                <c:pt idx="163">
                  <c:v>-4.9607000000000002E-3</c:v>
                </c:pt>
                <c:pt idx="164">
                  <c:v>-3.5623E-3</c:v>
                </c:pt>
                <c:pt idx="165">
                  <c:v>-2.2122999999999999E-3</c:v>
                </c:pt>
                <c:pt idx="166">
                  <c:v>-9.1673000000000004E-4</c:v>
                </c:pt>
                <c:pt idx="167">
                  <c:v>3.1890999999999999E-4</c:v>
                </c:pt>
                <c:pt idx="168">
                  <c:v>1.4898999999999999E-3</c:v>
                </c:pt>
                <c:pt idx="169">
                  <c:v>2.5920000000000001E-3</c:v>
                </c:pt>
                <c:pt idx="170">
                  <c:v>3.6218000000000001E-3</c:v>
                </c:pt>
                <c:pt idx="171">
                  <c:v>4.5763000000000002E-3</c:v>
                </c:pt>
                <c:pt idx="172">
                  <c:v>5.4533000000000003E-3</c:v>
                </c:pt>
                <c:pt idx="173">
                  <c:v>6.2507999999999999E-3</c:v>
                </c:pt>
                <c:pt idx="174">
                  <c:v>6.9677000000000003E-3</c:v>
                </c:pt>
                <c:pt idx="175">
                  <c:v>7.6030999999999998E-3</c:v>
                </c:pt>
                <c:pt idx="176">
                  <c:v>8.1568000000000005E-3</c:v>
                </c:pt>
                <c:pt idx="177">
                  <c:v>8.6289000000000001E-3</c:v>
                </c:pt>
                <c:pt idx="178">
                  <c:v>9.0200999999999996E-3</c:v>
                </c:pt>
                <c:pt idx="179">
                  <c:v>9.3313000000000007E-3</c:v>
                </c:pt>
                <c:pt idx="180">
                  <c:v>9.5639999999999996E-3</c:v>
                </c:pt>
                <c:pt idx="181">
                  <c:v>9.7199000000000001E-3</c:v>
                </c:pt>
                <c:pt idx="182">
                  <c:v>9.8011999999999995E-3</c:v>
                </c:pt>
                <c:pt idx="183">
                  <c:v>9.8104000000000004E-3</c:v>
                </c:pt>
                <c:pt idx="184">
                  <c:v>9.7500999999999994E-3</c:v>
                </c:pt>
                <c:pt idx="185">
                  <c:v>9.6235000000000001E-3</c:v>
                </c:pt>
                <c:pt idx="186">
                  <c:v>9.4339000000000003E-3</c:v>
                </c:pt>
                <c:pt idx="187">
                  <c:v>9.1847999999999999E-3</c:v>
                </c:pt>
                <c:pt idx="188">
                  <c:v>8.8800000000000007E-3</c:v>
                </c:pt>
                <c:pt idx="189">
                  <c:v>8.5234999999999998E-3</c:v>
                </c:pt>
                <c:pt idx="190">
                  <c:v>8.1192999999999994E-3</c:v>
                </c:pt>
                <c:pt idx="191">
                  <c:v>7.6718999999999997E-3</c:v>
                </c:pt>
                <c:pt idx="192">
                  <c:v>7.1856000000000003E-3</c:v>
                </c:pt>
                <c:pt idx="193">
                  <c:v>6.6649999999999999E-3</c:v>
                </c:pt>
                <c:pt idx="194">
                  <c:v>6.1148000000000001E-3</c:v>
                </c:pt>
                <c:pt idx="195">
                  <c:v>5.5396000000000004E-3</c:v>
                </c:pt>
                <c:pt idx="196">
                  <c:v>4.9443000000000004E-3</c:v>
                </c:pt>
                <c:pt idx="197">
                  <c:v>4.3337000000000002E-3</c:v>
                </c:pt>
                <c:pt idx="198">
                  <c:v>3.7125999999999999E-3</c:v>
                </c:pt>
                <c:pt idx="199">
                  <c:v>3.0858000000000001E-3</c:v>
                </c:pt>
                <c:pt idx="200">
                  <c:v>2.4580000000000001E-3</c:v>
                </c:pt>
                <c:pt idx="201">
                  <c:v>1.8341E-3</c:v>
                </c:pt>
                <c:pt idx="202">
                  <c:v>1.2185E-3</c:v>
                </c:pt>
                <c:pt idx="203">
                  <c:v>6.1578000000000002E-4</c:v>
                </c:pt>
                <c:pt idx="204">
                  <c:v>3.0244E-5</c:v>
                </c:pt>
                <c:pt idx="205">
                  <c:v>-5.3399999999999997E-4</c:v>
                </c:pt>
                <c:pt idx="206">
                  <c:v>-1.0731E-3</c:v>
                </c:pt>
                <c:pt idx="207">
                  <c:v>-1.5834E-3</c:v>
                </c:pt>
                <c:pt idx="208">
                  <c:v>-2.0617999999999999E-3</c:v>
                </c:pt>
                <c:pt idx="209">
                  <c:v>-2.5052E-3</c:v>
                </c:pt>
                <c:pt idx="210">
                  <c:v>-2.9114000000000002E-3</c:v>
                </c:pt>
                <c:pt idx="211">
                  <c:v>-3.2783999999999999E-3</c:v>
                </c:pt>
                <c:pt idx="212">
                  <c:v>-3.6048E-3</c:v>
                </c:pt>
                <c:pt idx="213">
                  <c:v>-3.8896999999999998E-3</c:v>
                </c:pt>
                <c:pt idx="214">
                  <c:v>-4.1326999999999996E-3</c:v>
                </c:pt>
                <c:pt idx="215">
                  <c:v>-4.3341999999999999E-3</c:v>
                </c:pt>
                <c:pt idx="216">
                  <c:v>-4.4946999999999999E-3</c:v>
                </c:pt>
                <c:pt idx="217">
                  <c:v>-4.6153000000000001E-3</c:v>
                </c:pt>
                <c:pt idx="218">
                  <c:v>-4.6974E-3</c:v>
                </c:pt>
                <c:pt idx="219">
                  <c:v>-4.7425000000000002E-3</c:v>
                </c:pt>
                <c:pt idx="220">
                  <c:v>-4.7524999999999998E-3</c:v>
                </c:pt>
                <c:pt idx="221">
                  <c:v>-4.7293999999999999E-3</c:v>
                </c:pt>
                <c:pt idx="222">
                  <c:v>-4.6750999999999997E-3</c:v>
                </c:pt>
                <c:pt idx="223">
                  <c:v>-4.5919000000000003E-3</c:v>
                </c:pt>
                <c:pt idx="224">
                  <c:v>-4.4818999999999996E-3</c:v>
                </c:pt>
                <c:pt idx="225">
                  <c:v>-4.3474000000000004E-3</c:v>
                </c:pt>
                <c:pt idx="226">
                  <c:v>-4.1906000000000001E-3</c:v>
                </c:pt>
                <c:pt idx="227">
                  <c:v>-4.0136E-3</c:v>
                </c:pt>
                <c:pt idx="228">
                  <c:v>-3.8187999999999998E-3</c:v>
                </c:pt>
                <c:pt idx="229">
                  <c:v>-3.6082000000000002E-3</c:v>
                </c:pt>
                <c:pt idx="230">
                  <c:v>-3.3839999999999999E-3</c:v>
                </c:pt>
                <c:pt idx="231">
                  <c:v>-3.1483000000000001E-3</c:v>
                </c:pt>
                <c:pt idx="232">
                  <c:v>-2.9030000000000002E-3</c:v>
                </c:pt>
                <c:pt idx="233">
                  <c:v>-2.6500999999999999E-3</c:v>
                </c:pt>
                <c:pt idx="234">
                  <c:v>-2.3914000000000001E-3</c:v>
                </c:pt>
                <c:pt idx="235">
                  <c:v>-2.1286999999999999E-3</c:v>
                </c:pt>
                <c:pt idx="236">
                  <c:v>-1.8636E-3</c:v>
                </c:pt>
                <c:pt idx="237">
                  <c:v>-1.5975E-3</c:v>
                </c:pt>
                <c:pt idx="238">
                  <c:v>-1.3320000000000001E-3</c:v>
                </c:pt>
                <c:pt idx="239">
                  <c:v>-1.0681E-3</c:v>
                </c:pt>
                <c:pt idx="240">
                  <c:v>-8.072E-4</c:v>
                </c:pt>
                <c:pt idx="241">
                  <c:v>-5.5013999999999996E-4</c:v>
                </c:pt>
                <c:pt idx="242">
                  <c:v>-2.9788999999999998E-4</c:v>
                </c:pt>
                <c:pt idx="243">
                  <c:v>-5.1242999999999997E-5</c:v>
                </c:pt>
                <c:pt idx="244">
                  <c:v>1.8906000000000001E-4</c:v>
                </c:pt>
                <c:pt idx="245">
                  <c:v>4.2237999999999998E-4</c:v>
                </c:pt>
                <c:pt idx="246">
                  <c:v>6.4807999999999999E-4</c:v>
                </c:pt>
                <c:pt idx="247">
                  <c:v>8.6563000000000005E-4</c:v>
                </c:pt>
                <c:pt idx="248">
                  <c:v>1.0744999999999999E-3</c:v>
                </c:pt>
                <c:pt idx="249">
                  <c:v>1.2741E-3</c:v>
                </c:pt>
                <c:pt idx="250">
                  <c:v>1.4641000000000001E-3</c:v>
                </c:pt>
                <c:pt idx="251">
                  <c:v>1.6440000000000001E-3</c:v>
                </c:pt>
                <c:pt idx="252">
                  <c:v>1.8134E-3</c:v>
                </c:pt>
                <c:pt idx="253">
                  <c:v>1.9719999999999998E-3</c:v>
                </c:pt>
                <c:pt idx="254">
                  <c:v>2.1194999999999999E-3</c:v>
                </c:pt>
                <c:pt idx="255">
                  <c:v>2.2558000000000001E-3</c:v>
                </c:pt>
                <c:pt idx="256">
                  <c:v>2.3806000000000001E-3</c:v>
                </c:pt>
                <c:pt idx="257">
                  <c:v>2.4938999999999998E-3</c:v>
                </c:pt>
                <c:pt idx="258">
                  <c:v>2.5956999999999998E-3</c:v>
                </c:pt>
                <c:pt idx="259">
                  <c:v>2.686E-3</c:v>
                </c:pt>
                <c:pt idx="260">
                  <c:v>2.7648999999999998E-3</c:v>
                </c:pt>
                <c:pt idx="261">
                  <c:v>2.8324999999999999E-3</c:v>
                </c:pt>
                <c:pt idx="262">
                  <c:v>2.8888999999999998E-3</c:v>
                </c:pt>
                <c:pt idx="263">
                  <c:v>2.9342000000000001E-3</c:v>
                </c:pt>
                <c:pt idx="264">
                  <c:v>2.9686999999999999E-3</c:v>
                </c:pt>
                <c:pt idx="265">
                  <c:v>2.9926000000000002E-3</c:v>
                </c:pt>
                <c:pt idx="266">
                  <c:v>3.0059000000000002E-3</c:v>
                </c:pt>
                <c:pt idx="267">
                  <c:v>3.0090999999999998E-3</c:v>
                </c:pt>
                <c:pt idx="268">
                  <c:v>3.0022E-3</c:v>
                </c:pt>
                <c:pt idx="269">
                  <c:v>2.9857E-3</c:v>
                </c:pt>
                <c:pt idx="270">
                  <c:v>2.9597E-3</c:v>
                </c:pt>
                <c:pt idx="271">
                  <c:v>2.9245999999999999E-3</c:v>
                </c:pt>
                <c:pt idx="272">
                  <c:v>2.8806999999999999E-3</c:v>
                </c:pt>
                <c:pt idx="273">
                  <c:v>2.8284999999999999E-3</c:v>
                </c:pt>
                <c:pt idx="274">
                  <c:v>2.7682000000000002E-3</c:v>
                </c:pt>
                <c:pt idx="275">
                  <c:v>2.7003999999999999E-3</c:v>
                </c:pt>
                <c:pt idx="276">
                  <c:v>2.6254999999999998E-3</c:v>
                </c:pt>
                <c:pt idx="277">
                  <c:v>2.5439999999999998E-3</c:v>
                </c:pt>
                <c:pt idx="278">
                  <c:v>2.4564000000000001E-3</c:v>
                </c:pt>
                <c:pt idx="279">
                  <c:v>2.3633999999999999E-3</c:v>
                </c:pt>
                <c:pt idx="280">
                  <c:v>2.2656999999999998E-3</c:v>
                </c:pt>
                <c:pt idx="281">
                  <c:v>2.1638E-3</c:v>
                </c:pt>
                <c:pt idx="282">
                  <c:v>2.0585E-3</c:v>
                </c:pt>
                <c:pt idx="283">
                  <c:v>1.9505E-3</c:v>
                </c:pt>
                <c:pt idx="284">
                  <c:v>1.8403E-3</c:v>
                </c:pt>
                <c:pt idx="285">
                  <c:v>1.7286999999999999E-3</c:v>
                </c:pt>
                <c:pt idx="286">
                  <c:v>1.616E-3</c:v>
                </c:pt>
                <c:pt idx="287">
                  <c:v>1.5027E-3</c:v>
                </c:pt>
                <c:pt idx="288">
                  <c:v>1.3891000000000001E-3</c:v>
                </c:pt>
                <c:pt idx="289">
                  <c:v>1.2753E-3</c:v>
                </c:pt>
                <c:pt idx="290">
                  <c:v>1.1613999999999999E-3</c:v>
                </c:pt>
                <c:pt idx="291">
                  <c:v>1.0476000000000001E-3</c:v>
                </c:pt>
                <c:pt idx="292">
                  <c:v>9.3386000000000001E-4</c:v>
                </c:pt>
                <c:pt idx="293">
                  <c:v>8.2010000000000004E-4</c:v>
                </c:pt>
                <c:pt idx="294">
                  <c:v>7.0629000000000004E-4</c:v>
                </c:pt>
                <c:pt idx="295">
                  <c:v>5.9234999999999995E-4</c:v>
                </c:pt>
                <c:pt idx="296">
                  <c:v>4.7817999999999998E-4</c:v>
                </c:pt>
                <c:pt idx="297">
                  <c:v>3.6369000000000001E-4</c:v>
                </c:pt>
                <c:pt idx="298">
                  <c:v>2.4876E-4</c:v>
                </c:pt>
                <c:pt idx="299">
                  <c:v>1.3328999999999999E-4</c:v>
                </c:pt>
                <c:pt idx="300">
                  <c:v>1.7173999999999999E-5</c:v>
                </c:pt>
                <c:pt idx="301">
                  <c:v>-9.9687999999999998E-5</c:v>
                </c:pt>
                <c:pt idx="302">
                  <c:v>-2.1739E-4</c:v>
                </c:pt>
                <c:pt idx="303">
                  <c:v>-3.3600999999999998E-4</c:v>
                </c:pt>
                <c:pt idx="304">
                  <c:v>-4.5560000000000002E-4</c:v>
                </c:pt>
                <c:pt idx="305">
                  <c:v>-5.7622000000000001E-4</c:v>
                </c:pt>
                <c:pt idx="306">
                  <c:v>-6.9788000000000001E-4</c:v>
                </c:pt>
                <c:pt idx="307">
                  <c:v>-8.2058000000000001E-4</c:v>
                </c:pt>
                <c:pt idx="308">
                  <c:v>-9.4428999999999997E-4</c:v>
                </c:pt>
                <c:pt idx="309">
                  <c:v>-1.0690000000000001E-3</c:v>
                </c:pt>
                <c:pt idx="310">
                  <c:v>-1.1945E-3</c:v>
                </c:pt>
                <c:pt idx="311">
                  <c:v>-1.3209000000000001E-3</c:v>
                </c:pt>
                <c:pt idx="312">
                  <c:v>-1.4480000000000001E-3</c:v>
                </c:pt>
                <c:pt idx="313">
                  <c:v>-1.5757E-3</c:v>
                </c:pt>
                <c:pt idx="314">
                  <c:v>-1.7038999999999999E-3</c:v>
                </c:pt>
                <c:pt idx="315">
                  <c:v>-1.8324999999999999E-3</c:v>
                </c:pt>
                <c:pt idx="316">
                  <c:v>-1.9615000000000001E-3</c:v>
                </c:pt>
                <c:pt idx="317">
                  <c:v>-2.0907999999999999E-3</c:v>
                </c:pt>
                <c:pt idx="318">
                  <c:v>-2.2204E-3</c:v>
                </c:pt>
                <c:pt idx="319">
                  <c:v>-2.3500999999999999E-3</c:v>
                </c:pt>
                <c:pt idx="320">
                  <c:v>-2.4800999999999998E-3</c:v>
                </c:pt>
                <c:pt idx="321">
                  <c:v>-2.6102999999999999E-3</c:v>
                </c:pt>
                <c:pt idx="322">
                  <c:v>-2.7407E-3</c:v>
                </c:pt>
                <c:pt idx="323">
                  <c:v>-2.8714000000000001E-3</c:v>
                </c:pt>
                <c:pt idx="324">
                  <c:v>-3.0025999999999998E-3</c:v>
                </c:pt>
                <c:pt idx="325">
                  <c:v>-3.1342000000000002E-3</c:v>
                </c:pt>
                <c:pt idx="326">
                  <c:v>-3.2663000000000002E-3</c:v>
                </c:pt>
                <c:pt idx="327">
                  <c:v>-3.3991E-3</c:v>
                </c:pt>
                <c:pt idx="328">
                  <c:v>-3.5328E-3</c:v>
                </c:pt>
                <c:pt idx="329">
                  <c:v>-3.6673000000000001E-3</c:v>
                </c:pt>
                <c:pt idx="330">
                  <c:v>-3.8029000000000001E-3</c:v>
                </c:pt>
                <c:pt idx="331">
                  <c:v>-3.9395999999999997E-3</c:v>
                </c:pt>
                <c:pt idx="332">
                  <c:v>-4.0775999999999998E-3</c:v>
                </c:pt>
                <c:pt idx="333">
                  <c:v>-4.2170999999999997E-3</c:v>
                </c:pt>
                <c:pt idx="334">
                  <c:v>-4.3581000000000002E-3</c:v>
                </c:pt>
                <c:pt idx="335">
                  <c:v>-4.5009000000000004E-3</c:v>
                </c:pt>
                <c:pt idx="336">
                  <c:v>-4.6454000000000001E-3</c:v>
                </c:pt>
                <c:pt idx="337">
                  <c:v>-4.7919E-3</c:v>
                </c:pt>
                <c:pt idx="338">
                  <c:v>-4.9404999999999996E-3</c:v>
                </c:pt>
                <c:pt idx="339">
                  <c:v>-5.0913E-3</c:v>
                </c:pt>
                <c:pt idx="340">
                  <c:v>-5.2443999999999998E-3</c:v>
                </c:pt>
                <c:pt idx="341">
                  <c:v>-5.3999E-3</c:v>
                </c:pt>
                <c:pt idx="342">
                  <c:v>-5.5579000000000002E-3</c:v>
                </c:pt>
                <c:pt idx="343">
                  <c:v>-5.7185999999999999E-3</c:v>
                </c:pt>
                <c:pt idx="344">
                  <c:v>-5.8820000000000001E-3</c:v>
                </c:pt>
                <c:pt idx="345">
                  <c:v>-6.0480999999999998E-3</c:v>
                </c:pt>
                <c:pt idx="346">
                  <c:v>-6.2172E-3</c:v>
                </c:pt>
                <c:pt idx="347">
                  <c:v>-6.3891E-3</c:v>
                </c:pt>
                <c:pt idx="348">
                  <c:v>-6.5640000000000004E-3</c:v>
                </c:pt>
                <c:pt idx="349">
                  <c:v>-6.7419000000000003E-3</c:v>
                </c:pt>
                <c:pt idx="350">
                  <c:v>-6.9227999999999998E-3</c:v>
                </c:pt>
                <c:pt idx="351">
                  <c:v>-7.1066000000000002E-3</c:v>
                </c:pt>
                <c:pt idx="352">
                  <c:v>-7.2934999999999996E-3</c:v>
                </c:pt>
                <c:pt idx="353">
                  <c:v>-7.4834000000000003E-3</c:v>
                </c:pt>
                <c:pt idx="354">
                  <c:v>-7.6760999999999999E-3</c:v>
                </c:pt>
                <c:pt idx="355">
                  <c:v>-7.8717000000000006E-3</c:v>
                </c:pt>
                <c:pt idx="356">
                  <c:v>-8.0700000000000008E-3</c:v>
                </c:pt>
                <c:pt idx="357">
                  <c:v>-8.2708999999999994E-3</c:v>
                </c:pt>
                <c:pt idx="358">
                  <c:v>-8.4743000000000006E-3</c:v>
                </c:pt>
                <c:pt idx="359">
                  <c:v>-8.6800000000000002E-3</c:v>
                </c:pt>
                <c:pt idx="360">
                  <c:v>-8.8877999999999995E-3</c:v>
                </c:pt>
                <c:pt idx="361">
                  <c:v>-9.0974999999999997E-3</c:v>
                </c:pt>
                <c:pt idx="362">
                  <c:v>-9.3089000000000002E-3</c:v>
                </c:pt>
                <c:pt idx="363">
                  <c:v>-9.5215999999999999E-3</c:v>
                </c:pt>
                <c:pt idx="364">
                  <c:v>-9.7354999999999994E-3</c:v>
                </c:pt>
                <c:pt idx="365">
                  <c:v>-9.9500999999999999E-3</c:v>
                </c:pt>
                <c:pt idx="366">
                  <c:v>-1.0165E-2</c:v>
                </c:pt>
                <c:pt idx="367">
                  <c:v>-1.038E-2</c:v>
                </c:pt>
                <c:pt idx="368">
                  <c:v>-1.0595E-2</c:v>
                </c:pt>
                <c:pt idx="369">
                  <c:v>-1.081E-2</c:v>
                </c:pt>
                <c:pt idx="370">
                  <c:v>-1.1023E-2</c:v>
                </c:pt>
                <c:pt idx="371">
                  <c:v>-1.1233999999999999E-2</c:v>
                </c:pt>
                <c:pt idx="372">
                  <c:v>-1.1443999999999999E-2</c:v>
                </c:pt>
                <c:pt idx="373">
                  <c:v>-1.1651E-2</c:v>
                </c:pt>
                <c:pt idx="374">
                  <c:v>-1.1856E-2</c:v>
                </c:pt>
                <c:pt idx="375">
                  <c:v>-1.2057E-2</c:v>
                </c:pt>
                <c:pt idx="376">
                  <c:v>-1.2253999999999999E-2</c:v>
                </c:pt>
                <c:pt idx="377">
                  <c:v>-1.2447E-2</c:v>
                </c:pt>
                <c:pt idx="378">
                  <c:v>-1.2636E-2</c:v>
                </c:pt>
                <c:pt idx="379">
                  <c:v>-1.282E-2</c:v>
                </c:pt>
                <c:pt idx="380">
                  <c:v>-1.2997999999999999E-2</c:v>
                </c:pt>
                <c:pt idx="381">
                  <c:v>-1.3171E-2</c:v>
                </c:pt>
                <c:pt idx="382">
                  <c:v>-1.3337E-2</c:v>
                </c:pt>
                <c:pt idx="383">
                  <c:v>-1.3498E-2</c:v>
                </c:pt>
                <c:pt idx="384">
                  <c:v>-1.3651E-2</c:v>
                </c:pt>
                <c:pt idx="385">
                  <c:v>-1.3798E-2</c:v>
                </c:pt>
                <c:pt idx="386">
                  <c:v>-1.3938000000000001E-2</c:v>
                </c:pt>
                <c:pt idx="387">
                  <c:v>-1.4071E-2</c:v>
                </c:pt>
                <c:pt idx="388">
                  <c:v>-1.4197E-2</c:v>
                </c:pt>
                <c:pt idx="389">
                  <c:v>-1.4315E-2</c:v>
                </c:pt>
                <c:pt idx="390">
                  <c:v>-1.4426E-2</c:v>
                </c:pt>
                <c:pt idx="391">
                  <c:v>-1.4529E-2</c:v>
                </c:pt>
                <c:pt idx="392">
                  <c:v>-1.4626E-2</c:v>
                </c:pt>
                <c:pt idx="393">
                  <c:v>-1.4715000000000001E-2</c:v>
                </c:pt>
                <c:pt idx="394">
                  <c:v>-1.4796E-2</c:v>
                </c:pt>
                <c:pt idx="395">
                  <c:v>-1.4871000000000001E-2</c:v>
                </c:pt>
                <c:pt idx="396">
                  <c:v>-1.4938999999999999E-2</c:v>
                </c:pt>
                <c:pt idx="397">
                  <c:v>-1.4999999999999999E-2</c:v>
                </c:pt>
                <c:pt idx="398">
                  <c:v>-1.5054E-2</c:v>
                </c:pt>
                <c:pt idx="399">
                  <c:v>-1.5101E-2</c:v>
                </c:pt>
                <c:pt idx="400">
                  <c:v>-1.5141999999999999E-2</c:v>
                </c:pt>
                <c:pt idx="401">
                  <c:v>-1.5177E-2</c:v>
                </c:pt>
                <c:pt idx="402">
                  <c:v>-1.5206000000000001E-2</c:v>
                </c:pt>
                <c:pt idx="403">
                  <c:v>-1.5228E-2</c:v>
                </c:pt>
                <c:pt idx="404">
                  <c:v>-1.5245E-2</c:v>
                </c:pt>
                <c:pt idx="405">
                  <c:v>-1.5256E-2</c:v>
                </c:pt>
                <c:pt idx="406">
                  <c:v>-1.5261E-2</c:v>
                </c:pt>
                <c:pt idx="407">
                  <c:v>-1.5261E-2</c:v>
                </c:pt>
                <c:pt idx="408">
                  <c:v>-1.5256E-2</c:v>
                </c:pt>
                <c:pt idx="409">
                  <c:v>-1.5245999999999999E-2</c:v>
                </c:pt>
                <c:pt idx="410">
                  <c:v>-1.5231E-2</c:v>
                </c:pt>
                <c:pt idx="411">
                  <c:v>-1.5211000000000001E-2</c:v>
                </c:pt>
                <c:pt idx="412">
                  <c:v>-1.5186E-2</c:v>
                </c:pt>
                <c:pt idx="413">
                  <c:v>-1.5158E-2</c:v>
                </c:pt>
                <c:pt idx="414">
                  <c:v>-1.5124E-2</c:v>
                </c:pt>
                <c:pt idx="415">
                  <c:v>-1.5087E-2</c:v>
                </c:pt>
                <c:pt idx="416">
                  <c:v>-1.5046E-2</c:v>
                </c:pt>
                <c:pt idx="417">
                  <c:v>-1.5001E-2</c:v>
                </c:pt>
                <c:pt idx="418">
                  <c:v>-1.4952E-2</c:v>
                </c:pt>
                <c:pt idx="419">
                  <c:v>-1.49E-2</c:v>
                </c:pt>
                <c:pt idx="420">
                  <c:v>-1.4844E-2</c:v>
                </c:pt>
                <c:pt idx="421">
                  <c:v>-1.4785E-2</c:v>
                </c:pt>
                <c:pt idx="422">
                  <c:v>-1.4722000000000001E-2</c:v>
                </c:pt>
                <c:pt idx="423">
                  <c:v>-1.4657E-2</c:v>
                </c:pt>
                <c:pt idx="424">
                  <c:v>-1.4589E-2</c:v>
                </c:pt>
                <c:pt idx="425">
                  <c:v>-1.4517E-2</c:v>
                </c:pt>
                <c:pt idx="426">
                  <c:v>-1.4444E-2</c:v>
                </c:pt>
                <c:pt idx="427">
                  <c:v>-1.4367E-2</c:v>
                </c:pt>
                <c:pt idx="428">
                  <c:v>-1.4288E-2</c:v>
                </c:pt>
                <c:pt idx="429">
                  <c:v>-1.4206999999999999E-2</c:v>
                </c:pt>
                <c:pt idx="430">
                  <c:v>-1.4123E-2</c:v>
                </c:pt>
                <c:pt idx="431">
                  <c:v>-1.4037000000000001E-2</c:v>
                </c:pt>
                <c:pt idx="432">
                  <c:v>-1.3949E-2</c:v>
                </c:pt>
                <c:pt idx="433">
                  <c:v>-1.3859E-2</c:v>
                </c:pt>
                <c:pt idx="434">
                  <c:v>-1.3767E-2</c:v>
                </c:pt>
                <c:pt idx="435">
                  <c:v>-1.3672999999999999E-2</c:v>
                </c:pt>
                <c:pt idx="436">
                  <c:v>-1.3577000000000001E-2</c:v>
                </c:pt>
                <c:pt idx="437">
                  <c:v>-1.3480000000000001E-2</c:v>
                </c:pt>
                <c:pt idx="438">
                  <c:v>-1.3381000000000001E-2</c:v>
                </c:pt>
                <c:pt idx="439">
                  <c:v>-1.328E-2</c:v>
                </c:pt>
                <c:pt idx="440">
                  <c:v>-1.3176999999999999E-2</c:v>
                </c:pt>
                <c:pt idx="441">
                  <c:v>-1.3073E-2</c:v>
                </c:pt>
                <c:pt idx="442">
                  <c:v>-1.2966999999999999E-2</c:v>
                </c:pt>
                <c:pt idx="443">
                  <c:v>-1.286E-2</c:v>
                </c:pt>
                <c:pt idx="444">
                  <c:v>-1.2751999999999999E-2</c:v>
                </c:pt>
                <c:pt idx="445">
                  <c:v>-1.2642E-2</c:v>
                </c:pt>
                <c:pt idx="446">
                  <c:v>-1.2531E-2</c:v>
                </c:pt>
                <c:pt idx="447">
                  <c:v>-1.2418999999999999E-2</c:v>
                </c:pt>
                <c:pt idx="448">
                  <c:v>-1.2305E-2</c:v>
                </c:pt>
                <c:pt idx="449">
                  <c:v>-1.2191E-2</c:v>
                </c:pt>
                <c:pt idx="450">
                  <c:v>-1.2075000000000001E-2</c:v>
                </c:pt>
                <c:pt idx="451">
                  <c:v>-1.1958999999999999E-2</c:v>
                </c:pt>
                <c:pt idx="452">
                  <c:v>-1.1841000000000001E-2</c:v>
                </c:pt>
                <c:pt idx="453">
                  <c:v>-1.1723000000000001E-2</c:v>
                </c:pt>
                <c:pt idx="454">
                  <c:v>-1.1603E-2</c:v>
                </c:pt>
                <c:pt idx="455">
                  <c:v>-1.1483E-2</c:v>
                </c:pt>
                <c:pt idx="456">
                  <c:v>-1.1362000000000001E-2</c:v>
                </c:pt>
                <c:pt idx="457">
                  <c:v>-1.124E-2</c:v>
                </c:pt>
                <c:pt idx="458">
                  <c:v>-1.1117E-2</c:v>
                </c:pt>
                <c:pt idx="459">
                  <c:v>-1.0994E-2</c:v>
                </c:pt>
                <c:pt idx="460">
                  <c:v>-1.0869999999999999E-2</c:v>
                </c:pt>
                <c:pt idx="461">
                  <c:v>-1.0744999999999999E-2</c:v>
                </c:pt>
                <c:pt idx="462">
                  <c:v>-1.0619999999999999E-2</c:v>
                </c:pt>
                <c:pt idx="463">
                  <c:v>-1.0494E-2</c:v>
                </c:pt>
                <c:pt idx="464">
                  <c:v>-1.0368E-2</c:v>
                </c:pt>
                <c:pt idx="465">
                  <c:v>-1.0241E-2</c:v>
                </c:pt>
                <c:pt idx="466">
                  <c:v>-1.0114E-2</c:v>
                </c:pt>
                <c:pt idx="467">
                  <c:v>-9.9863999999999994E-3</c:v>
                </c:pt>
                <c:pt idx="468">
                  <c:v>-9.8583000000000004E-3</c:v>
                </c:pt>
                <c:pt idx="469">
                  <c:v>-9.7298000000000003E-3</c:v>
                </c:pt>
                <c:pt idx="470">
                  <c:v>-9.6010000000000002E-3</c:v>
                </c:pt>
                <c:pt idx="471">
                  <c:v>-9.4719000000000001E-3</c:v>
                </c:pt>
                <c:pt idx="472">
                  <c:v>-9.3424000000000007E-3</c:v>
                </c:pt>
                <c:pt idx="473">
                  <c:v>-9.2125999999999996E-3</c:v>
                </c:pt>
                <c:pt idx="474">
                  <c:v>-9.0825999999999997E-3</c:v>
                </c:pt>
                <c:pt idx="475">
                  <c:v>-8.9522999999999998E-3</c:v>
                </c:pt>
                <c:pt idx="476">
                  <c:v>-8.8217999999999994E-3</c:v>
                </c:pt>
                <c:pt idx="477">
                  <c:v>-8.6911000000000002E-3</c:v>
                </c:pt>
                <c:pt idx="478">
                  <c:v>-8.5600999999999993E-3</c:v>
                </c:pt>
                <c:pt idx="479">
                  <c:v>-8.4290000000000007E-3</c:v>
                </c:pt>
                <c:pt idx="480">
                  <c:v>-8.2976999999999999E-3</c:v>
                </c:pt>
                <c:pt idx="481">
                  <c:v>-8.1662000000000002E-3</c:v>
                </c:pt>
                <c:pt idx="482">
                  <c:v>-8.0345999999999994E-3</c:v>
                </c:pt>
                <c:pt idx="483">
                  <c:v>-7.9027999999999998E-3</c:v>
                </c:pt>
                <c:pt idx="484">
                  <c:v>-7.7707999999999996E-3</c:v>
                </c:pt>
                <c:pt idx="485">
                  <c:v>-7.6388000000000003E-3</c:v>
                </c:pt>
                <c:pt idx="486">
                  <c:v>-7.5066000000000004E-3</c:v>
                </c:pt>
                <c:pt idx="487">
                  <c:v>-7.3743000000000003E-3</c:v>
                </c:pt>
                <c:pt idx="488">
                  <c:v>-7.2418999999999999E-3</c:v>
                </c:pt>
                <c:pt idx="489">
                  <c:v>-7.1095000000000004E-3</c:v>
                </c:pt>
                <c:pt idx="490">
                  <c:v>-6.9769000000000003E-3</c:v>
                </c:pt>
                <c:pt idx="491">
                  <c:v>-6.8443000000000002E-3</c:v>
                </c:pt>
                <c:pt idx="492">
                  <c:v>-6.7115999999999999E-3</c:v>
                </c:pt>
                <c:pt idx="493">
                  <c:v>-6.5789000000000004E-3</c:v>
                </c:pt>
                <c:pt idx="494">
                  <c:v>-6.4460999999999997E-3</c:v>
                </c:pt>
                <c:pt idx="495">
                  <c:v>-6.3133E-3</c:v>
                </c:pt>
                <c:pt idx="496">
                  <c:v>-6.1804E-3</c:v>
                </c:pt>
                <c:pt idx="497">
                  <c:v>-6.0474999999999999E-3</c:v>
                </c:pt>
                <c:pt idx="498">
                  <c:v>-5.9145999999999999E-3</c:v>
                </c:pt>
                <c:pt idx="499">
                  <c:v>-5.7816999999999999E-3</c:v>
                </c:pt>
                <c:pt idx="500">
                  <c:v>-5.6487999999999998E-3</c:v>
                </c:pt>
                <c:pt idx="501">
                  <c:v>-5.5158000000000004E-3</c:v>
                </c:pt>
                <c:pt idx="502">
                  <c:v>-5.3829000000000004E-3</c:v>
                </c:pt>
                <c:pt idx="503">
                  <c:v>-5.2500000000000003E-3</c:v>
                </c:pt>
                <c:pt idx="504">
                  <c:v>-5.117E-3</c:v>
                </c:pt>
                <c:pt idx="505">
                  <c:v>-4.9841E-3</c:v>
                </c:pt>
                <c:pt idx="506">
                  <c:v>-4.8512E-3</c:v>
                </c:pt>
                <c:pt idx="507">
                  <c:v>-4.7181999999999997E-3</c:v>
                </c:pt>
                <c:pt idx="508">
                  <c:v>-4.5852999999999996E-3</c:v>
                </c:pt>
                <c:pt idx="509">
                  <c:v>-4.4523999999999996E-3</c:v>
                </c:pt>
                <c:pt idx="510">
                  <c:v>-4.3195000000000004E-3</c:v>
                </c:pt>
                <c:pt idx="511">
                  <c:v>-4.1866000000000004E-3</c:v>
                </c:pt>
                <c:pt idx="512">
                  <c:v>-4.0536000000000001E-3</c:v>
                </c:pt>
                <c:pt idx="513">
                  <c:v>-3.9207000000000001E-3</c:v>
                </c:pt>
                <c:pt idx="514">
                  <c:v>-3.7878E-3</c:v>
                </c:pt>
                <c:pt idx="515">
                  <c:v>-3.6549E-3</c:v>
                </c:pt>
                <c:pt idx="516">
                  <c:v>-3.5219000000000001E-3</c:v>
                </c:pt>
                <c:pt idx="517">
                  <c:v>-3.3890000000000001E-3</c:v>
                </c:pt>
                <c:pt idx="518">
                  <c:v>-3.2560000000000002E-3</c:v>
                </c:pt>
                <c:pt idx="519">
                  <c:v>-3.1229000000000001E-3</c:v>
                </c:pt>
                <c:pt idx="520">
                  <c:v>-2.9897999999999999E-3</c:v>
                </c:pt>
                <c:pt idx="521">
                  <c:v>-2.8567000000000002E-3</c:v>
                </c:pt>
                <c:pt idx="522">
                  <c:v>-2.7234999999999998E-3</c:v>
                </c:pt>
                <c:pt idx="523">
                  <c:v>-2.5902E-3</c:v>
                </c:pt>
                <c:pt idx="524">
                  <c:v>-2.4567E-3</c:v>
                </c:pt>
                <c:pt idx="525">
                  <c:v>-2.3232000000000001E-3</c:v>
                </c:pt>
                <c:pt idx="526">
                  <c:v>-2.1895999999999999E-3</c:v>
                </c:pt>
                <c:pt idx="527">
                  <c:v>-2.0558E-3</c:v>
                </c:pt>
                <c:pt idx="528">
                  <c:v>-1.9218E-3</c:v>
                </c:pt>
                <c:pt idx="529">
                  <c:v>-1.7876000000000001E-3</c:v>
                </c:pt>
                <c:pt idx="530">
                  <c:v>-1.6532000000000001E-3</c:v>
                </c:pt>
                <c:pt idx="531">
                  <c:v>-1.5187E-3</c:v>
                </c:pt>
                <c:pt idx="532">
                  <c:v>-1.3837999999999999E-3</c:v>
                </c:pt>
                <c:pt idx="533">
                  <c:v>-1.2486999999999999E-3</c:v>
                </c:pt>
                <c:pt idx="534">
                  <c:v>-1.1133E-3</c:v>
                </c:pt>
                <c:pt idx="535">
                  <c:v>-9.7762999999999995E-4</c:v>
                </c:pt>
                <c:pt idx="536">
                  <c:v>-8.4161999999999995E-4</c:v>
                </c:pt>
                <c:pt idx="537">
                  <c:v>-7.0529000000000002E-4</c:v>
                </c:pt>
                <c:pt idx="538">
                  <c:v>-5.6860999999999999E-4</c:v>
                </c:pt>
                <c:pt idx="539">
                  <c:v>-4.3156999999999999E-4</c:v>
                </c:pt>
                <c:pt idx="540">
                  <c:v>-2.9415000000000002E-4</c:v>
                </c:pt>
                <c:pt idx="541">
                  <c:v>-1.5636E-4</c:v>
                </c:pt>
                <c:pt idx="542">
                  <c:v>-1.8173E-5</c:v>
                </c:pt>
                <c:pt idx="543">
                  <c:v>1.2040999999999999E-4</c:v>
                </c:pt>
                <c:pt idx="544">
                  <c:v>2.5939000000000002E-4</c:v>
                </c:pt>
                <c:pt idx="545">
                  <c:v>3.9878E-4</c:v>
                </c:pt>
                <c:pt idx="546">
                  <c:v>5.3857000000000004E-4</c:v>
                </c:pt>
                <c:pt idx="547">
                  <c:v>6.7876000000000004E-4</c:v>
                </c:pt>
                <c:pt idx="548">
                  <c:v>8.1935999999999999E-4</c:v>
                </c:pt>
                <c:pt idx="549">
                  <c:v>9.6035000000000001E-4</c:v>
                </c:pt>
                <c:pt idx="550">
                  <c:v>1.1016999999999999E-3</c:v>
                </c:pt>
                <c:pt idx="551">
                  <c:v>1.2435E-3</c:v>
                </c:pt>
                <c:pt idx="552">
                  <c:v>1.3856000000000001E-3</c:v>
                </c:pt>
                <c:pt idx="553">
                  <c:v>1.5280999999999999E-3</c:v>
                </c:pt>
                <c:pt idx="554">
                  <c:v>1.6708999999999999E-3</c:v>
                </c:pt>
                <c:pt idx="555">
                  <c:v>1.8139E-3</c:v>
                </c:pt>
                <c:pt idx="556">
                  <c:v>1.9572999999999999E-3</c:v>
                </c:pt>
                <c:pt idx="557">
                  <c:v>2.1009000000000002E-3</c:v>
                </c:pt>
                <c:pt idx="558">
                  <c:v>2.2445999999999998E-3</c:v>
                </c:pt>
                <c:pt idx="559">
                  <c:v>2.3885999999999998E-3</c:v>
                </c:pt>
                <c:pt idx="560">
                  <c:v>2.5325999999999999E-3</c:v>
                </c:pt>
                <c:pt idx="561">
                  <c:v>2.6767000000000002E-3</c:v>
                </c:pt>
                <c:pt idx="562">
                  <c:v>2.8208E-3</c:v>
                </c:pt>
                <c:pt idx="563">
                  <c:v>2.9648999999999999E-3</c:v>
                </c:pt>
                <c:pt idx="564">
                  <c:v>3.1088999999999999E-3</c:v>
                </c:pt>
                <c:pt idx="565">
                  <c:v>3.2526E-3</c:v>
                </c:pt>
                <c:pt idx="566">
                  <c:v>3.3961999999999998E-3</c:v>
                </c:pt>
                <c:pt idx="567">
                  <c:v>3.5393999999999998E-3</c:v>
                </c:pt>
                <c:pt idx="568">
                  <c:v>3.6822999999999999E-3</c:v>
                </c:pt>
                <c:pt idx="569">
                  <c:v>3.8246999999999999E-3</c:v>
                </c:pt>
                <c:pt idx="570">
                  <c:v>3.9665999999999998E-3</c:v>
                </c:pt>
                <c:pt idx="571">
                  <c:v>4.1078E-3</c:v>
                </c:pt>
                <c:pt idx="572">
                  <c:v>4.2483E-3</c:v>
                </c:pt>
                <c:pt idx="573">
                  <c:v>4.3880000000000004E-3</c:v>
                </c:pt>
                <c:pt idx="574">
                  <c:v>4.5269000000000004E-3</c:v>
                </c:pt>
                <c:pt idx="575">
                  <c:v>4.6646999999999999E-3</c:v>
                </c:pt>
                <c:pt idx="576">
                  <c:v>4.8015000000000002E-3</c:v>
                </c:pt>
                <c:pt idx="577">
                  <c:v>4.9370000000000004E-3</c:v>
                </c:pt>
                <c:pt idx="578">
                  <c:v>5.0712999999999999E-3</c:v>
                </c:pt>
                <c:pt idx="579">
                  <c:v>5.2042E-3</c:v>
                </c:pt>
                <c:pt idx="580">
                  <c:v>5.3356000000000002E-3</c:v>
                </c:pt>
                <c:pt idx="581">
                  <c:v>5.4653999999999996E-3</c:v>
                </c:pt>
                <c:pt idx="582">
                  <c:v>5.5935999999999998E-3</c:v>
                </c:pt>
                <c:pt idx="583">
                  <c:v>5.7199E-3</c:v>
                </c:pt>
                <c:pt idx="584">
                  <c:v>5.8443999999999996E-3</c:v>
                </c:pt>
                <c:pt idx="585">
                  <c:v>5.9668000000000004E-3</c:v>
                </c:pt>
                <c:pt idx="586">
                  <c:v>6.0872000000000001E-3</c:v>
                </c:pt>
                <c:pt idx="587">
                  <c:v>6.2053999999999998E-3</c:v>
                </c:pt>
                <c:pt idx="588">
                  <c:v>6.3213999999999996E-3</c:v>
                </c:pt>
                <c:pt idx="589">
                  <c:v>6.4349999999999997E-3</c:v>
                </c:pt>
                <c:pt idx="590">
                  <c:v>6.5462000000000003E-3</c:v>
                </c:pt>
                <c:pt idx="591">
                  <c:v>6.6549000000000001E-3</c:v>
                </c:pt>
                <c:pt idx="592">
                  <c:v>6.7610999999999999E-3</c:v>
                </c:pt>
                <c:pt idx="593">
                  <c:v>6.8646000000000002E-3</c:v>
                </c:pt>
                <c:pt idx="594">
                  <c:v>6.9652999999999998E-3</c:v>
                </c:pt>
                <c:pt idx="595">
                  <c:v>7.0634000000000001E-3</c:v>
                </c:pt>
                <c:pt idx="596">
                  <c:v>7.1586000000000002E-3</c:v>
                </c:pt>
                <c:pt idx="597">
                  <c:v>7.2509999999999996E-3</c:v>
                </c:pt>
                <c:pt idx="598">
                  <c:v>7.3404000000000004E-3</c:v>
                </c:pt>
                <c:pt idx="599">
                  <c:v>7.4269000000000002E-3</c:v>
                </c:pt>
                <c:pt idx="600">
                  <c:v>7.5104999999999998E-3</c:v>
                </c:pt>
                <c:pt idx="601">
                  <c:v>7.5909999999999997E-3</c:v>
                </c:pt>
                <c:pt idx="602">
                  <c:v>7.6686000000000002E-3</c:v>
                </c:pt>
                <c:pt idx="603">
                  <c:v>7.7431000000000002E-3</c:v>
                </c:pt>
                <c:pt idx="604">
                  <c:v>7.8145999999999997E-3</c:v>
                </c:pt>
                <c:pt idx="605">
                  <c:v>7.8829999999999994E-3</c:v>
                </c:pt>
                <c:pt idx="606">
                  <c:v>7.9485000000000007E-3</c:v>
                </c:pt>
                <c:pt idx="607">
                  <c:v>8.0108000000000002E-3</c:v>
                </c:pt>
                <c:pt idx="608">
                  <c:v>8.0701999999999996E-3</c:v>
                </c:pt>
                <c:pt idx="609">
                  <c:v>8.1265999999999994E-3</c:v>
                </c:pt>
                <c:pt idx="610">
                  <c:v>8.1799999999999998E-3</c:v>
                </c:pt>
                <c:pt idx="611">
                  <c:v>8.2304000000000006E-3</c:v>
                </c:pt>
                <c:pt idx="612">
                  <c:v>8.2780000000000006E-3</c:v>
                </c:pt>
                <c:pt idx="613">
                  <c:v>8.3225999999999994E-3</c:v>
                </c:pt>
                <c:pt idx="614">
                  <c:v>8.3642999999999999E-3</c:v>
                </c:pt>
                <c:pt idx="615">
                  <c:v>8.4033000000000007E-3</c:v>
                </c:pt>
                <c:pt idx="616">
                  <c:v>8.4393999999999997E-3</c:v>
                </c:pt>
                <c:pt idx="617">
                  <c:v>8.4728000000000008E-3</c:v>
                </c:pt>
                <c:pt idx="618">
                  <c:v>8.5035000000000006E-3</c:v>
                </c:pt>
                <c:pt idx="619">
                  <c:v>8.5316000000000003E-3</c:v>
                </c:pt>
              </c:numCache>
            </c:numRef>
          </c:yVal>
          <c:smooth val="1"/>
          <c:extLst>
            <c:ext xmlns:c16="http://schemas.microsoft.com/office/drawing/2014/chart" uri="{C3380CC4-5D6E-409C-BE32-E72D297353CC}">
              <c16:uniqueId val="{00000003-00C6-46B2-92E3-3CDC1A8F00F7}"/>
            </c:ext>
          </c:extLst>
        </c:ser>
        <c:ser>
          <c:idx val="3"/>
          <c:order val="3"/>
          <c:spPr>
            <a:ln w="19050" cap="rnd">
              <a:solidFill>
                <a:schemeClr val="accent4"/>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'INIT-File+Corr'!$E$16:$E$636</c:f>
              <c:numCache>
                <c:formatCode>0.000000</c:formatCode>
                <c:ptCount val="620"/>
                <c:pt idx="0">
                  <c:v>-1.8511999999999999E-3</c:v>
                </c:pt>
                <c:pt idx="1">
                  <c:v>-1.8699000000000001E-3</c:v>
                </c:pt>
                <c:pt idx="2">
                  <c:v>-1.8887999999999999E-3</c:v>
                </c:pt>
                <c:pt idx="3">
                  <c:v>-1.9078999999999999E-3</c:v>
                </c:pt>
                <c:pt idx="4">
                  <c:v>-1.9271E-3</c:v>
                </c:pt>
                <c:pt idx="5">
                  <c:v>-1.9465999999999999E-3</c:v>
                </c:pt>
                <c:pt idx="6">
                  <c:v>-1.9662999999999998E-3</c:v>
                </c:pt>
                <c:pt idx="7">
                  <c:v>-1.9861000000000002E-3</c:v>
                </c:pt>
                <c:pt idx="8">
                  <c:v>-2.0062000000000001E-3</c:v>
                </c:pt>
                <c:pt idx="9">
                  <c:v>-2.0263999999999998E-3</c:v>
                </c:pt>
                <c:pt idx="10">
                  <c:v>-2.0468999999999999E-3</c:v>
                </c:pt>
                <c:pt idx="11">
                  <c:v>-2.0676000000000002E-3</c:v>
                </c:pt>
                <c:pt idx="12">
                  <c:v>-2.0883999999999998E-3</c:v>
                </c:pt>
                <c:pt idx="13">
                  <c:v>-2.1093000000000002E-3</c:v>
                </c:pt>
                <c:pt idx="14">
                  <c:v>-2.1299000000000001E-3</c:v>
                </c:pt>
                <c:pt idx="15">
                  <c:v>-2.1497999999999999E-3</c:v>
                </c:pt>
                <c:pt idx="16">
                  <c:v>-2.1684E-3</c:v>
                </c:pt>
                <c:pt idx="17">
                  <c:v>-2.1846000000000001E-3</c:v>
                </c:pt>
                <c:pt idx="18">
                  <c:v>-2.1971E-3</c:v>
                </c:pt>
                <c:pt idx="19">
                  <c:v>-2.2043000000000002E-3</c:v>
                </c:pt>
                <c:pt idx="20">
                  <c:v>-2.2041999999999999E-3</c:v>
                </c:pt>
                <c:pt idx="21">
                  <c:v>-2.1941E-3</c:v>
                </c:pt>
                <c:pt idx="22">
                  <c:v>-2.1714999999999998E-3</c:v>
                </c:pt>
                <c:pt idx="23">
                  <c:v>-2.1332999999999999E-3</c:v>
                </c:pt>
                <c:pt idx="24">
                  <c:v>-2.0763999999999999E-3</c:v>
                </c:pt>
                <c:pt idx="25">
                  <c:v>-1.9975000000000001E-3</c:v>
                </c:pt>
                <c:pt idx="26">
                  <c:v>-1.8938E-3</c:v>
                </c:pt>
                <c:pt idx="27">
                  <c:v>-1.7622E-3</c:v>
                </c:pt>
                <c:pt idx="28">
                  <c:v>-1.6004999999999999E-3</c:v>
                </c:pt>
                <c:pt idx="29">
                  <c:v>-1.4065E-3</c:v>
                </c:pt>
                <c:pt idx="30">
                  <c:v>-1.1788E-3</c:v>
                </c:pt>
                <c:pt idx="31">
                  <c:v>-9.1633999999999997E-4</c:v>
                </c:pt>
                <c:pt idx="32">
                  <c:v>-6.1874E-4</c:v>
                </c:pt>
                <c:pt idx="33">
                  <c:v>-2.8616999999999998E-4</c:v>
                </c:pt>
                <c:pt idx="34">
                  <c:v>8.0618999999999995E-5</c:v>
                </c:pt>
                <c:pt idx="35">
                  <c:v>4.8034E-4</c:v>
                </c:pt>
                <c:pt idx="36">
                  <c:v>9.1118999999999998E-4</c:v>
                </c:pt>
                <c:pt idx="37">
                  <c:v>1.3707999999999999E-3</c:v>
                </c:pt>
                <c:pt idx="38">
                  <c:v>1.8565000000000001E-3</c:v>
                </c:pt>
                <c:pt idx="39">
                  <c:v>2.3651000000000002E-3</c:v>
                </c:pt>
                <c:pt idx="40">
                  <c:v>2.8928999999999999E-3</c:v>
                </c:pt>
                <c:pt idx="41">
                  <c:v>3.4359E-3</c:v>
                </c:pt>
                <c:pt idx="42">
                  <c:v>3.9897999999999999E-3</c:v>
                </c:pt>
                <c:pt idx="43">
                  <c:v>4.5499E-3</c:v>
                </c:pt>
                <c:pt idx="44">
                  <c:v>5.1113E-3</c:v>
                </c:pt>
                <c:pt idx="45">
                  <c:v>5.6684999999999999E-3</c:v>
                </c:pt>
                <c:pt idx="46">
                  <c:v>6.2160000000000002E-3</c:v>
                </c:pt>
                <c:pt idx="47">
                  <c:v>6.7479999999999997E-3</c:v>
                </c:pt>
                <c:pt idx="48">
                  <c:v>7.2582999999999996E-3</c:v>
                </c:pt>
                <c:pt idx="49">
                  <c:v>7.7406999999999997E-3</c:v>
                </c:pt>
                <c:pt idx="50">
                  <c:v>8.1887999999999996E-3</c:v>
                </c:pt>
                <c:pt idx="51">
                  <c:v>8.5962E-3</c:v>
                </c:pt>
                <c:pt idx="52">
                  <c:v>8.9564999999999992E-3</c:v>
                </c:pt>
                <c:pt idx="53">
                  <c:v>9.2633999999999998E-3</c:v>
                </c:pt>
                <c:pt idx="54">
                  <c:v>9.5107000000000004E-3</c:v>
                </c:pt>
                <c:pt idx="55">
                  <c:v>9.8028999999999998E-3</c:v>
                </c:pt>
                <c:pt idx="56">
                  <c:v>9.8367999999999997E-3</c:v>
                </c:pt>
                <c:pt idx="57">
                  <c:v>9.7893000000000008E-3</c:v>
                </c:pt>
                <c:pt idx="58">
                  <c:v>9.6556999999999997E-3</c:v>
                </c:pt>
                <c:pt idx="59">
                  <c:v>9.4322E-3</c:v>
                </c:pt>
                <c:pt idx="60">
                  <c:v>9.1153999999999992E-3</c:v>
                </c:pt>
                <c:pt idx="61">
                  <c:v>8.7025999999999996E-3</c:v>
                </c:pt>
                <c:pt idx="62">
                  <c:v>8.1918000000000008E-3</c:v>
                </c:pt>
                <c:pt idx="63">
                  <c:v>7.5818999999999999E-3</c:v>
                </c:pt>
                <c:pt idx="64">
                  <c:v>6.8726999999999998E-3</c:v>
                </c:pt>
                <c:pt idx="65">
                  <c:v>6.0651999999999998E-3</c:v>
                </c:pt>
                <c:pt idx="66">
                  <c:v>5.1614E-3</c:v>
                </c:pt>
                <c:pt idx="67">
                  <c:v>4.1644999999999998E-3</c:v>
                </c:pt>
                <c:pt idx="68">
                  <c:v>3.0791999999999998E-3</c:v>
                </c:pt>
                <c:pt idx="69">
                  <c:v>1.9115E-3</c:v>
                </c:pt>
                <c:pt idx="70">
                  <c:v>6.6861000000000004E-4</c:v>
                </c:pt>
                <c:pt idx="71">
                  <c:v>-6.4084000000000005E-4</c:v>
                </c:pt>
                <c:pt idx="72">
                  <c:v>-2.0070000000000001E-3</c:v>
                </c:pt>
                <c:pt idx="73">
                  <c:v>-3.4190000000000002E-3</c:v>
                </c:pt>
                <c:pt idx="74">
                  <c:v>-4.8649000000000001E-3</c:v>
                </c:pt>
                <c:pt idx="75">
                  <c:v>-6.3318999999999997E-3</c:v>
                </c:pt>
                <c:pt idx="76">
                  <c:v>-7.8068E-3</c:v>
                </c:pt>
                <c:pt idx="77">
                  <c:v>-9.2756000000000002E-3</c:v>
                </c:pt>
                <c:pt idx="78">
                  <c:v>-1.0723999999999999E-2</c:v>
                </c:pt>
                <c:pt idx="79">
                  <c:v>-1.2137999999999999E-2</c:v>
                </c:pt>
                <c:pt idx="80">
                  <c:v>-1.3502E-2</c:v>
                </c:pt>
                <c:pt idx="81">
                  <c:v>-1.4801999999999999E-2</c:v>
                </c:pt>
                <c:pt idx="82">
                  <c:v>-1.6024E-2</c:v>
                </c:pt>
                <c:pt idx="83">
                  <c:v>-1.7152000000000001E-2</c:v>
                </c:pt>
                <c:pt idx="84">
                  <c:v>-1.8173999999999999E-2</c:v>
                </c:pt>
                <c:pt idx="85">
                  <c:v>-1.9074000000000001E-2</c:v>
                </c:pt>
                <c:pt idx="86">
                  <c:v>-1.984E-2</c:v>
                </c:pt>
                <c:pt idx="87">
                  <c:v>-2.0459000000000001E-2</c:v>
                </c:pt>
                <c:pt idx="88">
                  <c:v>-2.0920000000000001E-2</c:v>
                </c:pt>
                <c:pt idx="89">
                  <c:v>-2.121E-2</c:v>
                </c:pt>
                <c:pt idx="90">
                  <c:v>-2.1319000000000001E-2</c:v>
                </c:pt>
                <c:pt idx="91">
                  <c:v>-2.1238E-2</c:v>
                </c:pt>
                <c:pt idx="92">
                  <c:v>-2.0959999999999999E-2</c:v>
                </c:pt>
                <c:pt idx="93">
                  <c:v>-2.0476000000000001E-2</c:v>
                </c:pt>
                <c:pt idx="94">
                  <c:v>-1.9782000000000001E-2</c:v>
                </c:pt>
                <c:pt idx="95">
                  <c:v>-1.8873999999999998E-2</c:v>
                </c:pt>
                <c:pt idx="96">
                  <c:v>-1.7749999999999998E-2</c:v>
                </c:pt>
                <c:pt idx="97">
                  <c:v>-1.6407999999999999E-2</c:v>
                </c:pt>
                <c:pt idx="98">
                  <c:v>-1.485E-2</c:v>
                </c:pt>
                <c:pt idx="99">
                  <c:v>-1.3079E-2</c:v>
                </c:pt>
                <c:pt idx="100">
                  <c:v>-1.1098999999999999E-2</c:v>
                </c:pt>
                <c:pt idx="101">
                  <c:v>-8.9154000000000004E-3</c:v>
                </c:pt>
                <c:pt idx="102">
                  <c:v>-6.5372E-3</c:v>
                </c:pt>
                <c:pt idx="103">
                  <c:v>-3.9735999999999999E-3</c:v>
                </c:pt>
                <c:pt idx="104">
                  <c:v>-1.2354E-3</c:v>
                </c:pt>
                <c:pt idx="105">
                  <c:v>1.665E-3</c:v>
                </c:pt>
                <c:pt idx="106">
                  <c:v>4.7140999999999997E-3</c:v>
                </c:pt>
                <c:pt idx="107">
                  <c:v>7.8971000000000006E-3</c:v>
                </c:pt>
                <c:pt idx="108">
                  <c:v>1.1198E-2</c:v>
                </c:pt>
                <c:pt idx="109">
                  <c:v>1.4600999999999999E-2</c:v>
                </c:pt>
                <c:pt idx="110">
                  <c:v>1.8088E-2</c:v>
                </c:pt>
                <c:pt idx="111">
                  <c:v>2.1642000000000002E-2</c:v>
                </c:pt>
                <c:pt idx="112">
                  <c:v>2.5243000000000002E-2</c:v>
                </c:pt>
                <c:pt idx="113">
                  <c:v>2.8874E-2</c:v>
                </c:pt>
                <c:pt idx="114">
                  <c:v>3.2514000000000001E-2</c:v>
                </c:pt>
                <c:pt idx="115">
                  <c:v>3.6145999999999998E-2</c:v>
                </c:pt>
                <c:pt idx="116">
                  <c:v>3.9750000000000001E-2</c:v>
                </c:pt>
                <c:pt idx="117">
                  <c:v>4.3306999999999998E-2</c:v>
                </c:pt>
                <c:pt idx="118">
                  <c:v>4.6797999999999999E-2</c:v>
                </c:pt>
                <c:pt idx="119">
                  <c:v>5.0205E-2</c:v>
                </c:pt>
                <c:pt idx="120">
                  <c:v>5.3509000000000001E-2</c:v>
                </c:pt>
                <c:pt idx="121">
                  <c:v>5.6693E-2</c:v>
                </c:pt>
                <c:pt idx="122">
                  <c:v>5.9740000000000001E-2</c:v>
                </c:pt>
                <c:pt idx="123">
                  <c:v>6.2633999999999995E-2</c:v>
                </c:pt>
                <c:pt idx="124">
                  <c:v>6.5357999999999999E-2</c:v>
                </c:pt>
                <c:pt idx="125">
                  <c:v>6.7898E-2</c:v>
                </c:pt>
                <c:pt idx="126">
                  <c:v>7.0238999999999996E-2</c:v>
                </c:pt>
                <c:pt idx="127">
                  <c:v>7.2368000000000002E-2</c:v>
                </c:pt>
                <c:pt idx="128">
                  <c:v>7.4272000000000005E-2</c:v>
                </c:pt>
                <c:pt idx="129">
                  <c:v>7.5940999999999995E-2</c:v>
                </c:pt>
                <c:pt idx="130">
                  <c:v>7.7363000000000001E-2</c:v>
                </c:pt>
                <c:pt idx="131">
                  <c:v>7.8530000000000003E-2</c:v>
                </c:pt>
                <c:pt idx="132">
                  <c:v>7.9434000000000005E-2</c:v>
                </c:pt>
                <c:pt idx="133">
                  <c:v>8.0066999999999999E-2</c:v>
                </c:pt>
                <c:pt idx="134">
                  <c:v>8.0424999999999996E-2</c:v>
                </c:pt>
                <c:pt idx="135">
                  <c:v>8.0503000000000005E-2</c:v>
                </c:pt>
                <c:pt idx="136">
                  <c:v>8.0300999999999997E-2</c:v>
                </c:pt>
                <c:pt idx="137">
                  <c:v>7.9818E-2</c:v>
                </c:pt>
                <c:pt idx="138">
                  <c:v>7.9055E-2</c:v>
                </c:pt>
                <c:pt idx="139">
                  <c:v>7.8017000000000003E-2</c:v>
                </c:pt>
                <c:pt idx="140">
                  <c:v>7.6707999999999998E-2</c:v>
                </c:pt>
                <c:pt idx="141">
                  <c:v>7.5137999999999996E-2</c:v>
                </c:pt>
                <c:pt idx="142">
                  <c:v>7.3314000000000004E-2</c:v>
                </c:pt>
                <c:pt idx="143">
                  <c:v>7.1249999999999994E-2</c:v>
                </c:pt>
                <c:pt idx="144">
                  <c:v>6.8959000000000006E-2</c:v>
                </c:pt>
                <c:pt idx="145">
                  <c:v>6.6456000000000001E-2</c:v>
                </c:pt>
                <c:pt idx="146">
                  <c:v>6.3757999999999995E-2</c:v>
                </c:pt>
                <c:pt idx="147">
                  <c:v>6.0884000000000001E-2</c:v>
                </c:pt>
                <c:pt idx="148">
                  <c:v>5.7853000000000002E-2</c:v>
                </c:pt>
                <c:pt idx="149">
                  <c:v>5.4684999999999997E-2</c:v>
                </c:pt>
                <c:pt idx="150">
                  <c:v>5.1402000000000003E-2</c:v>
                </c:pt>
                <c:pt idx="151">
                  <c:v>4.8025999999999999E-2</c:v>
                </c:pt>
                <c:pt idx="152">
                  <c:v>4.4576999999999999E-2</c:v>
                </c:pt>
                <c:pt idx="153">
                  <c:v>4.1077000000000002E-2</c:v>
                </c:pt>
                <c:pt idx="154">
                  <c:v>3.7547999999999998E-2</c:v>
                </c:pt>
                <c:pt idx="155">
                  <c:v>3.4009999999999999E-2</c:v>
                </c:pt>
                <c:pt idx="156">
                  <c:v>3.0483E-2</c:v>
                </c:pt>
                <c:pt idx="157">
                  <c:v>2.6986E-2</c:v>
                </c:pt>
                <c:pt idx="158">
                  <c:v>2.3535E-2</c:v>
                </c:pt>
                <c:pt idx="159">
                  <c:v>2.0149E-2</c:v>
                </c:pt>
                <c:pt idx="160">
                  <c:v>1.6841999999999999E-2</c:v>
                </c:pt>
                <c:pt idx="161">
                  <c:v>1.3629E-2</c:v>
                </c:pt>
                <c:pt idx="162">
                  <c:v>1.0522E-2</c:v>
                </c:pt>
                <c:pt idx="163">
                  <c:v>7.5335000000000003E-3</c:v>
                </c:pt>
                <c:pt idx="164">
                  <c:v>4.6737000000000003E-3</c:v>
                </c:pt>
                <c:pt idx="165">
                  <c:v>1.9518000000000001E-3</c:v>
                </c:pt>
                <c:pt idx="166">
                  <c:v>-6.2396000000000001E-4</c:v>
                </c:pt>
                <c:pt idx="167">
                  <c:v>-3.0466999999999998E-3</c:v>
                </c:pt>
                <c:pt idx="168">
                  <c:v>-5.3106999999999998E-3</c:v>
                </c:pt>
                <c:pt idx="169">
                  <c:v>-7.4108000000000004E-3</c:v>
                </c:pt>
                <c:pt idx="170">
                  <c:v>-9.3434E-3</c:v>
                </c:pt>
                <c:pt idx="171">
                  <c:v>-1.1106E-2</c:v>
                </c:pt>
                <c:pt idx="172">
                  <c:v>-1.2695E-2</c:v>
                </c:pt>
                <c:pt idx="173">
                  <c:v>-1.4111E-2</c:v>
                </c:pt>
                <c:pt idx="174">
                  <c:v>-1.5354E-2</c:v>
                </c:pt>
                <c:pt idx="175">
                  <c:v>-1.6423E-2</c:v>
                </c:pt>
                <c:pt idx="176">
                  <c:v>-1.7321E-2</c:v>
                </c:pt>
                <c:pt idx="177">
                  <c:v>-1.8048999999999999E-2</c:v>
                </c:pt>
                <c:pt idx="178">
                  <c:v>-1.8610000000000002E-2</c:v>
                </c:pt>
                <c:pt idx="179">
                  <c:v>-1.9008000000000001E-2</c:v>
                </c:pt>
                <c:pt idx="180">
                  <c:v>-1.9247E-2</c:v>
                </c:pt>
                <c:pt idx="181">
                  <c:v>-1.9331999999999998E-2</c:v>
                </c:pt>
                <c:pt idx="182">
                  <c:v>-1.9268E-2</c:v>
                </c:pt>
                <c:pt idx="183">
                  <c:v>-1.9061999999999999E-2</c:v>
                </c:pt>
                <c:pt idx="184">
                  <c:v>-1.8720000000000001E-2</c:v>
                </c:pt>
                <c:pt idx="185">
                  <c:v>-1.8249000000000001E-2</c:v>
                </c:pt>
                <c:pt idx="186">
                  <c:v>-1.7656000000000002E-2</c:v>
                </c:pt>
                <c:pt idx="187">
                  <c:v>-1.695E-2</c:v>
                </c:pt>
                <c:pt idx="188">
                  <c:v>-1.6138E-2</c:v>
                </c:pt>
                <c:pt idx="189">
                  <c:v>-1.523E-2</c:v>
                </c:pt>
                <c:pt idx="190">
                  <c:v>-1.4234E-2</c:v>
                </c:pt>
                <c:pt idx="191">
                  <c:v>-1.316E-2</c:v>
                </c:pt>
                <c:pt idx="192">
                  <c:v>-1.2017E-2</c:v>
                </c:pt>
                <c:pt idx="193">
                  <c:v>-1.0814000000000001E-2</c:v>
                </c:pt>
                <c:pt idx="194">
                  <c:v>-9.5624999999999998E-3</c:v>
                </c:pt>
                <c:pt idx="195">
                  <c:v>-8.2711999999999994E-3</c:v>
                </c:pt>
                <c:pt idx="196">
                  <c:v>-6.9506000000000004E-3</c:v>
                </c:pt>
                <c:pt idx="197">
                  <c:v>-5.6106999999999997E-3</c:v>
                </c:pt>
                <c:pt idx="198">
                  <c:v>-4.2615999999999999E-3</c:v>
                </c:pt>
                <c:pt idx="199">
                  <c:v>-2.9133000000000002E-3</c:v>
                </c:pt>
                <c:pt idx="200">
                  <c:v>-1.5758E-3</c:v>
                </c:pt>
                <c:pt idx="201">
                  <c:v>-2.5891E-4</c:v>
                </c:pt>
                <c:pt idx="202">
                  <c:v>1.0279E-3</c:v>
                </c:pt>
                <c:pt idx="203">
                  <c:v>2.2753000000000001E-3</c:v>
                </c:pt>
                <c:pt idx="204">
                  <c:v>3.4745000000000002E-3</c:v>
                </c:pt>
                <c:pt idx="205">
                  <c:v>4.6169999999999996E-3</c:v>
                </c:pt>
                <c:pt idx="206">
                  <c:v>5.6949000000000001E-3</c:v>
                </c:pt>
                <c:pt idx="207">
                  <c:v>6.7010000000000004E-3</c:v>
                </c:pt>
                <c:pt idx="208">
                  <c:v>7.6287000000000004E-3</c:v>
                </c:pt>
                <c:pt idx="209">
                  <c:v>8.4723999999999997E-3</c:v>
                </c:pt>
                <c:pt idx="210">
                  <c:v>9.2274999999999996E-3</c:v>
                </c:pt>
                <c:pt idx="211">
                  <c:v>9.8905E-3</c:v>
                </c:pt>
                <c:pt idx="212">
                  <c:v>1.0459E-2</c:v>
                </c:pt>
                <c:pt idx="213">
                  <c:v>1.0932000000000001E-2</c:v>
                </c:pt>
                <c:pt idx="214">
                  <c:v>1.1309E-2</c:v>
                </c:pt>
                <c:pt idx="215">
                  <c:v>1.1591000000000001E-2</c:v>
                </c:pt>
                <c:pt idx="216">
                  <c:v>1.1781E-2</c:v>
                </c:pt>
                <c:pt idx="217">
                  <c:v>1.1882999999999999E-2</c:v>
                </c:pt>
                <c:pt idx="218">
                  <c:v>1.1898000000000001E-2</c:v>
                </c:pt>
                <c:pt idx="219">
                  <c:v>1.1833E-2</c:v>
                </c:pt>
                <c:pt idx="220">
                  <c:v>1.1691E-2</c:v>
                </c:pt>
                <c:pt idx="221">
                  <c:v>1.1478E-2</c:v>
                </c:pt>
                <c:pt idx="222">
                  <c:v>1.1199000000000001E-2</c:v>
                </c:pt>
                <c:pt idx="223">
                  <c:v>1.0859000000000001E-2</c:v>
                </c:pt>
                <c:pt idx="224">
                  <c:v>1.0465E-2</c:v>
                </c:pt>
                <c:pt idx="225">
                  <c:v>1.0019999999999999E-2</c:v>
                </c:pt>
                <c:pt idx="226">
                  <c:v>9.5312000000000001E-3</c:v>
                </c:pt>
                <c:pt idx="227">
                  <c:v>9.0037999999999993E-3</c:v>
                </c:pt>
                <c:pt idx="228">
                  <c:v>8.4430000000000009E-3</c:v>
                </c:pt>
                <c:pt idx="229">
                  <c:v>7.8542000000000004E-3</c:v>
                </c:pt>
                <c:pt idx="230">
                  <c:v>7.2424999999999998E-3</c:v>
                </c:pt>
                <c:pt idx="231">
                  <c:v>6.613E-3</c:v>
                </c:pt>
                <c:pt idx="232">
                  <c:v>5.9703999999999998E-3</c:v>
                </c:pt>
                <c:pt idx="233">
                  <c:v>5.3194999999999996E-3</c:v>
                </c:pt>
                <c:pt idx="234">
                  <c:v>4.6646999999999999E-3</c:v>
                </c:pt>
                <c:pt idx="235">
                  <c:v>4.0100999999999999E-3</c:v>
                </c:pt>
                <c:pt idx="236">
                  <c:v>3.3597000000000002E-3</c:v>
                </c:pt>
                <c:pt idx="237">
                  <c:v>2.7171999999999999E-3</c:v>
                </c:pt>
                <c:pt idx="238">
                  <c:v>2.0858999999999999E-3</c:v>
                </c:pt>
                <c:pt idx="239">
                  <c:v>1.4687999999999999E-3</c:v>
                </c:pt>
                <c:pt idx="240">
                  <c:v>8.6883000000000001E-4</c:v>
                </c:pt>
                <c:pt idx="241">
                  <c:v>2.8837999999999997E-4</c:v>
                </c:pt>
                <c:pt idx="242">
                  <c:v>-2.7032E-4</c:v>
                </c:pt>
                <c:pt idx="243">
                  <c:v>-8.0531999999999999E-4</c:v>
                </c:pt>
                <c:pt idx="244">
                  <c:v>-1.3148999999999999E-3</c:v>
                </c:pt>
                <c:pt idx="245">
                  <c:v>-1.7975000000000001E-3</c:v>
                </c:pt>
                <c:pt idx="246">
                  <c:v>-2.2518E-3</c:v>
                </c:pt>
                <c:pt idx="247">
                  <c:v>-2.6765000000000001E-3</c:v>
                </c:pt>
                <c:pt idx="248">
                  <c:v>-3.0707E-3</c:v>
                </c:pt>
                <c:pt idx="249">
                  <c:v>-3.4334000000000001E-3</c:v>
                </c:pt>
                <c:pt idx="250">
                  <c:v>-3.7639000000000001E-3</c:v>
                </c:pt>
                <c:pt idx="251">
                  <c:v>-4.0615E-3</c:v>
                </c:pt>
                <c:pt idx="252">
                  <c:v>-4.3257E-3</c:v>
                </c:pt>
                <c:pt idx="253">
                  <c:v>-4.5563000000000001E-3</c:v>
                </c:pt>
                <c:pt idx="254">
                  <c:v>-4.7532E-3</c:v>
                </c:pt>
                <c:pt idx="255">
                  <c:v>-4.9166000000000001E-3</c:v>
                </c:pt>
                <c:pt idx="256">
                  <c:v>-5.0467000000000003E-3</c:v>
                </c:pt>
                <c:pt idx="257">
                  <c:v>-5.1438999999999999E-3</c:v>
                </c:pt>
                <c:pt idx="258">
                  <c:v>-5.2090000000000001E-3</c:v>
                </c:pt>
                <c:pt idx="259">
                  <c:v>-5.2427000000000003E-3</c:v>
                </c:pt>
                <c:pt idx="260">
                  <c:v>-5.2459000000000004E-3</c:v>
                </c:pt>
                <c:pt idx="261">
                  <c:v>-5.2195999999999996E-3</c:v>
                </c:pt>
                <c:pt idx="262">
                  <c:v>-5.1647999999999998E-3</c:v>
                </c:pt>
                <c:pt idx="263">
                  <c:v>-5.0826999999999999E-3</c:v>
                </c:pt>
                <c:pt idx="264">
                  <c:v>-4.9746E-3</c:v>
                </c:pt>
                <c:pt idx="265">
                  <c:v>-4.8415000000000003E-3</c:v>
                </c:pt>
                <c:pt idx="266">
                  <c:v>-4.6849999999999999E-3</c:v>
                </c:pt>
                <c:pt idx="267">
                  <c:v>-4.5062000000000001E-3</c:v>
                </c:pt>
                <c:pt idx="268">
                  <c:v>-4.3067000000000001E-3</c:v>
                </c:pt>
                <c:pt idx="269">
                  <c:v>-4.0879000000000002E-3</c:v>
                </c:pt>
                <c:pt idx="270">
                  <c:v>-3.8511999999999999E-3</c:v>
                </c:pt>
                <c:pt idx="271">
                  <c:v>-3.5983999999999999E-3</c:v>
                </c:pt>
                <c:pt idx="272">
                  <c:v>-3.3308999999999999E-3</c:v>
                </c:pt>
                <c:pt idx="273">
                  <c:v>-3.0506000000000001E-3</c:v>
                </c:pt>
                <c:pt idx="274">
                  <c:v>-2.7590000000000002E-3</c:v>
                </c:pt>
                <c:pt idx="275">
                  <c:v>-2.4581E-3</c:v>
                </c:pt>
                <c:pt idx="276">
                  <c:v>-2.1496000000000002E-3</c:v>
                </c:pt>
                <c:pt idx="277">
                  <c:v>-1.8355999999999999E-3</c:v>
                </c:pt>
                <c:pt idx="278">
                  <c:v>-1.5181000000000001E-3</c:v>
                </c:pt>
                <c:pt idx="279">
                  <c:v>-1.1992000000000001E-3</c:v>
                </c:pt>
                <c:pt idx="280">
                  <c:v>-8.8101E-4</c:v>
                </c:pt>
                <c:pt idx="281">
                  <c:v>-5.6581000000000003E-4</c:v>
                </c:pt>
                <c:pt idx="282">
                  <c:v>-2.5580999999999998E-4</c:v>
                </c:pt>
                <c:pt idx="283">
                  <c:v>4.6808000000000003E-5</c:v>
                </c:pt>
                <c:pt idx="284">
                  <c:v>3.3998999999999998E-4</c:v>
                </c:pt>
                <c:pt idx="285">
                  <c:v>6.2186999999999995E-4</c:v>
                </c:pt>
                <c:pt idx="286">
                  <c:v>8.9079999999999997E-4</c:v>
                </c:pt>
                <c:pt idx="287">
                  <c:v>1.1454E-3</c:v>
                </c:pt>
                <c:pt idx="288">
                  <c:v>1.3844E-3</c:v>
                </c:pt>
                <c:pt idx="289">
                  <c:v>1.6069999999999999E-3</c:v>
                </c:pt>
                <c:pt idx="290">
                  <c:v>1.8125000000000001E-3</c:v>
                </c:pt>
                <c:pt idx="291">
                  <c:v>2.0002000000000002E-3</c:v>
                </c:pt>
                <c:pt idx="292">
                  <c:v>2.1699000000000002E-3</c:v>
                </c:pt>
                <c:pt idx="293">
                  <c:v>2.3211999999999998E-3</c:v>
                </c:pt>
                <c:pt idx="294">
                  <c:v>2.4539000000000002E-3</c:v>
                </c:pt>
                <c:pt idx="295">
                  <c:v>2.5677999999999999E-3</c:v>
                </c:pt>
                <c:pt idx="296">
                  <c:v>2.663E-3</c:v>
                </c:pt>
                <c:pt idx="297">
                  <c:v>2.7393999999999999E-3</c:v>
                </c:pt>
                <c:pt idx="298">
                  <c:v>2.797E-3</c:v>
                </c:pt>
                <c:pt idx="299">
                  <c:v>2.8359000000000001E-3</c:v>
                </c:pt>
                <c:pt idx="300">
                  <c:v>2.8563E-3</c:v>
                </c:pt>
                <c:pt idx="301">
                  <c:v>2.8582999999999998E-3</c:v>
                </c:pt>
                <c:pt idx="302">
                  <c:v>2.8421000000000002E-3</c:v>
                </c:pt>
                <c:pt idx="303">
                  <c:v>2.8078999999999999E-3</c:v>
                </c:pt>
                <c:pt idx="304">
                  <c:v>2.7558999999999999E-3</c:v>
                </c:pt>
                <c:pt idx="305">
                  <c:v>2.6865999999999999E-3</c:v>
                </c:pt>
                <c:pt idx="306">
                  <c:v>2.6001000000000002E-3</c:v>
                </c:pt>
                <c:pt idx="307">
                  <c:v>2.4968E-3</c:v>
                </c:pt>
                <c:pt idx="308">
                  <c:v>2.3771E-3</c:v>
                </c:pt>
                <c:pt idx="309">
                  <c:v>2.2415999999999998E-3</c:v>
                </c:pt>
                <c:pt idx="310">
                  <c:v>2.0904999999999999E-3</c:v>
                </c:pt>
                <c:pt idx="311">
                  <c:v>1.9243999999999999E-3</c:v>
                </c:pt>
                <c:pt idx="312">
                  <c:v>1.7438E-3</c:v>
                </c:pt>
                <c:pt idx="313">
                  <c:v>1.5493E-3</c:v>
                </c:pt>
                <c:pt idx="314">
                  <c:v>1.3414E-3</c:v>
                </c:pt>
                <c:pt idx="315">
                  <c:v>1.1207999999999999E-3</c:v>
                </c:pt>
                <c:pt idx="316">
                  <c:v>8.8796999999999997E-4</c:v>
                </c:pt>
                <c:pt idx="317">
                  <c:v>6.4367999999999999E-4</c:v>
                </c:pt>
                <c:pt idx="318">
                  <c:v>3.8859000000000002E-4</c:v>
                </c:pt>
                <c:pt idx="319">
                  <c:v>1.2338E-4</c:v>
                </c:pt>
                <c:pt idx="320">
                  <c:v>-1.5118999999999999E-4</c:v>
                </c:pt>
                <c:pt idx="321">
                  <c:v>-4.3437E-4</c:v>
                </c:pt>
                <c:pt idx="322">
                  <c:v>-7.2537999999999997E-4</c:v>
                </c:pt>
                <c:pt idx="323">
                  <c:v>-1.0234E-3</c:v>
                </c:pt>
                <c:pt idx="324">
                  <c:v>-1.3277E-3</c:v>
                </c:pt>
                <c:pt idx="325">
                  <c:v>-1.6373E-3</c:v>
                </c:pt>
                <c:pt idx="326">
                  <c:v>-1.9515999999999999E-3</c:v>
                </c:pt>
                <c:pt idx="327">
                  <c:v>-2.2694999999999998E-3</c:v>
                </c:pt>
                <c:pt idx="328">
                  <c:v>-2.5904000000000001E-3</c:v>
                </c:pt>
                <c:pt idx="329">
                  <c:v>-2.9134E-3</c:v>
                </c:pt>
                <c:pt idx="330">
                  <c:v>-3.2377E-3</c:v>
                </c:pt>
                <c:pt idx="331">
                  <c:v>-3.5626E-3</c:v>
                </c:pt>
                <c:pt idx="332">
                  <c:v>-3.8871999999999999E-3</c:v>
                </c:pt>
                <c:pt idx="333">
                  <c:v>-4.2107999999999998E-3</c:v>
                </c:pt>
                <c:pt idx="334">
                  <c:v>-4.5328E-3</c:v>
                </c:pt>
                <c:pt idx="335">
                  <c:v>-4.8525E-3</c:v>
                </c:pt>
                <c:pt idx="336">
                  <c:v>-5.1691000000000003E-3</c:v>
                </c:pt>
                <c:pt idx="337">
                  <c:v>-5.4821000000000002E-3</c:v>
                </c:pt>
                <c:pt idx="338">
                  <c:v>-5.7908999999999999E-3</c:v>
                </c:pt>
                <c:pt idx="339">
                  <c:v>-6.0948E-3</c:v>
                </c:pt>
                <c:pt idx="340">
                  <c:v>-6.3933999999999996E-3</c:v>
                </c:pt>
                <c:pt idx="341">
                  <c:v>-6.6861999999999998E-3</c:v>
                </c:pt>
                <c:pt idx="342">
                  <c:v>-6.9727000000000001E-3</c:v>
                </c:pt>
                <c:pt idx="343">
                  <c:v>-7.2524E-3</c:v>
                </c:pt>
                <c:pt idx="344">
                  <c:v>-7.5249000000000002E-3</c:v>
                </c:pt>
                <c:pt idx="345">
                  <c:v>-7.7898999999999998E-3</c:v>
                </c:pt>
                <c:pt idx="346">
                  <c:v>-8.0468999999999992E-3</c:v>
                </c:pt>
                <c:pt idx="347">
                  <c:v>-8.2956999999999996E-3</c:v>
                </c:pt>
                <c:pt idx="348">
                  <c:v>-8.5360999999999996E-3</c:v>
                </c:pt>
                <c:pt idx="349">
                  <c:v>-8.7676000000000004E-3</c:v>
                </c:pt>
                <c:pt idx="350">
                  <c:v>-8.9902000000000003E-3</c:v>
                </c:pt>
                <c:pt idx="351">
                  <c:v>-9.2035999999999993E-3</c:v>
                </c:pt>
                <c:pt idx="352">
                  <c:v>-9.4076000000000003E-3</c:v>
                </c:pt>
                <c:pt idx="353">
                  <c:v>-9.6022E-3</c:v>
                </c:pt>
                <c:pt idx="354">
                  <c:v>-9.7873000000000005E-3</c:v>
                </c:pt>
                <c:pt idx="355">
                  <c:v>-9.9628000000000008E-3</c:v>
                </c:pt>
                <c:pt idx="356">
                  <c:v>-1.0129000000000001E-2</c:v>
                </c:pt>
                <c:pt idx="357">
                  <c:v>-1.0285000000000001E-2</c:v>
                </c:pt>
                <c:pt idx="358">
                  <c:v>-1.0432E-2</c:v>
                </c:pt>
                <c:pt idx="359">
                  <c:v>-1.057E-2</c:v>
                </c:pt>
                <c:pt idx="360">
                  <c:v>-1.0697999999999999E-2</c:v>
                </c:pt>
                <c:pt idx="361">
                  <c:v>-1.0817E-2</c:v>
                </c:pt>
                <c:pt idx="362">
                  <c:v>-1.0928E-2</c:v>
                </c:pt>
                <c:pt idx="363">
                  <c:v>-1.103E-2</c:v>
                </c:pt>
                <c:pt idx="364">
                  <c:v>-1.1124E-2</c:v>
                </c:pt>
                <c:pt idx="365">
                  <c:v>-1.1209999999999999E-2</c:v>
                </c:pt>
                <c:pt idx="366">
                  <c:v>-1.1289E-2</c:v>
                </c:pt>
                <c:pt idx="367">
                  <c:v>-1.1361E-2</c:v>
                </c:pt>
                <c:pt idx="368">
                  <c:v>-1.1426E-2</c:v>
                </c:pt>
                <c:pt idx="369">
                  <c:v>-1.1485E-2</c:v>
                </c:pt>
                <c:pt idx="370">
                  <c:v>-1.1538E-2</c:v>
                </c:pt>
                <c:pt idx="371">
                  <c:v>-1.1586000000000001E-2</c:v>
                </c:pt>
                <c:pt idx="372">
                  <c:v>-1.163E-2</c:v>
                </c:pt>
                <c:pt idx="373">
                  <c:v>-1.1669000000000001E-2</c:v>
                </c:pt>
                <c:pt idx="374">
                  <c:v>-1.1705E-2</c:v>
                </c:pt>
                <c:pt idx="375">
                  <c:v>-1.1736999999999999E-2</c:v>
                </c:pt>
                <c:pt idx="376">
                  <c:v>-1.1767E-2</c:v>
                </c:pt>
                <c:pt idx="377">
                  <c:v>-1.1795E-2</c:v>
                </c:pt>
                <c:pt idx="378">
                  <c:v>-1.1821999999999999E-2</c:v>
                </c:pt>
                <c:pt idx="379">
                  <c:v>-1.1847E-2</c:v>
                </c:pt>
                <c:pt idx="380">
                  <c:v>-1.1872000000000001E-2</c:v>
                </c:pt>
                <c:pt idx="381">
                  <c:v>-1.1896E-2</c:v>
                </c:pt>
                <c:pt idx="382">
                  <c:v>-1.1920999999999999E-2</c:v>
                </c:pt>
                <c:pt idx="383">
                  <c:v>-1.1946999999999999E-2</c:v>
                </c:pt>
                <c:pt idx="384">
                  <c:v>-1.1972999999999999E-2</c:v>
                </c:pt>
                <c:pt idx="385">
                  <c:v>-1.2E-2</c:v>
                </c:pt>
                <c:pt idx="386">
                  <c:v>-1.2029E-2</c:v>
                </c:pt>
                <c:pt idx="387">
                  <c:v>-1.206E-2</c:v>
                </c:pt>
                <c:pt idx="388">
                  <c:v>-1.2092E-2</c:v>
                </c:pt>
                <c:pt idx="389">
                  <c:v>-1.2126E-2</c:v>
                </c:pt>
                <c:pt idx="390">
                  <c:v>-1.2161999999999999E-2</c:v>
                </c:pt>
                <c:pt idx="391">
                  <c:v>-1.2201E-2</c:v>
                </c:pt>
                <c:pt idx="392">
                  <c:v>-1.2241E-2</c:v>
                </c:pt>
                <c:pt idx="393">
                  <c:v>-1.2283000000000001E-2</c:v>
                </c:pt>
                <c:pt idx="394">
                  <c:v>-1.2326999999999999E-2</c:v>
                </c:pt>
                <c:pt idx="395">
                  <c:v>-1.2373E-2</c:v>
                </c:pt>
                <c:pt idx="396">
                  <c:v>-1.242E-2</c:v>
                </c:pt>
                <c:pt idx="397">
                  <c:v>-1.247E-2</c:v>
                </c:pt>
                <c:pt idx="398">
                  <c:v>-1.2520999999999999E-2</c:v>
                </c:pt>
                <c:pt idx="399">
                  <c:v>-1.2573000000000001E-2</c:v>
                </c:pt>
                <c:pt idx="400">
                  <c:v>-1.2626999999999999E-2</c:v>
                </c:pt>
                <c:pt idx="401">
                  <c:v>-1.2681E-2</c:v>
                </c:pt>
                <c:pt idx="402">
                  <c:v>-1.2737E-2</c:v>
                </c:pt>
                <c:pt idx="403">
                  <c:v>-1.2793000000000001E-2</c:v>
                </c:pt>
                <c:pt idx="404">
                  <c:v>-1.2851E-2</c:v>
                </c:pt>
                <c:pt idx="405">
                  <c:v>-1.2907999999999999E-2</c:v>
                </c:pt>
                <c:pt idx="406">
                  <c:v>-1.2966E-2</c:v>
                </c:pt>
                <c:pt idx="407">
                  <c:v>-1.3025E-2</c:v>
                </c:pt>
                <c:pt idx="408">
                  <c:v>-1.3082999999999999E-2</c:v>
                </c:pt>
                <c:pt idx="409">
                  <c:v>-1.3141E-2</c:v>
                </c:pt>
                <c:pt idx="410">
                  <c:v>-1.3199000000000001E-2</c:v>
                </c:pt>
                <c:pt idx="411">
                  <c:v>-1.3257E-2</c:v>
                </c:pt>
                <c:pt idx="412">
                  <c:v>-1.3313999999999999E-2</c:v>
                </c:pt>
                <c:pt idx="413">
                  <c:v>-1.337E-2</c:v>
                </c:pt>
                <c:pt idx="414">
                  <c:v>-1.3424999999999999E-2</c:v>
                </c:pt>
                <c:pt idx="415">
                  <c:v>-1.3479E-2</c:v>
                </c:pt>
                <c:pt idx="416">
                  <c:v>-1.3532000000000001E-2</c:v>
                </c:pt>
                <c:pt idx="417">
                  <c:v>-1.3583E-2</c:v>
                </c:pt>
                <c:pt idx="418">
                  <c:v>-1.3632999999999999E-2</c:v>
                </c:pt>
                <c:pt idx="419">
                  <c:v>-1.3681E-2</c:v>
                </c:pt>
                <c:pt idx="420">
                  <c:v>-1.3727E-2</c:v>
                </c:pt>
                <c:pt idx="421">
                  <c:v>-1.3771E-2</c:v>
                </c:pt>
                <c:pt idx="422">
                  <c:v>-1.3814E-2</c:v>
                </c:pt>
                <c:pt idx="423">
                  <c:v>-1.3853000000000001E-2</c:v>
                </c:pt>
                <c:pt idx="424">
                  <c:v>-1.3891000000000001E-2</c:v>
                </c:pt>
                <c:pt idx="425">
                  <c:v>-1.3925999999999999E-2</c:v>
                </c:pt>
                <c:pt idx="426">
                  <c:v>-1.3958E-2</c:v>
                </c:pt>
                <c:pt idx="427">
                  <c:v>-1.3986999999999999E-2</c:v>
                </c:pt>
                <c:pt idx="428">
                  <c:v>-1.4012999999999999E-2</c:v>
                </c:pt>
                <c:pt idx="429">
                  <c:v>-1.4037000000000001E-2</c:v>
                </c:pt>
                <c:pt idx="430">
                  <c:v>-1.4057E-2</c:v>
                </c:pt>
                <c:pt idx="431">
                  <c:v>-1.4073E-2</c:v>
                </c:pt>
                <c:pt idx="432">
                  <c:v>-1.4087000000000001E-2</c:v>
                </c:pt>
                <c:pt idx="433">
                  <c:v>-1.4097E-2</c:v>
                </c:pt>
                <c:pt idx="434">
                  <c:v>-1.4102999999999999E-2</c:v>
                </c:pt>
                <c:pt idx="435">
                  <c:v>-1.4104999999999999E-2</c:v>
                </c:pt>
                <c:pt idx="436">
                  <c:v>-1.4104E-2</c:v>
                </c:pt>
                <c:pt idx="437">
                  <c:v>-1.4099E-2</c:v>
                </c:pt>
                <c:pt idx="438">
                  <c:v>-1.409E-2</c:v>
                </c:pt>
                <c:pt idx="439">
                  <c:v>-1.4076999999999999E-2</c:v>
                </c:pt>
                <c:pt idx="440">
                  <c:v>-1.406E-2</c:v>
                </c:pt>
                <c:pt idx="441">
                  <c:v>-1.4038E-2</c:v>
                </c:pt>
                <c:pt idx="442">
                  <c:v>-1.4012999999999999E-2</c:v>
                </c:pt>
                <c:pt idx="443">
                  <c:v>-1.3983000000000001E-2</c:v>
                </c:pt>
                <c:pt idx="444">
                  <c:v>-1.3948E-2</c:v>
                </c:pt>
                <c:pt idx="445">
                  <c:v>-1.391E-2</c:v>
                </c:pt>
                <c:pt idx="446">
                  <c:v>-1.3866E-2</c:v>
                </c:pt>
                <c:pt idx="447">
                  <c:v>-1.3818E-2</c:v>
                </c:pt>
                <c:pt idx="448">
                  <c:v>-1.3766E-2</c:v>
                </c:pt>
                <c:pt idx="449">
                  <c:v>-1.3708E-2</c:v>
                </c:pt>
                <c:pt idx="450">
                  <c:v>-1.3646E-2</c:v>
                </c:pt>
                <c:pt idx="451">
                  <c:v>-1.3579000000000001E-2</c:v>
                </c:pt>
                <c:pt idx="452">
                  <c:v>-1.3507999999999999E-2</c:v>
                </c:pt>
                <c:pt idx="453">
                  <c:v>-1.3431E-2</c:v>
                </c:pt>
                <c:pt idx="454">
                  <c:v>-1.3349E-2</c:v>
                </c:pt>
                <c:pt idx="455">
                  <c:v>-1.3263E-2</c:v>
                </c:pt>
                <c:pt idx="456">
                  <c:v>-1.3172E-2</c:v>
                </c:pt>
                <c:pt idx="457">
                  <c:v>-1.3075E-2</c:v>
                </c:pt>
                <c:pt idx="458">
                  <c:v>-1.2973999999999999E-2</c:v>
                </c:pt>
                <c:pt idx="459">
                  <c:v>-1.2867999999999999E-2</c:v>
                </c:pt>
                <c:pt idx="460">
                  <c:v>-1.2756E-2</c:v>
                </c:pt>
                <c:pt idx="461">
                  <c:v>-1.264E-2</c:v>
                </c:pt>
                <c:pt idx="462">
                  <c:v>-1.2519000000000001E-2</c:v>
                </c:pt>
                <c:pt idx="463">
                  <c:v>-1.2393E-2</c:v>
                </c:pt>
                <c:pt idx="464">
                  <c:v>-1.2262E-2</c:v>
                </c:pt>
                <c:pt idx="465">
                  <c:v>-1.2126E-2</c:v>
                </c:pt>
                <c:pt idx="466">
                  <c:v>-1.1985000000000001E-2</c:v>
                </c:pt>
                <c:pt idx="467">
                  <c:v>-1.1839000000000001E-2</c:v>
                </c:pt>
                <c:pt idx="468">
                  <c:v>-1.1689E-2</c:v>
                </c:pt>
                <c:pt idx="469">
                  <c:v>-1.1534000000000001E-2</c:v>
                </c:pt>
                <c:pt idx="470">
                  <c:v>-1.1374E-2</c:v>
                </c:pt>
                <c:pt idx="471">
                  <c:v>-1.1209999999999999E-2</c:v>
                </c:pt>
                <c:pt idx="472">
                  <c:v>-1.1042E-2</c:v>
                </c:pt>
                <c:pt idx="473">
                  <c:v>-1.0869E-2</c:v>
                </c:pt>
                <c:pt idx="474">
                  <c:v>-1.0692999999999999E-2</c:v>
                </c:pt>
                <c:pt idx="475">
                  <c:v>-1.0512000000000001E-2</c:v>
                </c:pt>
                <c:pt idx="476">
                  <c:v>-1.0326999999999999E-2</c:v>
                </c:pt>
                <c:pt idx="477">
                  <c:v>-1.0139E-2</c:v>
                </c:pt>
                <c:pt idx="478">
                  <c:v>-9.9465999999999999E-3</c:v>
                </c:pt>
                <c:pt idx="479">
                  <c:v>-9.7511000000000004E-3</c:v>
                </c:pt>
                <c:pt idx="480">
                  <c:v>-9.5524000000000008E-3</c:v>
                </c:pt>
                <c:pt idx="481">
                  <c:v>-9.3504999999999994E-3</c:v>
                </c:pt>
                <c:pt idx="482">
                  <c:v>-9.1456999999999997E-3</c:v>
                </c:pt>
                <c:pt idx="483">
                  <c:v>-8.9380999999999992E-3</c:v>
                </c:pt>
                <c:pt idx="484">
                  <c:v>-8.7279000000000002E-3</c:v>
                </c:pt>
                <c:pt idx="485">
                  <c:v>-8.5153E-3</c:v>
                </c:pt>
                <c:pt idx="486">
                  <c:v>-8.3003E-3</c:v>
                </c:pt>
                <c:pt idx="487">
                  <c:v>-8.0832000000000005E-3</c:v>
                </c:pt>
                <c:pt idx="488">
                  <c:v>-7.8642E-3</c:v>
                </c:pt>
                <c:pt idx="489">
                  <c:v>-7.6432999999999996E-3</c:v>
                </c:pt>
                <c:pt idx="490">
                  <c:v>-7.4209000000000002E-3</c:v>
                </c:pt>
                <c:pt idx="491">
                  <c:v>-7.1969E-3</c:v>
                </c:pt>
                <c:pt idx="492">
                  <c:v>-6.9716999999999999E-3</c:v>
                </c:pt>
                <c:pt idx="493">
                  <c:v>-6.7453000000000001E-3</c:v>
                </c:pt>
                <c:pt idx="494">
                  <c:v>-6.5180000000000004E-3</c:v>
                </c:pt>
                <c:pt idx="495">
                  <c:v>-6.2897999999999999E-3</c:v>
                </c:pt>
                <c:pt idx="496">
                  <c:v>-6.0610000000000004E-3</c:v>
                </c:pt>
                <c:pt idx="497">
                  <c:v>-5.8316000000000002E-3</c:v>
                </c:pt>
                <c:pt idx="498">
                  <c:v>-5.6018999999999999E-3</c:v>
                </c:pt>
                <c:pt idx="499">
                  <c:v>-5.372E-3</c:v>
                </c:pt>
                <c:pt idx="500">
                  <c:v>-5.1421000000000001E-3</c:v>
                </c:pt>
                <c:pt idx="501">
                  <c:v>-4.9122000000000002E-3</c:v>
                </c:pt>
                <c:pt idx="502">
                  <c:v>-4.6826000000000003E-3</c:v>
                </c:pt>
                <c:pt idx="503">
                  <c:v>-4.4533999999999997E-3</c:v>
                </c:pt>
                <c:pt idx="504">
                  <c:v>-4.2247999999999999E-3</c:v>
                </c:pt>
                <c:pt idx="505">
                  <c:v>-3.9968E-3</c:v>
                </c:pt>
                <c:pt idx="506">
                  <c:v>-3.7696000000000001E-3</c:v>
                </c:pt>
                <c:pt idx="507">
                  <c:v>-3.5433999999999999E-3</c:v>
                </c:pt>
                <c:pt idx="508">
                  <c:v>-3.3183000000000002E-3</c:v>
                </c:pt>
                <c:pt idx="509">
                  <c:v>-3.0942999999999999E-3</c:v>
                </c:pt>
                <c:pt idx="510">
                  <c:v>-2.8717999999999999E-3</c:v>
                </c:pt>
                <c:pt idx="511">
                  <c:v>-2.6507000000000002E-3</c:v>
                </c:pt>
                <c:pt idx="512">
                  <c:v>-2.4312000000000001E-3</c:v>
                </c:pt>
                <c:pt idx="513">
                  <c:v>-2.2135000000000002E-3</c:v>
                </c:pt>
                <c:pt idx="514">
                  <c:v>-1.9975000000000001E-3</c:v>
                </c:pt>
                <c:pt idx="515">
                  <c:v>-1.7836E-3</c:v>
                </c:pt>
                <c:pt idx="516">
                  <c:v>-1.5717000000000001E-3</c:v>
                </c:pt>
                <c:pt idx="517">
                  <c:v>-1.3619999999999999E-3</c:v>
                </c:pt>
                <c:pt idx="518">
                  <c:v>-1.1546E-3</c:v>
                </c:pt>
                <c:pt idx="519">
                  <c:v>-9.4956999999999995E-4</c:v>
                </c:pt>
                <c:pt idx="520">
                  <c:v>-7.4704999999999997E-4</c:v>
                </c:pt>
                <c:pt idx="521">
                  <c:v>-5.4712000000000001E-4</c:v>
                </c:pt>
                <c:pt idx="522">
                  <c:v>-3.4987000000000001E-4</c:v>
                </c:pt>
                <c:pt idx="523">
                  <c:v>-1.5540000000000001E-4</c:v>
                </c:pt>
                <c:pt idx="524">
                  <c:v>3.6211000000000003E-5</c:v>
                </c:pt>
                <c:pt idx="525">
                  <c:v>2.2488E-4</c:v>
                </c:pt>
                <c:pt idx="526">
                  <c:v>4.1053999999999998E-4</c:v>
                </c:pt>
                <c:pt idx="527">
                  <c:v>5.9310999999999999E-4</c:v>
                </c:pt>
                <c:pt idx="528">
                  <c:v>7.7251000000000002E-4</c:v>
                </c:pt>
                <c:pt idx="529">
                  <c:v>9.4868999999999997E-4</c:v>
                </c:pt>
                <c:pt idx="530">
                  <c:v>1.1215999999999999E-3</c:v>
                </c:pt>
                <c:pt idx="531">
                  <c:v>1.2911000000000001E-3</c:v>
                </c:pt>
                <c:pt idx="532">
                  <c:v>1.4572999999999999E-3</c:v>
                </c:pt>
                <c:pt idx="533">
                  <c:v>1.6199999999999999E-3</c:v>
                </c:pt>
                <c:pt idx="534">
                  <c:v>1.7791E-3</c:v>
                </c:pt>
                <c:pt idx="535">
                  <c:v>1.9346999999999999E-3</c:v>
                </c:pt>
                <c:pt idx="536">
                  <c:v>2.0868000000000002E-3</c:v>
                </c:pt>
                <c:pt idx="537">
                  <c:v>2.2350999999999998E-3</c:v>
                </c:pt>
                <c:pt idx="538">
                  <c:v>2.3798000000000001E-3</c:v>
                </c:pt>
                <c:pt idx="539">
                  <c:v>2.5206999999999999E-3</c:v>
                </c:pt>
                <c:pt idx="540">
                  <c:v>2.6578999999999999E-3</c:v>
                </c:pt>
                <c:pt idx="541">
                  <c:v>2.7913E-3</c:v>
                </c:pt>
                <c:pt idx="542">
                  <c:v>2.9207999999999999E-3</c:v>
                </c:pt>
                <c:pt idx="543">
                  <c:v>3.0465000000000002E-3</c:v>
                </c:pt>
                <c:pt idx="544">
                  <c:v>3.1681999999999999E-3</c:v>
                </c:pt>
                <c:pt idx="545">
                  <c:v>3.2861000000000001E-3</c:v>
                </c:pt>
                <c:pt idx="546">
                  <c:v>3.3999999999999998E-3</c:v>
                </c:pt>
                <c:pt idx="547">
                  <c:v>3.5100000000000001E-3</c:v>
                </c:pt>
                <c:pt idx="548">
                  <c:v>3.6159999999999999E-3</c:v>
                </c:pt>
                <c:pt idx="549">
                  <c:v>3.7179000000000001E-3</c:v>
                </c:pt>
                <c:pt idx="550">
                  <c:v>3.8157999999999998E-3</c:v>
                </c:pt>
                <c:pt idx="551">
                  <c:v>3.9097000000000003E-3</c:v>
                </c:pt>
                <c:pt idx="552">
                  <c:v>3.9995999999999999E-3</c:v>
                </c:pt>
                <c:pt idx="553">
                  <c:v>4.0854000000000003E-3</c:v>
                </c:pt>
                <c:pt idx="554">
                  <c:v>4.1672000000000002E-3</c:v>
                </c:pt>
                <c:pt idx="555">
                  <c:v>4.2449000000000002E-3</c:v>
                </c:pt>
                <c:pt idx="556">
                  <c:v>4.3185999999999997E-3</c:v>
                </c:pt>
                <c:pt idx="557">
                  <c:v>4.3883000000000004E-3</c:v>
                </c:pt>
                <c:pt idx="558">
                  <c:v>4.4539999999999996E-3</c:v>
                </c:pt>
                <c:pt idx="559">
                  <c:v>4.5158000000000004E-3</c:v>
                </c:pt>
                <c:pt idx="560">
                  <c:v>4.5735999999999997E-3</c:v>
                </c:pt>
                <c:pt idx="561">
                  <c:v>4.6275999999999999E-3</c:v>
                </c:pt>
                <c:pt idx="562">
                  <c:v>4.6776999999999999E-3</c:v>
                </c:pt>
                <c:pt idx="563">
                  <c:v>4.7239999999999999E-3</c:v>
                </c:pt>
                <c:pt idx="564">
                  <c:v>4.7666000000000002E-3</c:v>
                </c:pt>
                <c:pt idx="565">
                  <c:v>4.8054999999999999E-3</c:v>
                </c:pt>
                <c:pt idx="566">
                  <c:v>4.8408000000000001E-3</c:v>
                </c:pt>
                <c:pt idx="567">
                  <c:v>4.8725000000000001E-3</c:v>
                </c:pt>
                <c:pt idx="568">
                  <c:v>4.9007E-3</c:v>
                </c:pt>
                <c:pt idx="569">
                  <c:v>4.9255000000000002E-3</c:v>
                </c:pt>
                <c:pt idx="570">
                  <c:v>4.9468999999999997E-3</c:v>
                </c:pt>
                <c:pt idx="571">
                  <c:v>4.9652000000000003E-3</c:v>
                </c:pt>
                <c:pt idx="572">
                  <c:v>4.9801999999999997E-3</c:v>
                </c:pt>
                <c:pt idx="573">
                  <c:v>4.9921999999999996E-3</c:v>
                </c:pt>
                <c:pt idx="574">
                  <c:v>5.0011999999999999E-3</c:v>
                </c:pt>
                <c:pt idx="575">
                  <c:v>5.0074000000000004E-3</c:v>
                </c:pt>
                <c:pt idx="576">
                  <c:v>5.0106999999999999E-3</c:v>
                </c:pt>
                <c:pt idx="577">
                  <c:v>5.0115000000000003E-3</c:v>
                </c:pt>
                <c:pt idx="578">
                  <c:v>5.0096000000000003E-3</c:v>
                </c:pt>
                <c:pt idx="579">
                  <c:v>5.0052999999999999E-3</c:v>
                </c:pt>
                <c:pt idx="580">
                  <c:v>4.9987E-3</c:v>
                </c:pt>
                <c:pt idx="581">
                  <c:v>4.9899000000000002E-3</c:v>
                </c:pt>
                <c:pt idx="582">
                  <c:v>4.9789999999999999E-3</c:v>
                </c:pt>
                <c:pt idx="583">
                  <c:v>4.9659999999999999E-3</c:v>
                </c:pt>
                <c:pt idx="584">
                  <c:v>4.9512000000000002E-3</c:v>
                </c:pt>
                <c:pt idx="585">
                  <c:v>4.9347000000000002E-3</c:v>
                </c:pt>
                <c:pt idx="586">
                  <c:v>4.9163999999999996E-3</c:v>
                </c:pt>
                <c:pt idx="587">
                  <c:v>4.8967000000000004E-3</c:v>
                </c:pt>
                <c:pt idx="588">
                  <c:v>4.8754000000000002E-3</c:v>
                </c:pt>
                <c:pt idx="589">
                  <c:v>4.8528E-3</c:v>
                </c:pt>
                <c:pt idx="590">
                  <c:v>4.829E-3</c:v>
                </c:pt>
                <c:pt idx="591">
                  <c:v>4.8041000000000004E-3</c:v>
                </c:pt>
                <c:pt idx="592">
                  <c:v>4.7780000000000001E-3</c:v>
                </c:pt>
                <c:pt idx="593">
                  <c:v>4.751E-3</c:v>
                </c:pt>
                <c:pt idx="594">
                  <c:v>4.7232000000000003E-3</c:v>
                </c:pt>
                <c:pt idx="595">
                  <c:v>4.6944999999999999E-3</c:v>
                </c:pt>
                <c:pt idx="596">
                  <c:v>4.6652000000000004E-3</c:v>
                </c:pt>
                <c:pt idx="597">
                  <c:v>4.6351999999999999E-3</c:v>
                </c:pt>
                <c:pt idx="598">
                  <c:v>4.6046000000000004E-3</c:v>
                </c:pt>
                <c:pt idx="599">
                  <c:v>4.5735999999999997E-3</c:v>
                </c:pt>
                <c:pt idx="600">
                  <c:v>4.5421000000000003E-3</c:v>
                </c:pt>
                <c:pt idx="601">
                  <c:v>4.5103000000000001E-3</c:v>
                </c:pt>
                <c:pt idx="602">
                  <c:v>4.4781999999999999E-3</c:v>
                </c:pt>
                <c:pt idx="603">
                  <c:v>4.4459E-3</c:v>
                </c:pt>
                <c:pt idx="604">
                  <c:v>4.4133999999999996E-3</c:v>
                </c:pt>
                <c:pt idx="605">
                  <c:v>4.3807000000000004E-3</c:v>
                </c:pt>
                <c:pt idx="606">
                  <c:v>4.3479E-3</c:v>
                </c:pt>
                <c:pt idx="607">
                  <c:v>4.3150999999999997E-3</c:v>
                </c:pt>
                <c:pt idx="608">
                  <c:v>4.2823000000000002E-3</c:v>
                </c:pt>
                <c:pt idx="609">
                  <c:v>4.2494999999999998E-3</c:v>
                </c:pt>
                <c:pt idx="610">
                  <c:v>4.2167000000000003E-3</c:v>
                </c:pt>
                <c:pt idx="611">
                  <c:v>4.1838999999999999E-3</c:v>
                </c:pt>
                <c:pt idx="612">
                  <c:v>4.1513000000000001E-3</c:v>
                </c:pt>
                <c:pt idx="613">
                  <c:v>4.1187999999999997E-3</c:v>
                </c:pt>
                <c:pt idx="614">
                  <c:v>4.0863000000000002E-3</c:v>
                </c:pt>
                <c:pt idx="615">
                  <c:v>4.0540999999999997E-3</c:v>
                </c:pt>
                <c:pt idx="616">
                  <c:v>4.0219000000000001E-3</c:v>
                </c:pt>
                <c:pt idx="617">
                  <c:v>3.9899000000000002E-3</c:v>
                </c:pt>
                <c:pt idx="618">
                  <c:v>3.9581E-3</c:v>
                </c:pt>
                <c:pt idx="619">
                  <c:v>3.9264E-3</c:v>
                </c:pt>
              </c:numCache>
            </c:numRef>
          </c:yVal>
          <c:smooth val="1"/>
          <c:extLst>
            <c:ext xmlns:c16="http://schemas.microsoft.com/office/drawing/2014/chart" uri="{C3380CC4-5D6E-409C-BE32-E72D297353CC}">
              <c16:uniqueId val="{00000004-00C6-46B2-92E3-3CDC1A8F00F7}"/>
            </c:ext>
          </c:extLst>
        </c:ser>
        <c:ser>
          <c:idx val="4"/>
          <c:order val="4"/>
          <c:spPr>
            <a:ln w="19050" cap="rnd">
              <a:solidFill>
                <a:schemeClr val="accent5"/>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'INIT-File+Corr'!$F$16:$F$636</c:f>
              <c:numCache>
                <c:formatCode>0.000000</c:formatCode>
                <c:ptCount val="620"/>
                <c:pt idx="0">
                  <c:v>1.5809000000000001E-3</c:v>
                </c:pt>
                <c:pt idx="1">
                  <c:v>1.5969000000000001E-3</c:v>
                </c:pt>
                <c:pt idx="2">
                  <c:v>1.6130000000000001E-3</c:v>
                </c:pt>
                <c:pt idx="3">
                  <c:v>1.6293E-3</c:v>
                </c:pt>
                <c:pt idx="4">
                  <c:v>1.6456999999999999E-3</c:v>
                </c:pt>
                <c:pt idx="5">
                  <c:v>1.6624000000000001E-3</c:v>
                </c:pt>
                <c:pt idx="6">
                  <c:v>1.6792000000000001E-3</c:v>
                </c:pt>
                <c:pt idx="7">
                  <c:v>1.6961000000000001E-3</c:v>
                </c:pt>
                <c:pt idx="8">
                  <c:v>1.7133000000000001E-3</c:v>
                </c:pt>
                <c:pt idx="9">
                  <c:v>1.7306000000000001E-3</c:v>
                </c:pt>
                <c:pt idx="10">
                  <c:v>1.748E-3</c:v>
                </c:pt>
                <c:pt idx="11">
                  <c:v>1.7657E-3</c:v>
                </c:pt>
                <c:pt idx="12">
                  <c:v>1.7834999999999999E-3</c:v>
                </c:pt>
                <c:pt idx="13">
                  <c:v>1.8014999999999999E-3</c:v>
                </c:pt>
                <c:pt idx="14">
                  <c:v>1.8196E-3</c:v>
                </c:pt>
                <c:pt idx="15">
                  <c:v>1.8377000000000001E-3</c:v>
                </c:pt>
                <c:pt idx="16">
                  <c:v>1.8557000000000001E-3</c:v>
                </c:pt>
                <c:pt idx="17">
                  <c:v>1.8732E-3</c:v>
                </c:pt>
                <c:pt idx="18">
                  <c:v>1.8898999999999999E-3</c:v>
                </c:pt>
                <c:pt idx="19">
                  <c:v>1.9051999999999999E-3</c:v>
                </c:pt>
                <c:pt idx="20">
                  <c:v>1.9184E-3</c:v>
                </c:pt>
                <c:pt idx="21">
                  <c:v>1.9288E-3</c:v>
                </c:pt>
                <c:pt idx="22">
                  <c:v>1.9352E-3</c:v>
                </c:pt>
                <c:pt idx="23">
                  <c:v>1.9365999999999999E-3</c:v>
                </c:pt>
                <c:pt idx="24">
                  <c:v>1.9318E-3</c:v>
                </c:pt>
                <c:pt idx="25">
                  <c:v>1.9197000000000001E-3</c:v>
                </c:pt>
                <c:pt idx="26">
                  <c:v>1.8990000000000001E-3</c:v>
                </c:pt>
                <c:pt idx="27">
                  <c:v>1.8688000000000001E-3</c:v>
                </c:pt>
                <c:pt idx="28">
                  <c:v>1.828E-3</c:v>
                </c:pt>
                <c:pt idx="29">
                  <c:v>1.7757999999999999E-3</c:v>
                </c:pt>
                <c:pt idx="30">
                  <c:v>1.7118000000000001E-3</c:v>
                </c:pt>
                <c:pt idx="31">
                  <c:v>1.6355E-3</c:v>
                </c:pt>
                <c:pt idx="32">
                  <c:v>1.5467E-3</c:v>
                </c:pt>
                <c:pt idx="33">
                  <c:v>1.4455E-3</c:v>
                </c:pt>
                <c:pt idx="34">
                  <c:v>1.3323E-3</c:v>
                </c:pt>
                <c:pt idx="35">
                  <c:v>1.2075E-3</c:v>
                </c:pt>
                <c:pt idx="36">
                  <c:v>1.0717999999999999E-3</c:v>
                </c:pt>
                <c:pt idx="37">
                  <c:v>9.2617999999999997E-4</c:v>
                </c:pt>
                <c:pt idx="38">
                  <c:v>7.7163999999999998E-4</c:v>
                </c:pt>
                <c:pt idx="39">
                  <c:v>6.0944000000000005E-4</c:v>
                </c:pt>
                <c:pt idx="40">
                  <c:v>4.4097E-4</c:v>
                </c:pt>
                <c:pt idx="41">
                  <c:v>2.6773999999999998E-4</c:v>
                </c:pt>
                <c:pt idx="42">
                  <c:v>9.1388E-5</c:v>
                </c:pt>
                <c:pt idx="43">
                  <c:v>-8.6335999999999995E-5</c:v>
                </c:pt>
                <c:pt idx="44">
                  <c:v>-2.6359000000000002E-4</c:v>
                </c:pt>
                <c:pt idx="45">
                  <c:v>-4.3844000000000001E-4</c:v>
                </c:pt>
                <c:pt idx="46">
                  <c:v>-6.0888999999999995E-4</c:v>
                </c:pt>
                <c:pt idx="47">
                  <c:v>-7.7284999999999995E-4</c:v>
                </c:pt>
                <c:pt idx="48">
                  <c:v>-9.2823000000000005E-4</c:v>
                </c:pt>
                <c:pt idx="49">
                  <c:v>-1.0728999999999999E-3</c:v>
                </c:pt>
                <c:pt idx="50">
                  <c:v>-1.2045999999999999E-3</c:v>
                </c:pt>
                <c:pt idx="51">
                  <c:v>-1.3213000000000001E-3</c:v>
                </c:pt>
                <c:pt idx="52">
                  <c:v>-1.4207E-3</c:v>
                </c:pt>
                <c:pt idx="53">
                  <c:v>-1.5009999999999999E-3</c:v>
                </c:pt>
                <c:pt idx="54">
                  <c:v>-1.5598999999999999E-3</c:v>
                </c:pt>
                <c:pt idx="55">
                  <c:v>-1.6065000000000001E-3</c:v>
                </c:pt>
                <c:pt idx="56">
                  <c:v>-1.5904999999999999E-3</c:v>
                </c:pt>
                <c:pt idx="57">
                  <c:v>-1.5463E-3</c:v>
                </c:pt>
                <c:pt idx="58">
                  <c:v>-1.4724E-3</c:v>
                </c:pt>
                <c:pt idx="59">
                  <c:v>-1.3676000000000001E-3</c:v>
                </c:pt>
                <c:pt idx="60">
                  <c:v>-1.2308E-3</c:v>
                </c:pt>
                <c:pt idx="61">
                  <c:v>-1.0614000000000001E-3</c:v>
                </c:pt>
                <c:pt idx="62">
                  <c:v>-8.5866000000000002E-4</c:v>
                </c:pt>
                <c:pt idx="63">
                  <c:v>-6.2242999999999999E-4</c:v>
                </c:pt>
                <c:pt idx="64">
                  <c:v>-3.5272E-4</c:v>
                </c:pt>
                <c:pt idx="65">
                  <c:v>-4.9944999999999997E-5</c:v>
                </c:pt>
                <c:pt idx="66">
                  <c:v>2.8509999999999999E-4</c:v>
                </c:pt>
                <c:pt idx="67">
                  <c:v>6.5121999999999999E-4</c:v>
                </c:pt>
                <c:pt idx="68">
                  <c:v>1.0468000000000001E-3</c:v>
                </c:pt>
                <c:pt idx="69">
                  <c:v>1.4697E-3</c:v>
                </c:pt>
                <c:pt idx="70">
                  <c:v>1.9174000000000001E-3</c:v>
                </c:pt>
                <c:pt idx="71">
                  <c:v>2.3869E-3</c:v>
                </c:pt>
                <c:pt idx="72">
                  <c:v>2.8749000000000001E-3</c:v>
                </c:pt>
                <c:pt idx="73">
                  <c:v>3.3774999999999999E-3</c:v>
                </c:pt>
                <c:pt idx="74">
                  <c:v>3.8907E-3</c:v>
                </c:pt>
                <c:pt idx="75">
                  <c:v>4.4099999999999999E-3</c:v>
                </c:pt>
                <c:pt idx="76">
                  <c:v>4.9306999999999997E-3</c:v>
                </c:pt>
                <c:pt idx="77">
                  <c:v>5.4481E-3</c:v>
                </c:pt>
                <c:pt idx="78">
                  <c:v>5.9569999999999996E-3</c:v>
                </c:pt>
                <c:pt idx="79">
                  <c:v>6.4521999999999999E-3</c:v>
                </c:pt>
                <c:pt idx="80">
                  <c:v>6.9284000000000004E-3</c:v>
                </c:pt>
                <c:pt idx="81">
                  <c:v>7.3803999999999996E-3</c:v>
                </c:pt>
                <c:pt idx="82">
                  <c:v>7.8025000000000004E-3</c:v>
                </c:pt>
                <c:pt idx="83">
                  <c:v>8.1893999999999995E-3</c:v>
                </c:pt>
                <c:pt idx="84">
                  <c:v>8.5354999999999997E-3</c:v>
                </c:pt>
                <c:pt idx="85">
                  <c:v>8.8354999999999996E-3</c:v>
                </c:pt>
                <c:pt idx="86">
                  <c:v>9.0840000000000001E-3</c:v>
                </c:pt>
                <c:pt idx="87">
                  <c:v>9.2758000000000007E-3</c:v>
                </c:pt>
                <c:pt idx="88">
                  <c:v>9.4059E-3</c:v>
                </c:pt>
                <c:pt idx="89">
                  <c:v>9.4695999999999999E-3</c:v>
                </c:pt>
                <c:pt idx="90">
                  <c:v>9.4625999999999998E-3</c:v>
                </c:pt>
                <c:pt idx="91">
                  <c:v>9.3808999999999993E-3</c:v>
                </c:pt>
                <c:pt idx="92">
                  <c:v>9.2210999999999994E-3</c:v>
                </c:pt>
                <c:pt idx="93">
                  <c:v>8.9803999999999995E-3</c:v>
                </c:pt>
                <c:pt idx="94">
                  <c:v>8.6566000000000004E-3</c:v>
                </c:pt>
                <c:pt idx="95">
                  <c:v>8.2482000000000007E-3</c:v>
                </c:pt>
                <c:pt idx="96">
                  <c:v>7.7546999999999998E-3</c:v>
                </c:pt>
                <c:pt idx="97">
                  <c:v>7.1761999999999998E-3</c:v>
                </c:pt>
                <c:pt idx="98">
                  <c:v>6.5139999999999998E-3</c:v>
                </c:pt>
                <c:pt idx="99">
                  <c:v>5.77E-3</c:v>
                </c:pt>
                <c:pt idx="100">
                  <c:v>4.9473E-3</c:v>
                </c:pt>
                <c:pt idx="101">
                  <c:v>4.0496999999999998E-3</c:v>
                </c:pt>
                <c:pt idx="102">
                  <c:v>3.0820000000000001E-3</c:v>
                </c:pt>
                <c:pt idx="103">
                  <c:v>2.0498000000000001E-3</c:v>
                </c:pt>
                <c:pt idx="104">
                  <c:v>9.5958000000000002E-4</c:v>
                </c:pt>
                <c:pt idx="105">
                  <c:v>-1.8149999999999999E-4</c:v>
                </c:pt>
                <c:pt idx="106">
                  <c:v>-1.3656E-3</c:v>
                </c:pt>
                <c:pt idx="107">
                  <c:v>-2.5842999999999999E-3</c:v>
                </c:pt>
                <c:pt idx="108">
                  <c:v>-3.8287E-3</c:v>
                </c:pt>
                <c:pt idx="109">
                  <c:v>-5.0895000000000003E-3</c:v>
                </c:pt>
                <c:pt idx="110">
                  <c:v>-6.3569000000000004E-3</c:v>
                </c:pt>
                <c:pt idx="111">
                  <c:v>-7.6210999999999996E-3</c:v>
                </c:pt>
                <c:pt idx="112">
                  <c:v>-8.8719000000000003E-3</c:v>
                </c:pt>
                <c:pt idx="113">
                  <c:v>-1.0099E-2</c:v>
                </c:pt>
                <c:pt idx="114">
                  <c:v>-1.1292999999999999E-2</c:v>
                </c:pt>
                <c:pt idx="115">
                  <c:v>-1.2442999999999999E-2</c:v>
                </c:pt>
                <c:pt idx="116">
                  <c:v>-1.3539000000000001E-2</c:v>
                </c:pt>
                <c:pt idx="117">
                  <c:v>-1.4571000000000001E-2</c:v>
                </c:pt>
                <c:pt idx="118">
                  <c:v>-1.5531E-2</c:v>
                </c:pt>
                <c:pt idx="119">
                  <c:v>-1.6409E-2</c:v>
                </c:pt>
                <c:pt idx="120">
                  <c:v>-1.7195999999999999E-2</c:v>
                </c:pt>
                <c:pt idx="121">
                  <c:v>-1.7883E-2</c:v>
                </c:pt>
                <c:pt idx="122">
                  <c:v>-1.8464000000000001E-2</c:v>
                </c:pt>
                <c:pt idx="123">
                  <c:v>-1.8929999999999999E-2</c:v>
                </c:pt>
                <c:pt idx="124">
                  <c:v>-1.9272999999999998E-2</c:v>
                </c:pt>
                <c:pt idx="125">
                  <c:v>-1.9487999999999998E-2</c:v>
                </c:pt>
                <c:pt idx="126">
                  <c:v>-1.9567000000000001E-2</c:v>
                </c:pt>
                <c:pt idx="127">
                  <c:v>-1.9504000000000001E-2</c:v>
                </c:pt>
                <c:pt idx="128">
                  <c:v>-1.9293000000000001E-2</c:v>
                </c:pt>
                <c:pt idx="129">
                  <c:v>-1.8926999999999999E-2</c:v>
                </c:pt>
                <c:pt idx="130">
                  <c:v>-1.8402999999999999E-2</c:v>
                </c:pt>
                <c:pt idx="131">
                  <c:v>-1.7714000000000001E-2</c:v>
                </c:pt>
                <c:pt idx="132">
                  <c:v>-1.6857E-2</c:v>
                </c:pt>
                <c:pt idx="133">
                  <c:v>-1.5826E-2</c:v>
                </c:pt>
                <c:pt idx="134">
                  <c:v>-1.4619E-2</c:v>
                </c:pt>
                <c:pt idx="135">
                  <c:v>-1.3233E-2</c:v>
                </c:pt>
                <c:pt idx="136">
                  <c:v>-1.1667E-2</c:v>
                </c:pt>
                <c:pt idx="137">
                  <c:v>-9.9211999999999998E-3</c:v>
                </c:pt>
                <c:pt idx="138">
                  <c:v>-7.9959000000000002E-3</c:v>
                </c:pt>
                <c:pt idx="139">
                  <c:v>-5.8942999999999999E-3</c:v>
                </c:pt>
                <c:pt idx="140">
                  <c:v>-3.6210000000000001E-3</c:v>
                </c:pt>
                <c:pt idx="141">
                  <c:v>-1.1823000000000001E-3</c:v>
                </c:pt>
                <c:pt idx="142">
                  <c:v>1.4134E-3</c:v>
                </c:pt>
                <c:pt idx="143">
                  <c:v>4.1558000000000003E-3</c:v>
                </c:pt>
                <c:pt idx="144">
                  <c:v>7.0327999999999996E-3</c:v>
                </c:pt>
                <c:pt idx="145">
                  <c:v>1.0030000000000001E-2</c:v>
                </c:pt>
                <c:pt idx="146">
                  <c:v>1.3132E-2</c:v>
                </c:pt>
                <c:pt idx="147">
                  <c:v>1.6322E-2</c:v>
                </c:pt>
                <c:pt idx="148">
                  <c:v>1.958E-2</c:v>
                </c:pt>
                <c:pt idx="149">
                  <c:v>2.2886E-2</c:v>
                </c:pt>
                <c:pt idx="150">
                  <c:v>2.6221000000000001E-2</c:v>
                </c:pt>
                <c:pt idx="151">
                  <c:v>2.9562999999999999E-2</c:v>
                </c:pt>
                <c:pt idx="152">
                  <c:v>3.2890999999999997E-2</c:v>
                </c:pt>
                <c:pt idx="153">
                  <c:v>3.6183E-2</c:v>
                </c:pt>
                <c:pt idx="154">
                  <c:v>3.9419000000000003E-2</c:v>
                </c:pt>
                <c:pt idx="155">
                  <c:v>4.2577999999999998E-2</c:v>
                </c:pt>
                <c:pt idx="156">
                  <c:v>4.5642000000000002E-2</c:v>
                </c:pt>
                <c:pt idx="157">
                  <c:v>4.8591000000000002E-2</c:v>
                </c:pt>
                <c:pt idx="158">
                  <c:v>5.1408000000000002E-2</c:v>
                </c:pt>
                <c:pt idx="159">
                  <c:v>5.4078000000000001E-2</c:v>
                </c:pt>
                <c:pt idx="160">
                  <c:v>5.6585000000000003E-2</c:v>
                </c:pt>
                <c:pt idx="161">
                  <c:v>5.8916999999999997E-2</c:v>
                </c:pt>
                <c:pt idx="162">
                  <c:v>6.1060999999999997E-2</c:v>
                </c:pt>
                <c:pt idx="163">
                  <c:v>6.3006999999999994E-2</c:v>
                </c:pt>
                <c:pt idx="164">
                  <c:v>6.4745999999999998E-2</c:v>
                </c:pt>
                <c:pt idx="165">
                  <c:v>6.6269999999999996E-2</c:v>
                </c:pt>
                <c:pt idx="166">
                  <c:v>6.7572999999999994E-2</c:v>
                </c:pt>
                <c:pt idx="167">
                  <c:v>6.8649000000000002E-2</c:v>
                </c:pt>
                <c:pt idx="168">
                  <c:v>6.9496000000000002E-2</c:v>
                </c:pt>
                <c:pt idx="169">
                  <c:v>7.0109000000000005E-2</c:v>
                </c:pt>
                <c:pt idx="170">
                  <c:v>7.0487999999999995E-2</c:v>
                </c:pt>
                <c:pt idx="171">
                  <c:v>7.0632E-2</c:v>
                </c:pt>
                <c:pt idx="172">
                  <c:v>7.0541000000000006E-2</c:v>
                </c:pt>
                <c:pt idx="173">
                  <c:v>7.0218000000000003E-2</c:v>
                </c:pt>
                <c:pt idx="174">
                  <c:v>6.9664000000000004E-2</c:v>
                </c:pt>
                <c:pt idx="175">
                  <c:v>6.8885000000000002E-2</c:v>
                </c:pt>
                <c:pt idx="176">
                  <c:v>6.7882999999999999E-2</c:v>
                </c:pt>
                <c:pt idx="177">
                  <c:v>6.6665000000000002E-2</c:v>
                </c:pt>
                <c:pt idx="178">
                  <c:v>6.5238000000000004E-2</c:v>
                </c:pt>
                <c:pt idx="179">
                  <c:v>6.3607999999999998E-2</c:v>
                </c:pt>
                <c:pt idx="180">
                  <c:v>6.1782999999999998E-2</c:v>
                </c:pt>
                <c:pt idx="181">
                  <c:v>5.9773E-2</c:v>
                </c:pt>
                <c:pt idx="182">
                  <c:v>5.7586999999999999E-2</c:v>
                </c:pt>
                <c:pt idx="183">
                  <c:v>5.5234999999999999E-2</c:v>
                </c:pt>
                <c:pt idx="184">
                  <c:v>5.2728999999999998E-2</c:v>
                </c:pt>
                <c:pt idx="185">
                  <c:v>5.0081000000000001E-2</c:v>
                </c:pt>
                <c:pt idx="186">
                  <c:v>4.7301000000000003E-2</c:v>
                </c:pt>
                <c:pt idx="187">
                  <c:v>4.4403999999999999E-2</c:v>
                </c:pt>
                <c:pt idx="188">
                  <c:v>4.1403000000000002E-2</c:v>
                </c:pt>
                <c:pt idx="189">
                  <c:v>3.8310999999999998E-2</c:v>
                </c:pt>
                <c:pt idx="190">
                  <c:v>3.5143000000000001E-2</c:v>
                </c:pt>
                <c:pt idx="191">
                  <c:v>3.1912999999999997E-2</c:v>
                </c:pt>
                <c:pt idx="192">
                  <c:v>2.8636999999999999E-2</c:v>
                </c:pt>
                <c:pt idx="193">
                  <c:v>2.5329000000000001E-2</c:v>
                </c:pt>
                <c:pt idx="194">
                  <c:v>2.2005E-2</c:v>
                </c:pt>
                <c:pt idx="195">
                  <c:v>1.8679999999999999E-2</c:v>
                </c:pt>
                <c:pt idx="196">
                  <c:v>1.5370999999999999E-2</c:v>
                </c:pt>
                <c:pt idx="197">
                  <c:v>1.2093E-2</c:v>
                </c:pt>
                <c:pt idx="198">
                  <c:v>8.8613000000000008E-3</c:v>
                </c:pt>
                <c:pt idx="199">
                  <c:v>5.6921000000000003E-3</c:v>
                </c:pt>
                <c:pt idx="200">
                  <c:v>2.6005999999999998E-3</c:v>
                </c:pt>
                <c:pt idx="201">
                  <c:v>-3.9793000000000001E-4</c:v>
                </c:pt>
                <c:pt idx="202">
                  <c:v>-3.2889E-3</c:v>
                </c:pt>
                <c:pt idx="203">
                  <c:v>-6.058E-3</c:v>
                </c:pt>
                <c:pt idx="204">
                  <c:v>-8.6917000000000001E-3</c:v>
                </c:pt>
                <c:pt idx="205">
                  <c:v>-1.1176999999999999E-2</c:v>
                </c:pt>
                <c:pt idx="206">
                  <c:v>-1.3502E-2</c:v>
                </c:pt>
                <c:pt idx="207">
                  <c:v>-1.5657000000000001E-2</c:v>
                </c:pt>
                <c:pt idx="208">
                  <c:v>-1.7631000000000001E-2</c:v>
                </c:pt>
                <c:pt idx="209">
                  <c:v>-1.9415999999999999E-2</c:v>
                </c:pt>
                <c:pt idx="210">
                  <c:v>-2.1007000000000001E-2</c:v>
                </c:pt>
                <c:pt idx="211">
                  <c:v>-2.2398000000000001E-2</c:v>
                </c:pt>
                <c:pt idx="212">
                  <c:v>-2.3588000000000001E-2</c:v>
                </c:pt>
                <c:pt idx="213">
                  <c:v>-2.4577000000000002E-2</c:v>
                </c:pt>
                <c:pt idx="214">
                  <c:v>-2.5364999999999999E-2</c:v>
                </c:pt>
                <c:pt idx="215">
                  <c:v>-2.5957000000000001E-2</c:v>
                </c:pt>
                <c:pt idx="216">
                  <c:v>-2.6359E-2</c:v>
                </c:pt>
                <c:pt idx="217">
                  <c:v>-2.6577E-2</c:v>
                </c:pt>
                <c:pt idx="218">
                  <c:v>-2.6619E-2</c:v>
                </c:pt>
                <c:pt idx="219">
                  <c:v>-2.6495000000000001E-2</c:v>
                </c:pt>
                <c:pt idx="220">
                  <c:v>-2.6214999999999999E-2</c:v>
                </c:pt>
                <c:pt idx="221">
                  <c:v>-2.5787999999999998E-2</c:v>
                </c:pt>
                <c:pt idx="222">
                  <c:v>-2.5225000000000001E-2</c:v>
                </c:pt>
                <c:pt idx="223">
                  <c:v>-2.4538000000000001E-2</c:v>
                </c:pt>
                <c:pt idx="224">
                  <c:v>-2.3736E-2</c:v>
                </c:pt>
                <c:pt idx="225">
                  <c:v>-2.2831000000000001E-2</c:v>
                </c:pt>
                <c:pt idx="226">
                  <c:v>-2.1833999999999999E-2</c:v>
                </c:pt>
                <c:pt idx="227">
                  <c:v>-2.0754000000000002E-2</c:v>
                </c:pt>
                <c:pt idx="228">
                  <c:v>-1.9604E-2</c:v>
                </c:pt>
                <c:pt idx="229">
                  <c:v>-1.8391999999999999E-2</c:v>
                </c:pt>
                <c:pt idx="230">
                  <c:v>-1.7128999999999998E-2</c:v>
                </c:pt>
                <c:pt idx="231">
                  <c:v>-1.5824999999999999E-2</c:v>
                </c:pt>
                <c:pt idx="232">
                  <c:v>-1.4489E-2</c:v>
                </c:pt>
                <c:pt idx="233">
                  <c:v>-1.3129999999999999E-2</c:v>
                </c:pt>
                <c:pt idx="234">
                  <c:v>-1.1757E-2</c:v>
                </c:pt>
                <c:pt idx="235">
                  <c:v>-1.0378E-2</c:v>
                </c:pt>
                <c:pt idx="236">
                  <c:v>-9.0001999999999999E-3</c:v>
                </c:pt>
                <c:pt idx="237">
                  <c:v>-7.6309999999999998E-3</c:v>
                </c:pt>
                <c:pt idx="238">
                  <c:v>-6.2773000000000004E-3</c:v>
                </c:pt>
                <c:pt idx="239">
                  <c:v>-4.9449000000000003E-3</c:v>
                </c:pt>
                <c:pt idx="240">
                  <c:v>-3.6396000000000002E-3</c:v>
                </c:pt>
                <c:pt idx="241">
                  <c:v>-2.3663E-3</c:v>
                </c:pt>
                <c:pt idx="242">
                  <c:v>-1.1295999999999999E-3</c:v>
                </c:pt>
                <c:pt idx="243">
                  <c:v>6.6495999999999995E-5</c:v>
                </c:pt>
                <c:pt idx="244">
                  <c:v>1.2183999999999999E-3</c:v>
                </c:pt>
                <c:pt idx="245">
                  <c:v>2.3230999999999998E-3</c:v>
                </c:pt>
                <c:pt idx="246">
                  <c:v>3.3774999999999999E-3</c:v>
                </c:pt>
                <c:pt idx="247">
                  <c:v>4.3794999999999997E-3</c:v>
                </c:pt>
                <c:pt idx="248">
                  <c:v>5.3267999999999996E-3</c:v>
                </c:pt>
                <c:pt idx="249">
                  <c:v>6.2176999999999996E-3</c:v>
                </c:pt>
                <c:pt idx="250">
                  <c:v>7.0508000000000003E-3</c:v>
                </c:pt>
                <c:pt idx="251">
                  <c:v>7.8247999999999998E-3</c:v>
                </c:pt>
                <c:pt idx="252">
                  <c:v>8.5391000000000009E-3</c:v>
                </c:pt>
                <c:pt idx="253">
                  <c:v>9.1930999999999992E-3</c:v>
                </c:pt>
                <c:pt idx="254">
                  <c:v>9.7865000000000001E-3</c:v>
                </c:pt>
                <c:pt idx="255">
                  <c:v>1.0319E-2</c:v>
                </c:pt>
                <c:pt idx="256">
                  <c:v>1.0792E-2</c:v>
                </c:pt>
                <c:pt idx="257">
                  <c:v>1.1206000000000001E-2</c:v>
                </c:pt>
                <c:pt idx="258">
                  <c:v>1.1560000000000001E-2</c:v>
                </c:pt>
                <c:pt idx="259">
                  <c:v>1.1856999999999999E-2</c:v>
                </c:pt>
                <c:pt idx="260">
                  <c:v>1.2097E-2</c:v>
                </c:pt>
                <c:pt idx="261">
                  <c:v>1.2283000000000001E-2</c:v>
                </c:pt>
                <c:pt idx="262">
                  <c:v>1.2414E-2</c:v>
                </c:pt>
                <c:pt idx="263">
                  <c:v>1.2494E-2</c:v>
                </c:pt>
                <c:pt idx="264">
                  <c:v>1.2522E-2</c:v>
                </c:pt>
                <c:pt idx="265">
                  <c:v>1.2503E-2</c:v>
                </c:pt>
                <c:pt idx="266">
                  <c:v>1.2435999999999999E-2</c:v>
                </c:pt>
                <c:pt idx="267">
                  <c:v>1.2324E-2</c:v>
                </c:pt>
                <c:pt idx="268">
                  <c:v>1.2168999999999999E-2</c:v>
                </c:pt>
                <c:pt idx="269">
                  <c:v>1.1972999999999999E-2</c:v>
                </c:pt>
                <c:pt idx="270">
                  <c:v>1.1738999999999999E-2</c:v>
                </c:pt>
                <c:pt idx="271">
                  <c:v>1.1468000000000001E-2</c:v>
                </c:pt>
                <c:pt idx="272">
                  <c:v>1.1162E-2</c:v>
                </c:pt>
                <c:pt idx="273">
                  <c:v>1.0824E-2</c:v>
                </c:pt>
                <c:pt idx="274">
                  <c:v>1.0456999999999999E-2</c:v>
                </c:pt>
                <c:pt idx="275">
                  <c:v>1.0063000000000001E-2</c:v>
                </c:pt>
                <c:pt idx="276">
                  <c:v>9.6433999999999999E-3</c:v>
                </c:pt>
                <c:pt idx="277">
                  <c:v>9.2023000000000001E-3</c:v>
                </c:pt>
                <c:pt idx="278">
                  <c:v>8.7416999999999998E-3</c:v>
                </c:pt>
                <c:pt idx="279">
                  <c:v>8.2646000000000004E-3</c:v>
                </c:pt>
                <c:pt idx="280">
                  <c:v>7.7736000000000003E-3</c:v>
                </c:pt>
                <c:pt idx="281">
                  <c:v>7.2715999999999996E-3</c:v>
                </c:pt>
                <c:pt idx="282">
                  <c:v>6.7613999999999999E-3</c:v>
                </c:pt>
                <c:pt idx="283">
                  <c:v>6.2456999999999999E-3</c:v>
                </c:pt>
                <c:pt idx="284">
                  <c:v>5.7270999999999997E-3</c:v>
                </c:pt>
                <c:pt idx="285">
                  <c:v>5.208E-3</c:v>
                </c:pt>
                <c:pt idx="286">
                  <c:v>4.6902999999999997E-3</c:v>
                </c:pt>
                <c:pt idx="287">
                  <c:v>4.1758999999999998E-3</c:v>
                </c:pt>
                <c:pt idx="288">
                  <c:v>3.6660999999999998E-3</c:v>
                </c:pt>
                <c:pt idx="289">
                  <c:v>3.1622999999999998E-3</c:v>
                </c:pt>
                <c:pt idx="290">
                  <c:v>2.6654000000000001E-3</c:v>
                </c:pt>
                <c:pt idx="291">
                  <c:v>2.176E-3</c:v>
                </c:pt>
                <c:pt idx="292">
                  <c:v>1.6949000000000001E-3</c:v>
                </c:pt>
                <c:pt idx="293">
                  <c:v>1.2225000000000001E-3</c:v>
                </c:pt>
                <c:pt idx="294">
                  <c:v>7.5924E-4</c:v>
                </c:pt>
                <c:pt idx="295">
                  <c:v>3.054E-4</c:v>
                </c:pt>
                <c:pt idx="296">
                  <c:v>-1.3872999999999999E-4</c:v>
                </c:pt>
                <c:pt idx="297">
                  <c:v>-5.7293999999999997E-4</c:v>
                </c:pt>
                <c:pt idx="298">
                  <c:v>-9.9707000000000007E-4</c:v>
                </c:pt>
                <c:pt idx="299">
                  <c:v>-1.4109999999999999E-3</c:v>
                </c:pt>
                <c:pt idx="300">
                  <c:v>-1.8144999999999999E-3</c:v>
                </c:pt>
                <c:pt idx="301">
                  <c:v>-2.2076000000000001E-3</c:v>
                </c:pt>
                <c:pt idx="302">
                  <c:v>-2.5902E-3</c:v>
                </c:pt>
                <c:pt idx="303">
                  <c:v>-2.9621999999999999E-3</c:v>
                </c:pt>
                <c:pt idx="304">
                  <c:v>-3.3235999999999999E-3</c:v>
                </c:pt>
                <c:pt idx="305">
                  <c:v>-3.6743000000000001E-3</c:v>
                </c:pt>
                <c:pt idx="306">
                  <c:v>-4.0144000000000004E-3</c:v>
                </c:pt>
                <c:pt idx="307">
                  <c:v>-4.3438000000000001E-3</c:v>
                </c:pt>
                <c:pt idx="308">
                  <c:v>-4.6626000000000003E-3</c:v>
                </c:pt>
                <c:pt idx="309">
                  <c:v>-4.9709000000000003E-3</c:v>
                </c:pt>
                <c:pt idx="310">
                  <c:v>-5.2684999999999997E-3</c:v>
                </c:pt>
                <c:pt idx="311">
                  <c:v>-5.5557000000000002E-3</c:v>
                </c:pt>
                <c:pt idx="312">
                  <c:v>-5.8325E-3</c:v>
                </c:pt>
                <c:pt idx="313">
                  <c:v>-6.0990000000000003E-3</c:v>
                </c:pt>
                <c:pt idx="314">
                  <c:v>-6.3553000000000004E-3</c:v>
                </c:pt>
                <c:pt idx="315">
                  <c:v>-6.6014000000000003E-3</c:v>
                </c:pt>
                <c:pt idx="316">
                  <c:v>-6.8376000000000001E-3</c:v>
                </c:pt>
                <c:pt idx="317">
                  <c:v>-7.064E-3</c:v>
                </c:pt>
                <c:pt idx="318">
                  <c:v>-7.2807000000000002E-3</c:v>
                </c:pt>
                <c:pt idx="319">
                  <c:v>-7.4878000000000002E-3</c:v>
                </c:pt>
                <c:pt idx="320">
                  <c:v>-7.6857000000000002E-3</c:v>
                </c:pt>
                <c:pt idx="321">
                  <c:v>-7.8744000000000001E-3</c:v>
                </c:pt>
                <c:pt idx="322">
                  <c:v>-8.0541999999999992E-3</c:v>
                </c:pt>
                <c:pt idx="323">
                  <c:v>-8.2252999999999996E-3</c:v>
                </c:pt>
                <c:pt idx="324">
                  <c:v>-8.3879999999999996E-3</c:v>
                </c:pt>
                <c:pt idx="325">
                  <c:v>-8.5425999999999992E-3</c:v>
                </c:pt>
                <c:pt idx="326">
                  <c:v>-8.6891999999999994E-3</c:v>
                </c:pt>
                <c:pt idx="327">
                  <c:v>-8.8283000000000007E-3</c:v>
                </c:pt>
                <c:pt idx="328">
                  <c:v>-8.9601000000000004E-3</c:v>
                </c:pt>
                <c:pt idx="329">
                  <c:v>-9.0848999999999999E-3</c:v>
                </c:pt>
                <c:pt idx="330">
                  <c:v>-9.2031000000000005E-3</c:v>
                </c:pt>
                <c:pt idx="331">
                  <c:v>-9.3150000000000004E-3</c:v>
                </c:pt>
                <c:pt idx="332">
                  <c:v>-9.4210000000000006E-3</c:v>
                </c:pt>
                <c:pt idx="333">
                  <c:v>-9.5215000000000004E-3</c:v>
                </c:pt>
                <c:pt idx="334">
                  <c:v>-9.6168E-3</c:v>
                </c:pt>
                <c:pt idx="335">
                  <c:v>-9.7075000000000009E-3</c:v>
                </c:pt>
                <c:pt idx="336">
                  <c:v>-9.7938999999999995E-3</c:v>
                </c:pt>
                <c:pt idx="337">
                  <c:v>-9.8764999999999999E-3</c:v>
                </c:pt>
                <c:pt idx="338">
                  <c:v>-9.9556999999999996E-3</c:v>
                </c:pt>
                <c:pt idx="339">
                  <c:v>-1.0031999999999999E-2</c:v>
                </c:pt>
                <c:pt idx="340">
                  <c:v>-1.0106E-2</c:v>
                </c:pt>
                <c:pt idx="341">
                  <c:v>-1.0178E-2</c:v>
                </c:pt>
                <c:pt idx="342">
                  <c:v>-1.0248999999999999E-2</c:v>
                </c:pt>
                <c:pt idx="343">
                  <c:v>-1.0318000000000001E-2</c:v>
                </c:pt>
                <c:pt idx="344">
                  <c:v>-1.0387E-2</c:v>
                </c:pt>
                <c:pt idx="345">
                  <c:v>-1.0456999999999999E-2</c:v>
                </c:pt>
                <c:pt idx="346">
                  <c:v>-1.0526000000000001E-2</c:v>
                </c:pt>
                <c:pt idx="347">
                  <c:v>-1.0596E-2</c:v>
                </c:pt>
                <c:pt idx="348">
                  <c:v>-1.0668E-2</c:v>
                </c:pt>
                <c:pt idx="349">
                  <c:v>-1.0741000000000001E-2</c:v>
                </c:pt>
                <c:pt idx="350">
                  <c:v>-1.0815999999999999E-2</c:v>
                </c:pt>
                <c:pt idx="351">
                  <c:v>-1.0893E-2</c:v>
                </c:pt>
                <c:pt idx="352">
                  <c:v>-1.0972000000000001E-2</c:v>
                </c:pt>
                <c:pt idx="353">
                  <c:v>-1.1054E-2</c:v>
                </c:pt>
                <c:pt idx="354">
                  <c:v>-1.1139E-2</c:v>
                </c:pt>
                <c:pt idx="355">
                  <c:v>-1.1226E-2</c:v>
                </c:pt>
                <c:pt idx="356">
                  <c:v>-1.1316E-2</c:v>
                </c:pt>
                <c:pt idx="357">
                  <c:v>-1.1408E-2</c:v>
                </c:pt>
                <c:pt idx="358">
                  <c:v>-1.1502999999999999E-2</c:v>
                </c:pt>
                <c:pt idx="359">
                  <c:v>-1.1599999999999999E-2</c:v>
                </c:pt>
                <c:pt idx="360">
                  <c:v>-1.1698999999999999E-2</c:v>
                </c:pt>
                <c:pt idx="361">
                  <c:v>-1.1801000000000001E-2</c:v>
                </c:pt>
                <c:pt idx="362">
                  <c:v>-1.1903E-2</c:v>
                </c:pt>
                <c:pt idx="363">
                  <c:v>-1.2007E-2</c:v>
                </c:pt>
                <c:pt idx="364">
                  <c:v>-1.2112E-2</c:v>
                </c:pt>
                <c:pt idx="365">
                  <c:v>-1.2217E-2</c:v>
                </c:pt>
                <c:pt idx="366">
                  <c:v>-1.2322E-2</c:v>
                </c:pt>
                <c:pt idx="367">
                  <c:v>-1.2426E-2</c:v>
                </c:pt>
                <c:pt idx="368">
                  <c:v>-1.2529E-2</c:v>
                </c:pt>
                <c:pt idx="369">
                  <c:v>-1.2631E-2</c:v>
                </c:pt>
                <c:pt idx="370">
                  <c:v>-1.2730999999999999E-2</c:v>
                </c:pt>
                <c:pt idx="371">
                  <c:v>-1.2829E-2</c:v>
                </c:pt>
                <c:pt idx="372">
                  <c:v>-1.2923E-2</c:v>
                </c:pt>
                <c:pt idx="373">
                  <c:v>-1.3015000000000001E-2</c:v>
                </c:pt>
                <c:pt idx="374">
                  <c:v>-1.3102000000000001E-2</c:v>
                </c:pt>
                <c:pt idx="375">
                  <c:v>-1.3185000000000001E-2</c:v>
                </c:pt>
                <c:pt idx="376">
                  <c:v>-1.3263E-2</c:v>
                </c:pt>
                <c:pt idx="377">
                  <c:v>-1.3336000000000001E-2</c:v>
                </c:pt>
                <c:pt idx="378">
                  <c:v>-1.3403999999999999E-2</c:v>
                </c:pt>
                <c:pt idx="379">
                  <c:v>-1.3465E-2</c:v>
                </c:pt>
                <c:pt idx="380">
                  <c:v>-1.3521E-2</c:v>
                </c:pt>
                <c:pt idx="381">
                  <c:v>-1.3568999999999999E-2</c:v>
                </c:pt>
                <c:pt idx="382">
                  <c:v>-1.3611E-2</c:v>
                </c:pt>
                <c:pt idx="383">
                  <c:v>-1.3644999999999999E-2</c:v>
                </c:pt>
                <c:pt idx="384">
                  <c:v>-1.3672E-2</c:v>
                </c:pt>
                <c:pt idx="385">
                  <c:v>-1.3691999999999999E-2</c:v>
                </c:pt>
                <c:pt idx="386">
                  <c:v>-1.3703999999999999E-2</c:v>
                </c:pt>
                <c:pt idx="387">
                  <c:v>-1.3708E-2</c:v>
                </c:pt>
                <c:pt idx="388">
                  <c:v>-1.3705E-2</c:v>
                </c:pt>
                <c:pt idx="389">
                  <c:v>-1.3693E-2</c:v>
                </c:pt>
                <c:pt idx="390">
                  <c:v>-1.3675E-2</c:v>
                </c:pt>
                <c:pt idx="391">
                  <c:v>-1.3648E-2</c:v>
                </c:pt>
                <c:pt idx="392">
                  <c:v>-1.3613999999999999E-2</c:v>
                </c:pt>
                <c:pt idx="393">
                  <c:v>-1.3572000000000001E-2</c:v>
                </c:pt>
                <c:pt idx="394">
                  <c:v>-1.3524E-2</c:v>
                </c:pt>
                <c:pt idx="395">
                  <c:v>-1.3468000000000001E-2</c:v>
                </c:pt>
                <c:pt idx="396">
                  <c:v>-1.3405E-2</c:v>
                </c:pt>
                <c:pt idx="397">
                  <c:v>-1.3336000000000001E-2</c:v>
                </c:pt>
                <c:pt idx="398">
                  <c:v>-1.3259999999999999E-2</c:v>
                </c:pt>
                <c:pt idx="399">
                  <c:v>-1.3178E-2</c:v>
                </c:pt>
                <c:pt idx="400">
                  <c:v>-1.3089999999999999E-2</c:v>
                </c:pt>
                <c:pt idx="401">
                  <c:v>-1.2997E-2</c:v>
                </c:pt>
                <c:pt idx="402">
                  <c:v>-1.2897E-2</c:v>
                </c:pt>
                <c:pt idx="403">
                  <c:v>-1.2793000000000001E-2</c:v>
                </c:pt>
                <c:pt idx="404">
                  <c:v>-1.2683E-2</c:v>
                </c:pt>
                <c:pt idx="405">
                  <c:v>-1.2567999999999999E-2</c:v>
                </c:pt>
                <c:pt idx="406">
                  <c:v>-1.2449E-2</c:v>
                </c:pt>
                <c:pt idx="407">
                  <c:v>-1.2326E-2</c:v>
                </c:pt>
                <c:pt idx="408">
                  <c:v>-1.2198000000000001E-2</c:v>
                </c:pt>
                <c:pt idx="409">
                  <c:v>-1.2067E-2</c:v>
                </c:pt>
                <c:pt idx="410">
                  <c:v>-1.1931000000000001E-2</c:v>
                </c:pt>
                <c:pt idx="411">
                  <c:v>-1.1793E-2</c:v>
                </c:pt>
                <c:pt idx="412">
                  <c:v>-1.1651E-2</c:v>
                </c:pt>
                <c:pt idx="413">
                  <c:v>-1.1506000000000001E-2</c:v>
                </c:pt>
                <c:pt idx="414">
                  <c:v>-1.1358E-2</c:v>
                </c:pt>
                <c:pt idx="415">
                  <c:v>-1.1207999999999999E-2</c:v>
                </c:pt>
                <c:pt idx="416">
                  <c:v>-1.1055000000000001E-2</c:v>
                </c:pt>
                <c:pt idx="417">
                  <c:v>-1.09E-2</c:v>
                </c:pt>
                <c:pt idx="418">
                  <c:v>-1.0743000000000001E-2</c:v>
                </c:pt>
                <c:pt idx="419">
                  <c:v>-1.0585000000000001E-2</c:v>
                </c:pt>
                <c:pt idx="420">
                  <c:v>-1.0423999999999999E-2</c:v>
                </c:pt>
                <c:pt idx="421">
                  <c:v>-1.0263E-2</c:v>
                </c:pt>
                <c:pt idx="422">
                  <c:v>-1.01E-2</c:v>
                </c:pt>
                <c:pt idx="423">
                  <c:v>-9.9352999999999993E-3</c:v>
                </c:pt>
                <c:pt idx="424">
                  <c:v>-9.7701999999999997E-3</c:v>
                </c:pt>
                <c:pt idx="425">
                  <c:v>-9.6042999999999996E-3</c:v>
                </c:pt>
                <c:pt idx="426">
                  <c:v>-9.4377999999999997E-3</c:v>
                </c:pt>
                <c:pt idx="427">
                  <c:v>-9.2706999999999998E-3</c:v>
                </c:pt>
                <c:pt idx="428">
                  <c:v>-9.1032999999999999E-3</c:v>
                </c:pt>
                <c:pt idx="429">
                  <c:v>-8.9356999999999995E-3</c:v>
                </c:pt>
                <c:pt idx="430">
                  <c:v>-8.7677999999999992E-3</c:v>
                </c:pt>
                <c:pt idx="431">
                  <c:v>-8.6E-3</c:v>
                </c:pt>
                <c:pt idx="432">
                  <c:v>-8.4322000000000008E-3</c:v>
                </c:pt>
                <c:pt idx="433">
                  <c:v>-8.2646000000000004E-3</c:v>
                </c:pt>
                <c:pt idx="434">
                  <c:v>-8.0973E-3</c:v>
                </c:pt>
                <c:pt idx="435">
                  <c:v>-7.9302000000000001E-3</c:v>
                </c:pt>
                <c:pt idx="436">
                  <c:v>-7.7635999999999998E-3</c:v>
                </c:pt>
                <c:pt idx="437">
                  <c:v>-7.5973999999999998E-3</c:v>
                </c:pt>
                <c:pt idx="438">
                  <c:v>-7.4317999999999997E-3</c:v>
                </c:pt>
                <c:pt idx="439">
                  <c:v>-7.2667000000000001E-3</c:v>
                </c:pt>
                <c:pt idx="440">
                  <c:v>-7.1022999999999998E-3</c:v>
                </c:pt>
                <c:pt idx="441">
                  <c:v>-6.9385999999999996E-3</c:v>
                </c:pt>
                <c:pt idx="442">
                  <c:v>-6.7757E-3</c:v>
                </c:pt>
                <c:pt idx="443">
                  <c:v>-6.6135999999999999E-3</c:v>
                </c:pt>
                <c:pt idx="444">
                  <c:v>-6.4523000000000002E-3</c:v>
                </c:pt>
                <c:pt idx="445">
                  <c:v>-6.2919999999999998E-3</c:v>
                </c:pt>
                <c:pt idx="446">
                  <c:v>-6.1326999999999996E-3</c:v>
                </c:pt>
                <c:pt idx="447">
                  <c:v>-5.9744000000000004E-3</c:v>
                </c:pt>
                <c:pt idx="448">
                  <c:v>-5.8171999999999998E-3</c:v>
                </c:pt>
                <c:pt idx="449">
                  <c:v>-5.6611999999999999E-3</c:v>
                </c:pt>
                <c:pt idx="450">
                  <c:v>-5.5062000000000002E-3</c:v>
                </c:pt>
                <c:pt idx="451">
                  <c:v>-5.3525999999999999E-3</c:v>
                </c:pt>
                <c:pt idx="452">
                  <c:v>-5.2001E-3</c:v>
                </c:pt>
                <c:pt idx="453">
                  <c:v>-5.0489999999999997E-3</c:v>
                </c:pt>
                <c:pt idx="454">
                  <c:v>-4.8992000000000003E-3</c:v>
                </c:pt>
                <c:pt idx="455">
                  <c:v>-4.7508000000000003E-3</c:v>
                </c:pt>
                <c:pt idx="456">
                  <c:v>-4.6037999999999999E-3</c:v>
                </c:pt>
                <c:pt idx="457">
                  <c:v>-4.4581999999999998E-3</c:v>
                </c:pt>
                <c:pt idx="458">
                  <c:v>-4.3141000000000004E-3</c:v>
                </c:pt>
                <c:pt idx="459">
                  <c:v>-4.1716000000000001E-3</c:v>
                </c:pt>
                <c:pt idx="460">
                  <c:v>-4.0305999999999996E-3</c:v>
                </c:pt>
                <c:pt idx="461">
                  <c:v>-3.8912E-3</c:v>
                </c:pt>
                <c:pt idx="462">
                  <c:v>-3.7534999999999999E-3</c:v>
                </c:pt>
                <c:pt idx="463">
                  <c:v>-3.6174000000000002E-3</c:v>
                </c:pt>
                <c:pt idx="464">
                  <c:v>-3.483E-3</c:v>
                </c:pt>
                <c:pt idx="465">
                  <c:v>-3.3503000000000001E-3</c:v>
                </c:pt>
                <c:pt idx="466">
                  <c:v>-3.2193999999999999E-3</c:v>
                </c:pt>
                <c:pt idx="467">
                  <c:v>-3.0902E-3</c:v>
                </c:pt>
                <c:pt idx="468">
                  <c:v>-2.9629000000000001E-3</c:v>
                </c:pt>
                <c:pt idx="469">
                  <c:v>-2.8375000000000002E-3</c:v>
                </c:pt>
                <c:pt idx="470">
                  <c:v>-2.7139E-3</c:v>
                </c:pt>
                <c:pt idx="471">
                  <c:v>-2.5921999999999998E-3</c:v>
                </c:pt>
                <c:pt idx="472">
                  <c:v>-2.4724E-3</c:v>
                </c:pt>
                <c:pt idx="473">
                  <c:v>-2.3544999999999998E-3</c:v>
                </c:pt>
                <c:pt idx="474">
                  <c:v>-2.2385999999999999E-3</c:v>
                </c:pt>
                <c:pt idx="475">
                  <c:v>-2.1247000000000002E-3</c:v>
                </c:pt>
                <c:pt idx="476">
                  <c:v>-2.0127999999999999E-3</c:v>
                </c:pt>
                <c:pt idx="477">
                  <c:v>-1.9028999999999999E-3</c:v>
                </c:pt>
                <c:pt idx="478">
                  <c:v>-1.7949999999999999E-3</c:v>
                </c:pt>
                <c:pt idx="479">
                  <c:v>-1.6892000000000001E-3</c:v>
                </c:pt>
                <c:pt idx="480">
                  <c:v>-1.5854E-3</c:v>
                </c:pt>
                <c:pt idx="481">
                  <c:v>-1.4838E-3</c:v>
                </c:pt>
                <c:pt idx="482">
                  <c:v>-1.3841999999999999E-3</c:v>
                </c:pt>
                <c:pt idx="483">
                  <c:v>-1.2868000000000001E-3</c:v>
                </c:pt>
                <c:pt idx="484">
                  <c:v>-1.1914E-3</c:v>
                </c:pt>
                <c:pt idx="485">
                  <c:v>-1.0983E-3</c:v>
                </c:pt>
                <c:pt idx="486">
                  <c:v>-1.0073E-3</c:v>
                </c:pt>
                <c:pt idx="487">
                  <c:v>-9.1843000000000003E-4</c:v>
                </c:pt>
                <c:pt idx="488">
                  <c:v>-8.3179E-4</c:v>
                </c:pt>
                <c:pt idx="489">
                  <c:v>-7.4735000000000003E-4</c:v>
                </c:pt>
                <c:pt idx="490">
                  <c:v>-6.6513E-4</c:v>
                </c:pt>
                <c:pt idx="491">
                  <c:v>-5.8514000000000005E-4</c:v>
                </c:pt>
                <c:pt idx="492">
                  <c:v>-5.0739000000000003E-4</c:v>
                </c:pt>
                <c:pt idx="493">
                  <c:v>-4.3188999999999999E-4</c:v>
                </c:pt>
                <c:pt idx="494">
                  <c:v>-3.5865000000000002E-4</c:v>
                </c:pt>
                <c:pt idx="495">
                  <c:v>-2.8769000000000001E-4</c:v>
                </c:pt>
                <c:pt idx="496">
                  <c:v>-2.1900000000000001E-4</c:v>
                </c:pt>
                <c:pt idx="497">
                  <c:v>-1.5260999999999999E-4</c:v>
                </c:pt>
                <c:pt idx="498">
                  <c:v>-8.8504000000000005E-5</c:v>
                </c:pt>
                <c:pt idx="499">
                  <c:v>-2.6699999999999998E-5</c:v>
                </c:pt>
                <c:pt idx="500">
                  <c:v>3.2801E-5</c:v>
                </c:pt>
                <c:pt idx="501">
                  <c:v>8.9995999999999997E-5</c:v>
                </c:pt>
                <c:pt idx="502">
                  <c:v>1.4488000000000001E-4</c:v>
                </c:pt>
                <c:pt idx="503">
                  <c:v>1.9746E-4</c:v>
                </c:pt>
                <c:pt idx="504">
                  <c:v>2.4772999999999999E-4</c:v>
                </c:pt>
                <c:pt idx="505">
                  <c:v>2.9568999999999998E-4</c:v>
                </c:pt>
                <c:pt idx="506">
                  <c:v>3.4133999999999998E-4</c:v>
                </c:pt>
                <c:pt idx="507">
                  <c:v>3.8468999999999998E-4</c:v>
                </c:pt>
                <c:pt idx="508">
                  <c:v>4.2575000000000002E-4</c:v>
                </c:pt>
                <c:pt idx="509">
                  <c:v>4.6452E-4</c:v>
                </c:pt>
                <c:pt idx="510">
                  <c:v>5.0102999999999996E-4</c:v>
                </c:pt>
                <c:pt idx="511">
                  <c:v>5.3527000000000002E-4</c:v>
                </c:pt>
                <c:pt idx="512">
                  <c:v>5.6727000000000004E-4</c:v>
                </c:pt>
                <c:pt idx="513">
                  <c:v>5.9703000000000002E-4</c:v>
                </c:pt>
                <c:pt idx="514">
                  <c:v>6.2456999999999996E-4</c:v>
                </c:pt>
                <c:pt idx="515">
                  <c:v>6.4992999999999995E-4</c:v>
                </c:pt>
                <c:pt idx="516">
                  <c:v>6.7312999999999997E-4</c:v>
                </c:pt>
                <c:pt idx="517">
                  <c:v>6.9419000000000002E-4</c:v>
                </c:pt>
                <c:pt idx="518">
                  <c:v>7.1314999999999996E-4</c:v>
                </c:pt>
                <c:pt idx="519">
                  <c:v>7.3006000000000004E-4</c:v>
                </c:pt>
                <c:pt idx="520">
                  <c:v>7.4494999999999997E-4</c:v>
                </c:pt>
                <c:pt idx="521">
                  <c:v>7.5785999999999996E-4</c:v>
                </c:pt>
                <c:pt idx="522">
                  <c:v>7.6886000000000001E-4</c:v>
                </c:pt>
                <c:pt idx="523">
                  <c:v>7.7797999999999995E-4</c:v>
                </c:pt>
                <c:pt idx="524">
                  <c:v>7.8531E-4</c:v>
                </c:pt>
                <c:pt idx="525">
                  <c:v>7.9087999999999999E-4</c:v>
                </c:pt>
                <c:pt idx="526">
                  <c:v>7.9478000000000003E-4</c:v>
                </c:pt>
                <c:pt idx="527">
                  <c:v>7.9708000000000003E-4</c:v>
                </c:pt>
                <c:pt idx="528">
                  <c:v>7.9783999999999996E-4</c:v>
                </c:pt>
                <c:pt idx="529">
                  <c:v>7.9715000000000005E-4</c:v>
                </c:pt>
                <c:pt idx="530">
                  <c:v>7.9507999999999998E-4</c:v>
                </c:pt>
                <c:pt idx="531">
                  <c:v>7.9171999999999999E-4</c:v>
                </c:pt>
                <c:pt idx="532">
                  <c:v>7.8715999999999996E-4</c:v>
                </c:pt>
                <c:pt idx="533">
                  <c:v>7.8145999999999999E-4</c:v>
                </c:pt>
                <c:pt idx="534">
                  <c:v>7.7472999999999995E-4</c:v>
                </c:pt>
                <c:pt idx="535">
                  <c:v>7.6705000000000002E-4</c:v>
                </c:pt>
                <c:pt idx="536">
                  <c:v>7.5849999999999995E-4</c:v>
                </c:pt>
                <c:pt idx="537">
                  <c:v>7.4916000000000002E-4</c:v>
                </c:pt>
                <c:pt idx="538">
                  <c:v>7.3912999999999995E-4</c:v>
                </c:pt>
                <c:pt idx="539">
                  <c:v>7.2847999999999999E-4</c:v>
                </c:pt>
                <c:pt idx="540">
                  <c:v>7.1728999999999998E-4</c:v>
                </c:pt>
                <c:pt idx="541">
                  <c:v>7.0564E-4</c:v>
                </c:pt>
                <c:pt idx="542">
                  <c:v>6.9362000000000004E-4</c:v>
                </c:pt>
                <c:pt idx="543">
                  <c:v>6.8128999999999998E-4</c:v>
                </c:pt>
                <c:pt idx="544">
                  <c:v>6.6874000000000002E-4</c:v>
                </c:pt>
                <c:pt idx="545">
                  <c:v>6.5605000000000004E-4</c:v>
                </c:pt>
                <c:pt idx="546">
                  <c:v>6.4329000000000003E-4</c:v>
                </c:pt>
                <c:pt idx="547">
                  <c:v>6.3053999999999996E-4</c:v>
                </c:pt>
                <c:pt idx="548">
                  <c:v>6.1786999999999996E-4</c:v>
                </c:pt>
                <c:pt idx="549">
                  <c:v>6.0535999999999999E-4</c:v>
                </c:pt>
                <c:pt idx="550">
                  <c:v>5.9307000000000001E-4</c:v>
                </c:pt>
                <c:pt idx="551">
                  <c:v>5.8107999999999999E-4</c:v>
                </c:pt>
                <c:pt idx="552">
                  <c:v>5.6944000000000005E-4</c:v>
                </c:pt>
                <c:pt idx="553">
                  <c:v>5.5822000000000001E-4</c:v>
                </c:pt>
                <c:pt idx="554">
                  <c:v>5.4746000000000005E-4</c:v>
                </c:pt>
                <c:pt idx="555">
                  <c:v>5.3722000000000004E-4</c:v>
                </c:pt>
                <c:pt idx="556">
                  <c:v>5.2753000000000001E-4</c:v>
                </c:pt>
                <c:pt idx="557">
                  <c:v>5.1844E-4</c:v>
                </c:pt>
                <c:pt idx="558">
                  <c:v>5.0998999999999999E-4</c:v>
                </c:pt>
                <c:pt idx="559">
                  <c:v>5.0219999999999996E-4</c:v>
                </c:pt>
                <c:pt idx="560">
                  <c:v>4.9510999999999999E-4</c:v>
                </c:pt>
                <c:pt idx="561">
                  <c:v>4.8873999999999999E-4</c:v>
                </c:pt>
                <c:pt idx="562">
                  <c:v>4.8312000000000002E-4</c:v>
                </c:pt>
                <c:pt idx="563">
                  <c:v>4.7825E-4</c:v>
                </c:pt>
                <c:pt idx="564">
                  <c:v>4.7415000000000001E-4</c:v>
                </c:pt>
                <c:pt idx="565">
                  <c:v>4.7083999999999998E-4</c:v>
                </c:pt>
                <c:pt idx="566">
                  <c:v>4.683E-4</c:v>
                </c:pt>
                <c:pt idx="567">
                  <c:v>4.6654999999999998E-4</c:v>
                </c:pt>
                <c:pt idx="568">
                  <c:v>4.6558999999999999E-4</c:v>
                </c:pt>
                <c:pt idx="569">
                  <c:v>4.6540999999999998E-4</c:v>
                </c:pt>
                <c:pt idx="570">
                  <c:v>4.66E-4</c:v>
                </c:pt>
                <c:pt idx="571">
                  <c:v>4.6736E-4</c:v>
                </c:pt>
                <c:pt idx="572">
                  <c:v>4.6946999999999999E-4</c:v>
                </c:pt>
                <c:pt idx="573">
                  <c:v>4.7230999999999998E-4</c:v>
                </c:pt>
                <c:pt idx="574">
                  <c:v>4.7586999999999998E-4</c:v>
                </c:pt>
                <c:pt idx="575">
                  <c:v>4.8012E-4</c:v>
                </c:pt>
                <c:pt idx="576">
                  <c:v>4.8503000000000001E-4</c:v>
                </c:pt>
                <c:pt idx="577">
                  <c:v>4.9056999999999996E-4</c:v>
                </c:pt>
                <c:pt idx="578">
                  <c:v>4.9671000000000003E-4</c:v>
                </c:pt>
                <c:pt idx="579">
                  <c:v>5.0341999999999997E-4</c:v>
                </c:pt>
                <c:pt idx="580">
                  <c:v>5.1066000000000002E-4</c:v>
                </c:pt>
                <c:pt idx="581">
                  <c:v>5.1838999999999997E-4</c:v>
                </c:pt>
                <c:pt idx="582">
                  <c:v>5.2658999999999996E-4</c:v>
                </c:pt>
                <c:pt idx="583">
                  <c:v>5.352E-4</c:v>
                </c:pt>
                <c:pt idx="584">
                  <c:v>5.442E-4</c:v>
                </c:pt>
                <c:pt idx="585">
                  <c:v>5.5354000000000004E-4</c:v>
                </c:pt>
                <c:pt idx="586">
                  <c:v>5.6318000000000004E-4</c:v>
                </c:pt>
                <c:pt idx="587">
                  <c:v>5.7308999999999995E-4</c:v>
                </c:pt>
                <c:pt idx="588">
                  <c:v>5.8323000000000001E-4</c:v>
                </c:pt>
                <c:pt idx="589">
                  <c:v>5.9356999999999997E-4</c:v>
                </c:pt>
                <c:pt idx="590">
                  <c:v>6.0406999999999995E-4</c:v>
                </c:pt>
                <c:pt idx="591">
                  <c:v>6.1468999999999998E-4</c:v>
                </c:pt>
                <c:pt idx="592">
                  <c:v>6.2540000000000002E-4</c:v>
                </c:pt>
                <c:pt idx="593">
                  <c:v>6.3617999999999997E-4</c:v>
                </c:pt>
                <c:pt idx="594">
                  <c:v>6.4700000000000001E-4</c:v>
                </c:pt>
                <c:pt idx="595">
                  <c:v>6.5780999999999999E-4</c:v>
                </c:pt>
                <c:pt idx="596">
                  <c:v>6.6859999999999999E-4</c:v>
                </c:pt>
                <c:pt idx="597">
                  <c:v>6.7931999999999997E-4</c:v>
                </c:pt>
                <c:pt idx="598">
                  <c:v>6.8995999999999999E-4</c:v>
                </c:pt>
                <c:pt idx="599">
                  <c:v>7.0047999999999996E-4</c:v>
                </c:pt>
                <c:pt idx="600">
                  <c:v>7.1084999999999996E-4</c:v>
                </c:pt>
                <c:pt idx="601">
                  <c:v>7.2104999999999999E-4</c:v>
                </c:pt>
                <c:pt idx="602">
                  <c:v>7.3105000000000002E-4</c:v>
                </c:pt>
                <c:pt idx="603">
                  <c:v>7.4083999999999999E-4</c:v>
                </c:pt>
                <c:pt idx="604">
                  <c:v>7.5038000000000004E-4</c:v>
                </c:pt>
                <c:pt idx="605">
                  <c:v>7.5964999999999995E-4</c:v>
                </c:pt>
                <c:pt idx="606">
                  <c:v>7.6864999999999995E-4</c:v>
                </c:pt>
                <c:pt idx="607">
                  <c:v>7.7736000000000005E-4</c:v>
                </c:pt>
                <c:pt idx="608">
                  <c:v>7.8576000000000004E-4</c:v>
                </c:pt>
                <c:pt idx="609">
                  <c:v>7.9385000000000002E-4</c:v>
                </c:pt>
                <c:pt idx="610">
                  <c:v>8.0161999999999996E-4</c:v>
                </c:pt>
                <c:pt idx="611">
                  <c:v>8.0904999999999996E-4</c:v>
                </c:pt>
                <c:pt idx="612">
                  <c:v>8.1614000000000003E-4</c:v>
                </c:pt>
                <c:pt idx="613">
                  <c:v>8.2288999999999995E-4</c:v>
                </c:pt>
                <c:pt idx="614">
                  <c:v>8.2929E-4</c:v>
                </c:pt>
                <c:pt idx="615">
                  <c:v>8.3535E-4</c:v>
                </c:pt>
                <c:pt idx="616">
                  <c:v>8.4106000000000003E-4</c:v>
                </c:pt>
                <c:pt idx="617">
                  <c:v>8.4643000000000001E-4</c:v>
                </c:pt>
                <c:pt idx="618">
                  <c:v>8.5145999999999996E-4</c:v>
                </c:pt>
                <c:pt idx="619">
                  <c:v>8.5616999999999996E-4</c:v>
                </c:pt>
              </c:numCache>
            </c:numRef>
          </c:yVal>
          <c:smooth val="1"/>
          <c:extLst>
            <c:ext xmlns:c16="http://schemas.microsoft.com/office/drawing/2014/chart" uri="{C3380CC4-5D6E-409C-BE32-E72D297353CC}">
              <c16:uniqueId val="{00000005-00C6-46B2-92E3-3CDC1A8F00F7}"/>
            </c:ext>
          </c:extLst>
        </c:ser>
        <c:ser>
          <c:idx val="5"/>
          <c:order val="5"/>
          <c:spPr>
            <a:ln w="19050" cap="rnd">
              <a:solidFill>
                <a:schemeClr val="accent6"/>
              </a:solidFill>
              <a:round/>
            </a:ln>
            <a:effectLst/>
          </c:spPr>
          <c:marker>
            <c:symbol val="none"/>
          </c:marker>
          <c:xVal>
            <c:numRef>
              <c:f>'INIT-File+Corr'!$A$16:$A$636</c:f>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f>'INIT-File+Corr'!$G$16:$G$636</c:f>
              <c:numCache>
                <c:formatCode>0.000000</c:formatCode>
                <c:ptCount val="620"/>
                <c:pt idx="0">
                  <c:v>-3.6234E-4</c:v>
                </c:pt>
                <c:pt idx="1">
                  <c:v>-3.6600000000000001E-4</c:v>
                </c:pt>
                <c:pt idx="2">
                  <c:v>-3.6968999999999999E-4</c:v>
                </c:pt>
                <c:pt idx="3">
                  <c:v>-3.7343000000000001E-4</c:v>
                </c:pt>
                <c:pt idx="4">
                  <c:v>-3.7720000000000001E-4</c:v>
                </c:pt>
                <c:pt idx="5">
                  <c:v>-3.8100999999999999E-4</c:v>
                </c:pt>
                <c:pt idx="6">
                  <c:v>-3.8486E-4</c:v>
                </c:pt>
                <c:pt idx="7">
                  <c:v>-3.8874999999999999E-4</c:v>
                </c:pt>
                <c:pt idx="8">
                  <c:v>-3.9267000000000002E-4</c:v>
                </c:pt>
                <c:pt idx="9">
                  <c:v>-3.9664000000000002E-4</c:v>
                </c:pt>
                <c:pt idx="10">
                  <c:v>-4.0065000000000001E-4</c:v>
                </c:pt>
                <c:pt idx="11">
                  <c:v>-4.0468999999999998E-4</c:v>
                </c:pt>
                <c:pt idx="12">
                  <c:v>-4.0875999999999998E-4</c:v>
                </c:pt>
                <c:pt idx="13">
                  <c:v>-4.1278000000000002E-4</c:v>
                </c:pt>
                <c:pt idx="14">
                  <c:v>-4.1664000000000002E-4</c:v>
                </c:pt>
                <c:pt idx="15">
                  <c:v>-4.2014999999999999E-4</c:v>
                </c:pt>
                <c:pt idx="16">
                  <c:v>-4.2305000000000001E-4</c:v>
                </c:pt>
                <c:pt idx="17">
                  <c:v>-4.2499999999999998E-4</c:v>
                </c:pt>
                <c:pt idx="18">
                  <c:v>-4.2555000000000002E-4</c:v>
                </c:pt>
                <c:pt idx="19">
                  <c:v>-4.2414999999999998E-4</c:v>
                </c:pt>
                <c:pt idx="20">
                  <c:v>-4.2014E-4</c:v>
                </c:pt>
                <c:pt idx="21">
                  <c:v>-4.1277000000000002E-4</c:v>
                </c:pt>
                <c:pt idx="22">
                  <c:v>-4.0118E-4</c:v>
                </c:pt>
                <c:pt idx="23">
                  <c:v>-3.8447999999999998E-4</c:v>
                </c:pt>
                <c:pt idx="24">
                  <c:v>-3.6174999999999998E-4</c:v>
                </c:pt>
                <c:pt idx="25">
                  <c:v>-3.3205000000000002E-4</c:v>
                </c:pt>
                <c:pt idx="26">
                  <c:v>-2.9451999999999999E-4</c:v>
                </c:pt>
                <c:pt idx="27">
                  <c:v>-2.4834999999999999E-4</c:v>
                </c:pt>
                <c:pt idx="28">
                  <c:v>-1.9285999999999999E-4</c:v>
                </c:pt>
                <c:pt idx="29">
                  <c:v>-1.2747999999999999E-4</c:v>
                </c:pt>
                <c:pt idx="30">
                  <c:v>-5.1792999999999997E-5</c:v>
                </c:pt>
                <c:pt idx="31">
                  <c:v>3.4442E-5</c:v>
                </c:pt>
                <c:pt idx="32">
                  <c:v>1.3130999999999999E-4</c:v>
                </c:pt>
                <c:pt idx="33">
                  <c:v>2.3875E-4</c:v>
                </c:pt>
                <c:pt idx="34">
                  <c:v>3.5649E-4</c:v>
                </c:pt>
                <c:pt idx="35">
                  <c:v>4.8416000000000003E-4</c:v>
                </c:pt>
                <c:pt idx="36">
                  <c:v>6.2120999999999997E-4</c:v>
                </c:pt>
                <c:pt idx="37">
                  <c:v>7.6696000000000002E-4</c:v>
                </c:pt>
                <c:pt idx="38">
                  <c:v>9.2060999999999998E-4</c:v>
                </c:pt>
                <c:pt idx="39">
                  <c:v>1.0812E-3</c:v>
                </c:pt>
                <c:pt idx="40">
                  <c:v>1.2478000000000001E-3</c:v>
                </c:pt>
                <c:pt idx="41">
                  <c:v>1.4192E-3</c:v>
                </c:pt>
                <c:pt idx="42">
                  <c:v>1.5942E-3</c:v>
                </c:pt>
                <c:pt idx="43">
                  <c:v>1.7715000000000001E-3</c:v>
                </c:pt>
                <c:pt idx="44">
                  <c:v>1.9497E-3</c:v>
                </c:pt>
                <c:pt idx="45">
                  <c:v>2.1275000000000001E-3</c:v>
                </c:pt>
                <c:pt idx="46">
                  <c:v>2.3032999999999999E-3</c:v>
                </c:pt>
                <c:pt idx="47">
                  <c:v>2.4756000000000001E-3</c:v>
                </c:pt>
                <c:pt idx="48">
                  <c:v>2.6427999999999998E-3</c:v>
                </c:pt>
                <c:pt idx="49">
                  <c:v>2.8032999999999999E-3</c:v>
                </c:pt>
                <c:pt idx="50">
                  <c:v>2.9554E-3</c:v>
                </c:pt>
                <c:pt idx="51">
                  <c:v>3.0975999999999998E-3</c:v>
                </c:pt>
                <c:pt idx="52">
                  <c:v>3.2280999999999998E-3</c:v>
                </c:pt>
                <c:pt idx="53">
                  <c:v>3.3455999999999998E-3</c:v>
                </c:pt>
                <c:pt idx="54">
                  <c:v>3.4483000000000001E-3</c:v>
                </c:pt>
                <c:pt idx="55">
                  <c:v>3.6037E-3</c:v>
                </c:pt>
                <c:pt idx="56">
                  <c:v>3.6535999999999999E-3</c:v>
                </c:pt>
                <c:pt idx="57">
                  <c:v>3.6833999999999999E-3</c:v>
                </c:pt>
                <c:pt idx="58">
                  <c:v>3.6917999999999999E-3</c:v>
                </c:pt>
                <c:pt idx="59">
                  <c:v>3.6778000000000002E-3</c:v>
                </c:pt>
                <c:pt idx="60">
                  <c:v>3.6405999999999999E-3</c:v>
                </c:pt>
                <c:pt idx="61">
                  <c:v>3.5793999999999999E-3</c:v>
                </c:pt>
                <c:pt idx="62">
                  <c:v>3.4937000000000002E-3</c:v>
                </c:pt>
                <c:pt idx="63">
                  <c:v>3.3831E-3</c:v>
                </c:pt>
                <c:pt idx="64">
                  <c:v>3.2474000000000001E-3</c:v>
                </c:pt>
                <c:pt idx="65">
                  <c:v>3.0866999999999999E-3</c:v>
                </c:pt>
                <c:pt idx="66">
                  <c:v>2.9015E-3</c:v>
                </c:pt>
                <c:pt idx="67">
                  <c:v>2.6922000000000001E-3</c:v>
                </c:pt>
                <c:pt idx="68">
                  <c:v>2.4599000000000001E-3</c:v>
                </c:pt>
                <c:pt idx="69">
                  <c:v>2.2057999999999999E-3</c:v>
                </c:pt>
                <c:pt idx="70">
                  <c:v>1.9312999999999999E-3</c:v>
                </c:pt>
                <c:pt idx="71">
                  <c:v>1.6385E-3</c:v>
                </c:pt>
                <c:pt idx="72">
                  <c:v>1.3293000000000001E-3</c:v>
                </c:pt>
                <c:pt idx="73">
                  <c:v>1.0062000000000001E-3</c:v>
                </c:pt>
                <c:pt idx="74">
                  <c:v>6.7166000000000003E-4</c:v>
                </c:pt>
                <c:pt idx="75">
                  <c:v>3.2861000000000001E-4</c:v>
                </c:pt>
                <c:pt idx="76">
                  <c:v>-2.0052999999999999E-5</c:v>
                </c:pt>
                <c:pt idx="77">
                  <c:v>-3.7123000000000001E-4</c:v>
                </c:pt>
                <c:pt idx="78">
                  <c:v>-7.2174999999999995E-4</c:v>
                </c:pt>
                <c:pt idx="79">
                  <c:v>-1.0682999999999999E-3</c:v>
                </c:pt>
                <c:pt idx="80">
                  <c:v>-1.4077E-3</c:v>
                </c:pt>
                <c:pt idx="81">
                  <c:v>-1.7365E-3</c:v>
                </c:pt>
                <c:pt idx="82">
                  <c:v>-2.0512999999999998E-3</c:v>
                </c:pt>
                <c:pt idx="83">
                  <c:v>-2.3487999999999998E-3</c:v>
                </c:pt>
                <c:pt idx="84">
                  <c:v>-2.6256999999999999E-3</c:v>
                </c:pt>
                <c:pt idx="85">
                  <c:v>-2.8787999999999999E-3</c:v>
                </c:pt>
                <c:pt idx="86">
                  <c:v>-3.1047000000000002E-3</c:v>
                </c:pt>
                <c:pt idx="87">
                  <c:v>-3.3005E-3</c:v>
                </c:pt>
                <c:pt idx="88">
                  <c:v>-3.4632E-3</c:v>
                </c:pt>
                <c:pt idx="89">
                  <c:v>-3.5901000000000001E-3</c:v>
                </c:pt>
                <c:pt idx="90">
                  <c:v>-3.6786000000000002E-3</c:v>
                </c:pt>
                <c:pt idx="91">
                  <c:v>-3.7265000000000002E-3</c:v>
                </c:pt>
                <c:pt idx="92">
                  <c:v>-3.7318E-3</c:v>
                </c:pt>
                <c:pt idx="93">
                  <c:v>-3.6928E-3</c:v>
                </c:pt>
                <c:pt idx="94">
                  <c:v>-3.6083999999999999E-3</c:v>
                </c:pt>
                <c:pt idx="95">
                  <c:v>-3.4776999999999998E-3</c:v>
                </c:pt>
                <c:pt idx="96">
                  <c:v>-3.3002999999999999E-3</c:v>
                </c:pt>
                <c:pt idx="97">
                  <c:v>-3.0761999999999999E-3</c:v>
                </c:pt>
                <c:pt idx="98">
                  <c:v>-2.8062E-3</c:v>
                </c:pt>
                <c:pt idx="99">
                  <c:v>-2.4913000000000001E-3</c:v>
                </c:pt>
                <c:pt idx="100">
                  <c:v>-2.1329999999999999E-3</c:v>
                </c:pt>
                <c:pt idx="101">
                  <c:v>-1.7335E-3</c:v>
                </c:pt>
                <c:pt idx="102">
                  <c:v>-1.2953999999999999E-3</c:v>
                </c:pt>
                <c:pt idx="103">
                  <c:v>-8.2156000000000004E-4</c:v>
                </c:pt>
                <c:pt idx="104">
                  <c:v>-3.1555999999999999E-4</c:v>
                </c:pt>
                <c:pt idx="105">
                  <c:v>2.1880000000000001E-4</c:v>
                </c:pt>
                <c:pt idx="106">
                  <c:v>7.7733000000000001E-4</c:v>
                </c:pt>
                <c:pt idx="107">
                  <c:v>1.3554999999999999E-3</c:v>
                </c:pt>
                <c:pt idx="108">
                  <c:v>1.9487E-3</c:v>
                </c:pt>
                <c:pt idx="109">
                  <c:v>2.5517999999999999E-3</c:v>
                </c:pt>
                <c:pt idx="110">
                  <c:v>3.1597999999999999E-3</c:v>
                </c:pt>
                <c:pt idx="111">
                  <c:v>3.7675999999999999E-3</c:v>
                </c:pt>
                <c:pt idx="112">
                  <c:v>4.3698000000000001E-3</c:v>
                </c:pt>
                <c:pt idx="113">
                  <c:v>4.9611999999999998E-3</c:v>
                </c:pt>
                <c:pt idx="114">
                  <c:v>5.5367000000000003E-3</c:v>
                </c:pt>
                <c:pt idx="115">
                  <c:v>6.0911999999999997E-3</c:v>
                </c:pt>
                <c:pt idx="116">
                  <c:v>6.6198000000000003E-3</c:v>
                </c:pt>
                <c:pt idx="117">
                  <c:v>7.1177000000000002E-3</c:v>
                </c:pt>
                <c:pt idx="118">
                  <c:v>7.5805000000000004E-3</c:v>
                </c:pt>
                <c:pt idx="119">
                  <c:v>8.0040000000000007E-3</c:v>
                </c:pt>
                <c:pt idx="120">
                  <c:v>8.3840000000000008E-3</c:v>
                </c:pt>
                <c:pt idx="121">
                  <c:v>8.7168000000000002E-3</c:v>
                </c:pt>
                <c:pt idx="122">
                  <c:v>8.9990000000000001E-3</c:v>
                </c:pt>
                <c:pt idx="123">
                  <c:v>9.2271000000000002E-3</c:v>
                </c:pt>
                <c:pt idx="124">
                  <c:v>9.3982000000000007E-3</c:v>
                </c:pt>
                <c:pt idx="125">
                  <c:v>9.5092000000000006E-3</c:v>
                </c:pt>
                <c:pt idx="126">
                  <c:v>9.5572000000000001E-3</c:v>
                </c:pt>
                <c:pt idx="127">
                  <c:v>9.5394E-3</c:v>
                </c:pt>
                <c:pt idx="128">
                  <c:v>9.4529999999999996E-3</c:v>
                </c:pt>
                <c:pt idx="129">
                  <c:v>9.2952999999999994E-3</c:v>
                </c:pt>
                <c:pt idx="130">
                  <c:v>9.0635999999999998E-3</c:v>
                </c:pt>
                <c:pt idx="131">
                  <c:v>8.7551E-3</c:v>
                </c:pt>
                <c:pt idx="132">
                  <c:v>8.3674999999999999E-3</c:v>
                </c:pt>
                <c:pt idx="133">
                  <c:v>7.8983999999999999E-3</c:v>
                </c:pt>
                <c:pt idx="134">
                  <c:v>7.3458000000000004E-3</c:v>
                </c:pt>
                <c:pt idx="135">
                  <c:v>6.7079000000000001E-3</c:v>
                </c:pt>
                <c:pt idx="136">
                  <c:v>5.9839000000000003E-3</c:v>
                </c:pt>
                <c:pt idx="137">
                  <c:v>5.1732999999999996E-3</c:v>
                </c:pt>
                <c:pt idx="138">
                  <c:v>4.2766999999999996E-3</c:v>
                </c:pt>
                <c:pt idx="139">
                  <c:v>3.2956000000000001E-3</c:v>
                </c:pt>
                <c:pt idx="140">
                  <c:v>2.2325999999999999E-3</c:v>
                </c:pt>
                <c:pt idx="141">
                  <c:v>1.0915E-3</c:v>
                </c:pt>
                <c:pt idx="142">
                  <c:v>-1.2237000000000001E-4</c:v>
                </c:pt>
                <c:pt idx="143">
                  <c:v>-1.4025999999999999E-3</c:v>
                </c:pt>
                <c:pt idx="144">
                  <c:v>-2.7414000000000002E-3</c:v>
                </c:pt>
                <c:pt idx="145">
                  <c:v>-4.1294000000000001E-3</c:v>
                </c:pt>
                <c:pt idx="146">
                  <c:v>-5.5564000000000004E-3</c:v>
                </c:pt>
                <c:pt idx="147">
                  <c:v>-7.0108000000000002E-3</c:v>
                </c:pt>
                <c:pt idx="148">
                  <c:v>-8.4802999999999996E-3</c:v>
                </c:pt>
                <c:pt idx="149">
                  <c:v>-9.9515999999999997E-3</c:v>
                </c:pt>
                <c:pt idx="150">
                  <c:v>-1.1410999999999999E-2</c:v>
                </c:pt>
                <c:pt idx="151">
                  <c:v>-1.2845000000000001E-2</c:v>
                </c:pt>
                <c:pt idx="152">
                  <c:v>-1.4238000000000001E-2</c:v>
                </c:pt>
                <c:pt idx="153">
                  <c:v>-1.5577000000000001E-2</c:v>
                </c:pt>
                <c:pt idx="154">
                  <c:v>-1.6848999999999999E-2</c:v>
                </c:pt>
                <c:pt idx="155">
                  <c:v>-1.8038999999999999E-2</c:v>
                </c:pt>
                <c:pt idx="156">
                  <c:v>-1.9134999999999999E-2</c:v>
                </c:pt>
                <c:pt idx="157">
                  <c:v>-2.0125000000000001E-2</c:v>
                </c:pt>
                <c:pt idx="158">
                  <c:v>-2.0999E-2</c:v>
                </c:pt>
                <c:pt idx="159">
                  <c:v>-2.1746999999999999E-2</c:v>
                </c:pt>
                <c:pt idx="160">
                  <c:v>-2.2357999999999999E-2</c:v>
                </c:pt>
                <c:pt idx="161">
                  <c:v>-2.2827E-2</c:v>
                </c:pt>
                <c:pt idx="162">
                  <c:v>-2.3144999999999999E-2</c:v>
                </c:pt>
                <c:pt idx="163">
                  <c:v>-2.3307999999999999E-2</c:v>
                </c:pt>
                <c:pt idx="164">
                  <c:v>-2.3310000000000001E-2</c:v>
                </c:pt>
                <c:pt idx="165">
                  <c:v>-2.3147999999999998E-2</c:v>
                </c:pt>
                <c:pt idx="166">
                  <c:v>-2.282E-2</c:v>
                </c:pt>
                <c:pt idx="167">
                  <c:v>-2.2322999999999999E-2</c:v>
                </c:pt>
                <c:pt idx="168">
                  <c:v>-2.1656999999999999E-2</c:v>
                </c:pt>
                <c:pt idx="169">
                  <c:v>-2.0823000000000001E-2</c:v>
                </c:pt>
                <c:pt idx="170">
                  <c:v>-1.9821999999999999E-2</c:v>
                </c:pt>
                <c:pt idx="171">
                  <c:v>-1.8655000000000001E-2</c:v>
                </c:pt>
                <c:pt idx="172">
                  <c:v>-1.7325E-2</c:v>
                </c:pt>
                <c:pt idx="173">
                  <c:v>-1.5837E-2</c:v>
                </c:pt>
                <c:pt idx="174">
                  <c:v>-1.4194E-2</c:v>
                </c:pt>
                <c:pt idx="175">
                  <c:v>-1.2401000000000001E-2</c:v>
                </c:pt>
                <c:pt idx="176">
                  <c:v>-1.0465E-2</c:v>
                </c:pt>
                <c:pt idx="177">
                  <c:v>-8.3925000000000007E-3</c:v>
                </c:pt>
                <c:pt idx="178">
                  <c:v>-6.1900999999999996E-3</c:v>
                </c:pt>
                <c:pt idx="179">
                  <c:v>-3.8662000000000002E-3</c:v>
                </c:pt>
                <c:pt idx="180">
                  <c:v>-1.4291E-3</c:v>
                </c:pt>
                <c:pt idx="181">
                  <c:v>1.1117E-3</c:v>
                </c:pt>
                <c:pt idx="182">
                  <c:v>3.7466000000000001E-3</c:v>
                </c:pt>
                <c:pt idx="183">
                  <c:v>6.4651999999999999E-3</c:v>
                </c:pt>
                <c:pt idx="184">
                  <c:v>9.2566999999999997E-3</c:v>
                </c:pt>
                <c:pt idx="185">
                  <c:v>1.2109999999999999E-2</c:v>
                </c:pt>
                <c:pt idx="186">
                  <c:v>1.5011999999999999E-2</c:v>
                </c:pt>
                <c:pt idx="187">
                  <c:v>1.7953E-2</c:v>
                </c:pt>
                <c:pt idx="188">
                  <c:v>2.0917999999999999E-2</c:v>
                </c:pt>
                <c:pt idx="189">
                  <c:v>2.3895E-2</c:v>
                </c:pt>
                <c:pt idx="190">
                  <c:v>2.6870000000000002E-2</c:v>
                </c:pt>
                <c:pt idx="191">
                  <c:v>2.9831E-2</c:v>
                </c:pt>
                <c:pt idx="192">
                  <c:v>3.2763E-2</c:v>
                </c:pt>
                <c:pt idx="193">
                  <c:v>3.5652999999999997E-2</c:v>
                </c:pt>
                <c:pt idx="194">
                  <c:v>3.8485999999999999E-2</c:v>
                </c:pt>
                <c:pt idx="195">
                  <c:v>4.1249000000000001E-2</c:v>
                </c:pt>
                <c:pt idx="196">
                  <c:v>4.3927000000000001E-2</c:v>
                </c:pt>
                <c:pt idx="197">
                  <c:v>4.6504999999999998E-2</c:v>
                </c:pt>
                <c:pt idx="198">
                  <c:v>4.8971000000000001E-2</c:v>
                </c:pt>
                <c:pt idx="199">
                  <c:v>5.1310000000000001E-2</c:v>
                </c:pt>
                <c:pt idx="200">
                  <c:v>5.3509000000000001E-2</c:v>
                </c:pt>
                <c:pt idx="201">
                  <c:v>5.5553999999999999E-2</c:v>
                </c:pt>
                <c:pt idx="202">
                  <c:v>5.7432999999999998E-2</c:v>
                </c:pt>
                <c:pt idx="203">
                  <c:v>5.9133999999999999E-2</c:v>
                </c:pt>
                <c:pt idx="204">
                  <c:v>6.0645999999999999E-2</c:v>
                </c:pt>
                <c:pt idx="205">
                  <c:v>6.1956999999999998E-2</c:v>
                </c:pt>
                <c:pt idx="206">
                  <c:v>6.3058000000000003E-2</c:v>
                </c:pt>
                <c:pt idx="207">
                  <c:v>6.3940999999999998E-2</c:v>
                </c:pt>
                <c:pt idx="208">
                  <c:v>6.4598000000000003E-2</c:v>
                </c:pt>
                <c:pt idx="209">
                  <c:v>6.5024999999999999E-2</c:v>
                </c:pt>
                <c:pt idx="210">
                  <c:v>6.5217999999999998E-2</c:v>
                </c:pt>
                <c:pt idx="211">
                  <c:v>6.5174999999999997E-2</c:v>
                </c:pt>
                <c:pt idx="212">
                  <c:v>6.4896999999999996E-2</c:v>
                </c:pt>
                <c:pt idx="213">
                  <c:v>6.4385999999999999E-2</c:v>
                </c:pt>
                <c:pt idx="214">
                  <c:v>6.3646999999999995E-2</c:v>
                </c:pt>
                <c:pt idx="215">
                  <c:v>6.2687000000000007E-2</c:v>
                </c:pt>
                <c:pt idx="216">
                  <c:v>6.1515E-2</c:v>
                </c:pt>
                <c:pt idx="217">
                  <c:v>6.0141E-2</c:v>
                </c:pt>
                <c:pt idx="218">
                  <c:v>5.8576999999999997E-2</c:v>
                </c:pt>
                <c:pt idx="219">
                  <c:v>5.6834999999999997E-2</c:v>
                </c:pt>
                <c:pt idx="220">
                  <c:v>5.4926999999999997E-2</c:v>
                </c:pt>
                <c:pt idx="221">
                  <c:v>5.2868999999999999E-2</c:v>
                </c:pt>
                <c:pt idx="222">
                  <c:v>5.0673000000000003E-2</c:v>
                </c:pt>
                <c:pt idx="223">
                  <c:v>4.8355000000000002E-2</c:v>
                </c:pt>
                <c:pt idx="224">
                  <c:v>4.5927000000000003E-2</c:v>
                </c:pt>
                <c:pt idx="225">
                  <c:v>4.3404999999999999E-2</c:v>
                </c:pt>
                <c:pt idx="226">
                  <c:v>4.0802999999999999E-2</c:v>
                </c:pt>
                <c:pt idx="227">
                  <c:v>3.8134000000000001E-2</c:v>
                </c:pt>
                <c:pt idx="228">
                  <c:v>3.5413E-2</c:v>
                </c:pt>
                <c:pt idx="229">
                  <c:v>3.2652E-2</c:v>
                </c:pt>
                <c:pt idx="230">
                  <c:v>2.9864999999999999E-2</c:v>
                </c:pt>
                <c:pt idx="231">
                  <c:v>2.7066E-2</c:v>
                </c:pt>
                <c:pt idx="232">
                  <c:v>2.4264999999999998E-2</c:v>
                </c:pt>
                <c:pt idx="233">
                  <c:v>2.1475999999999999E-2</c:v>
                </c:pt>
                <c:pt idx="234">
                  <c:v>1.8710000000000001E-2</c:v>
                </c:pt>
                <c:pt idx="235">
                  <c:v>1.5977000000000002E-2</c:v>
                </c:pt>
                <c:pt idx="236">
                  <c:v>1.3289E-2</c:v>
                </c:pt>
                <c:pt idx="237">
                  <c:v>1.0652999999999999E-2</c:v>
                </c:pt>
                <c:pt idx="238">
                  <c:v>8.0803000000000003E-3</c:v>
                </c:pt>
                <c:pt idx="239">
                  <c:v>5.5779999999999996E-3</c:v>
                </c:pt>
                <c:pt idx="240">
                  <c:v>3.1538E-3</c:v>
                </c:pt>
                <c:pt idx="241">
                  <c:v>8.1455999999999998E-4</c:v>
                </c:pt>
                <c:pt idx="242">
                  <c:v>-1.4337E-3</c:v>
                </c:pt>
                <c:pt idx="243">
                  <c:v>-3.5855000000000001E-3</c:v>
                </c:pt>
                <c:pt idx="244">
                  <c:v>-5.6360000000000004E-3</c:v>
                </c:pt>
                <c:pt idx="245">
                  <c:v>-7.5811000000000003E-3</c:v>
                </c:pt>
                <c:pt idx="246">
                  <c:v>-9.4170999999999994E-3</c:v>
                </c:pt>
                <c:pt idx="247">
                  <c:v>-1.1141E-2</c:v>
                </c:pt>
                <c:pt idx="248">
                  <c:v>-1.2749999999999999E-2</c:v>
                </c:pt>
                <c:pt idx="249">
                  <c:v>-1.4241999999999999E-2</c:v>
                </c:pt>
                <c:pt idx="250">
                  <c:v>-1.5617000000000001E-2</c:v>
                </c:pt>
                <c:pt idx="251">
                  <c:v>-1.6871000000000001E-2</c:v>
                </c:pt>
                <c:pt idx="252">
                  <c:v>-1.8006000000000001E-2</c:v>
                </c:pt>
                <c:pt idx="253">
                  <c:v>-1.9022000000000001E-2</c:v>
                </c:pt>
                <c:pt idx="254">
                  <c:v>-1.9918999999999999E-2</c:v>
                </c:pt>
                <c:pt idx="255">
                  <c:v>-2.0697E-2</c:v>
                </c:pt>
                <c:pt idx="256">
                  <c:v>-2.1360000000000001E-2</c:v>
                </c:pt>
                <c:pt idx="257">
                  <c:v>-2.1908E-2</c:v>
                </c:pt>
                <c:pt idx="258">
                  <c:v>-2.2343999999999999E-2</c:v>
                </c:pt>
                <c:pt idx="259">
                  <c:v>-2.2671E-2</c:v>
                </c:pt>
                <c:pt idx="260">
                  <c:v>-2.2893E-2</c:v>
                </c:pt>
                <c:pt idx="261">
                  <c:v>-2.3011E-2</c:v>
                </c:pt>
                <c:pt idx="262">
                  <c:v>-2.3030999999999999E-2</c:v>
                </c:pt>
                <c:pt idx="263">
                  <c:v>-2.2953999999999999E-2</c:v>
                </c:pt>
                <c:pt idx="264">
                  <c:v>-2.2786000000000001E-2</c:v>
                </c:pt>
                <c:pt idx="265">
                  <c:v>-2.2530999999999999E-2</c:v>
                </c:pt>
                <c:pt idx="266">
                  <c:v>-2.2190999999999999E-2</c:v>
                </c:pt>
                <c:pt idx="267">
                  <c:v>-2.1772E-2</c:v>
                </c:pt>
                <c:pt idx="268">
                  <c:v>-2.1277000000000001E-2</c:v>
                </c:pt>
                <c:pt idx="269">
                  <c:v>-2.0712000000000001E-2</c:v>
                </c:pt>
                <c:pt idx="270">
                  <c:v>-2.0079E-2</c:v>
                </c:pt>
                <c:pt idx="271">
                  <c:v>-1.9384999999999999E-2</c:v>
                </c:pt>
                <c:pt idx="272">
                  <c:v>-1.8634000000000001E-2</c:v>
                </c:pt>
                <c:pt idx="273">
                  <c:v>-1.7829999999999999E-2</c:v>
                </c:pt>
                <c:pt idx="274">
                  <c:v>-1.6979000000000001E-2</c:v>
                </c:pt>
                <c:pt idx="275">
                  <c:v>-1.6084999999999999E-2</c:v>
                </c:pt>
                <c:pt idx="276">
                  <c:v>-1.5154000000000001E-2</c:v>
                </c:pt>
                <c:pt idx="277">
                  <c:v>-1.4189999999999999E-2</c:v>
                </c:pt>
                <c:pt idx="278">
                  <c:v>-1.32E-2</c:v>
                </c:pt>
                <c:pt idx="279">
                  <c:v>-1.2189E-2</c:v>
                </c:pt>
                <c:pt idx="280">
                  <c:v>-1.1162E-2</c:v>
                </c:pt>
                <c:pt idx="281">
                  <c:v>-1.0125E-2</c:v>
                </c:pt>
                <c:pt idx="282">
                  <c:v>-9.0843E-3</c:v>
                </c:pt>
                <c:pt idx="283">
                  <c:v>-8.0444999999999996E-3</c:v>
                </c:pt>
                <c:pt idx="284">
                  <c:v>-7.0111000000000001E-3</c:v>
                </c:pt>
                <c:pt idx="285">
                  <c:v>-5.9890000000000004E-3</c:v>
                </c:pt>
                <c:pt idx="286">
                  <c:v>-4.9823999999999997E-3</c:v>
                </c:pt>
                <c:pt idx="287">
                  <c:v>-3.9952E-3</c:v>
                </c:pt>
                <c:pt idx="288">
                  <c:v>-3.0305000000000002E-3</c:v>
                </c:pt>
                <c:pt idx="289">
                  <c:v>-2.0910999999999998E-3</c:v>
                </c:pt>
                <c:pt idx="290">
                  <c:v>-1.1793000000000001E-3</c:v>
                </c:pt>
                <c:pt idx="291">
                  <c:v>-2.9701E-4</c:v>
                </c:pt>
                <c:pt idx="292">
                  <c:v>5.5422000000000002E-4</c:v>
                </c:pt>
                <c:pt idx="293">
                  <c:v>1.3730000000000001E-3</c:v>
                </c:pt>
                <c:pt idx="294">
                  <c:v>2.1581999999999999E-3</c:v>
                </c:pt>
                <c:pt idx="295">
                  <c:v>2.9087000000000002E-3</c:v>
                </c:pt>
                <c:pt idx="296">
                  <c:v>3.6239000000000002E-3</c:v>
                </c:pt>
                <c:pt idx="297">
                  <c:v>4.3027999999999999E-3</c:v>
                </c:pt>
                <c:pt idx="298">
                  <c:v>4.9449999999999997E-3</c:v>
                </c:pt>
                <c:pt idx="299">
                  <c:v>5.5499E-3</c:v>
                </c:pt>
                <c:pt idx="300">
                  <c:v>6.1171999999999997E-3</c:v>
                </c:pt>
                <c:pt idx="301">
                  <c:v>6.6464000000000002E-3</c:v>
                </c:pt>
                <c:pt idx="302">
                  <c:v>7.1374000000000003E-3</c:v>
                </c:pt>
                <c:pt idx="303">
                  <c:v>7.5900999999999998E-3</c:v>
                </c:pt>
                <c:pt idx="304">
                  <c:v>8.0044000000000001E-3</c:v>
                </c:pt>
                <c:pt idx="305">
                  <c:v>8.3803999999999997E-3</c:v>
                </c:pt>
                <c:pt idx="306">
                  <c:v>8.7183E-3</c:v>
                </c:pt>
                <c:pt idx="307">
                  <c:v>9.0182000000000005E-3</c:v>
                </c:pt>
                <c:pt idx="308">
                  <c:v>9.2806E-3</c:v>
                </c:pt>
                <c:pt idx="309">
                  <c:v>9.5060000000000006E-3</c:v>
                </c:pt>
                <c:pt idx="310">
                  <c:v>9.6950000000000005E-3</c:v>
                </c:pt>
                <c:pt idx="311">
                  <c:v>9.8481999999999997E-3</c:v>
                </c:pt>
                <c:pt idx="312">
                  <c:v>9.9663000000000009E-3</c:v>
                </c:pt>
                <c:pt idx="313">
                  <c:v>1.005E-2</c:v>
                </c:pt>
                <c:pt idx="314">
                  <c:v>1.0101000000000001E-2</c:v>
                </c:pt>
                <c:pt idx="315">
                  <c:v>1.0119E-2</c:v>
                </c:pt>
                <c:pt idx="316">
                  <c:v>1.0106E-2</c:v>
                </c:pt>
                <c:pt idx="317">
                  <c:v>1.0063000000000001E-2</c:v>
                </c:pt>
                <c:pt idx="318">
                  <c:v>9.9904E-3</c:v>
                </c:pt>
                <c:pt idx="319">
                  <c:v>9.8899999999999995E-3</c:v>
                </c:pt>
                <c:pt idx="320">
                  <c:v>9.7628000000000003E-3</c:v>
                </c:pt>
                <c:pt idx="321">
                  <c:v>9.6100999999999999E-3</c:v>
                </c:pt>
                <c:pt idx="322">
                  <c:v>9.4333000000000004E-3</c:v>
                </c:pt>
                <c:pt idx="323">
                  <c:v>9.2336999999999992E-3</c:v>
                </c:pt>
                <c:pt idx="324">
                  <c:v>9.0127000000000002E-3</c:v>
                </c:pt>
                <c:pt idx="325">
                  <c:v>8.7715999999999992E-3</c:v>
                </c:pt>
                <c:pt idx="326">
                  <c:v>8.5118999999999993E-3</c:v>
                </c:pt>
                <c:pt idx="327">
                  <c:v>8.2349999999999993E-3</c:v>
                </c:pt>
                <c:pt idx="328">
                  <c:v>7.9422999999999994E-3</c:v>
                </c:pt>
                <c:pt idx="329">
                  <c:v>7.6352E-3</c:v>
                </c:pt>
                <c:pt idx="330">
                  <c:v>7.3150999999999997E-3</c:v>
                </c:pt>
                <c:pt idx="331">
                  <c:v>6.9832000000000002E-3</c:v>
                </c:pt>
                <c:pt idx="332">
                  <c:v>6.6408999999999999E-3</c:v>
                </c:pt>
                <c:pt idx="333">
                  <c:v>6.2896000000000002E-3</c:v>
                </c:pt>
                <c:pt idx="334">
                  <c:v>5.9303999999999997E-3</c:v>
                </c:pt>
                <c:pt idx="335">
                  <c:v>5.5645E-3</c:v>
                </c:pt>
                <c:pt idx="336">
                  <c:v>5.1931E-3</c:v>
                </c:pt>
                <c:pt idx="337">
                  <c:v>4.8174000000000003E-3</c:v>
                </c:pt>
                <c:pt idx="338">
                  <c:v>4.4384000000000003E-3</c:v>
                </c:pt>
                <c:pt idx="339">
                  <c:v>4.0571000000000001E-3</c:v>
                </c:pt>
                <c:pt idx="340">
                  <c:v>3.6746000000000001E-3</c:v>
                </c:pt>
                <c:pt idx="341">
                  <c:v>3.2916999999999998E-3</c:v>
                </c:pt>
                <c:pt idx="342">
                  <c:v>2.9093999999999999E-3</c:v>
                </c:pt>
                <c:pt idx="343">
                  <c:v>2.5284000000000001E-3</c:v>
                </c:pt>
                <c:pt idx="344">
                  <c:v>2.1497E-3</c:v>
                </c:pt>
                <c:pt idx="345">
                  <c:v>1.7738999999999999E-3</c:v>
                </c:pt>
                <c:pt idx="346">
                  <c:v>1.4017000000000001E-3</c:v>
                </c:pt>
                <c:pt idx="347">
                  <c:v>1.0337E-3</c:v>
                </c:pt>
                <c:pt idx="348">
                  <c:v>6.7062999999999997E-4</c:v>
                </c:pt>
                <c:pt idx="349">
                  <c:v>3.1290000000000002E-4</c:v>
                </c:pt>
                <c:pt idx="350">
                  <c:v>-3.8994E-5</c:v>
                </c:pt>
                <c:pt idx="351">
                  <c:v>-3.8463000000000001E-4</c:v>
                </c:pt>
                <c:pt idx="352">
                  <c:v>-7.2365999999999999E-4</c:v>
                </c:pt>
                <c:pt idx="353">
                  <c:v>-1.0558E-3</c:v>
                </c:pt>
                <c:pt idx="354">
                  <c:v>-1.3808E-3</c:v>
                </c:pt>
                <c:pt idx="355">
                  <c:v>-1.6984999999999999E-3</c:v>
                </c:pt>
                <c:pt idx="356">
                  <c:v>-2.0087999999999998E-3</c:v>
                </c:pt>
                <c:pt idx="357">
                  <c:v>-2.3116E-3</c:v>
                </c:pt>
                <c:pt idx="358">
                  <c:v>-2.6071000000000002E-3</c:v>
                </c:pt>
                <c:pt idx="359">
                  <c:v>-2.8952000000000001E-3</c:v>
                </c:pt>
                <c:pt idx="360">
                  <c:v>-3.1760999999999998E-3</c:v>
                </c:pt>
                <c:pt idx="361">
                  <c:v>-3.4499999999999999E-3</c:v>
                </c:pt>
                <c:pt idx="362">
                  <c:v>-3.7171000000000001E-3</c:v>
                </c:pt>
                <c:pt idx="363">
                  <c:v>-3.9776000000000004E-3</c:v>
                </c:pt>
                <c:pt idx="364">
                  <c:v>-4.2319000000000002E-3</c:v>
                </c:pt>
                <c:pt idx="365">
                  <c:v>-4.4803000000000004E-3</c:v>
                </c:pt>
                <c:pt idx="366">
                  <c:v>-4.7231E-3</c:v>
                </c:pt>
                <c:pt idx="367">
                  <c:v>-4.9607000000000002E-3</c:v>
                </c:pt>
                <c:pt idx="368">
                  <c:v>-5.1935000000000002E-3</c:v>
                </c:pt>
                <c:pt idx="369">
                  <c:v>-5.4218000000000001E-3</c:v>
                </c:pt>
                <c:pt idx="370">
                  <c:v>-5.6461000000000003E-3</c:v>
                </c:pt>
                <c:pt idx="371">
                  <c:v>-5.8666999999999999E-3</c:v>
                </c:pt>
                <c:pt idx="372">
                  <c:v>-6.084E-3</c:v>
                </c:pt>
                <c:pt idx="373">
                  <c:v>-6.2985000000000003E-3</c:v>
                </c:pt>
                <c:pt idx="374">
                  <c:v>-6.5104999999999998E-3</c:v>
                </c:pt>
                <c:pt idx="375">
                  <c:v>-6.7203000000000002E-3</c:v>
                </c:pt>
                <c:pt idx="376">
                  <c:v>-6.9284000000000004E-3</c:v>
                </c:pt>
                <c:pt idx="377">
                  <c:v>-7.1349999999999998E-3</c:v>
                </c:pt>
                <c:pt idx="378">
                  <c:v>-7.3404000000000004E-3</c:v>
                </c:pt>
                <c:pt idx="379">
                  <c:v>-7.5450999999999999E-3</c:v>
                </c:pt>
                <c:pt idx="380">
                  <c:v>-7.7492000000000004E-3</c:v>
                </c:pt>
                <c:pt idx="381">
                  <c:v>-7.9529000000000006E-3</c:v>
                </c:pt>
                <c:pt idx="382">
                  <c:v>-8.1565000000000006E-3</c:v>
                </c:pt>
                <c:pt idx="383">
                  <c:v>-8.3601000000000005E-3</c:v>
                </c:pt>
                <c:pt idx="384">
                  <c:v>-8.5640000000000004E-3</c:v>
                </c:pt>
                <c:pt idx="385">
                  <c:v>-8.7680999999999992E-3</c:v>
                </c:pt>
                <c:pt idx="386">
                  <c:v>-8.9724999999999996E-3</c:v>
                </c:pt>
                <c:pt idx="387">
                  <c:v>-9.1774000000000005E-3</c:v>
                </c:pt>
                <c:pt idx="388">
                  <c:v>-9.3825000000000002E-3</c:v>
                </c:pt>
                <c:pt idx="389">
                  <c:v>-9.5879999999999993E-3</c:v>
                </c:pt>
                <c:pt idx="390">
                  <c:v>-9.7937000000000007E-3</c:v>
                </c:pt>
                <c:pt idx="391">
                  <c:v>-9.9996000000000008E-3</c:v>
                </c:pt>
                <c:pt idx="392">
                  <c:v>-1.0205000000000001E-2</c:v>
                </c:pt>
                <c:pt idx="393">
                  <c:v>-1.0411E-2</c:v>
                </c:pt>
                <c:pt idx="394">
                  <c:v>-1.0616E-2</c:v>
                </c:pt>
                <c:pt idx="395">
                  <c:v>-1.0821000000000001E-2</c:v>
                </c:pt>
                <c:pt idx="396">
                  <c:v>-1.1025E-2</c:v>
                </c:pt>
                <c:pt idx="397">
                  <c:v>-1.1228E-2</c:v>
                </c:pt>
                <c:pt idx="398">
                  <c:v>-1.1429999999999999E-2</c:v>
                </c:pt>
                <c:pt idx="399">
                  <c:v>-1.163E-2</c:v>
                </c:pt>
                <c:pt idx="400">
                  <c:v>-1.1828999999999999E-2</c:v>
                </c:pt>
                <c:pt idx="401">
                  <c:v>-1.2024999999999999E-2</c:v>
                </c:pt>
                <c:pt idx="402">
                  <c:v>-1.222E-2</c:v>
                </c:pt>
                <c:pt idx="403">
                  <c:v>-1.2411999999999999E-2</c:v>
                </c:pt>
                <c:pt idx="404">
                  <c:v>-1.2600999999999999E-2</c:v>
                </c:pt>
                <c:pt idx="405">
                  <c:v>-1.2788000000000001E-2</c:v>
                </c:pt>
                <c:pt idx="406">
                  <c:v>-1.2971E-2</c:v>
                </c:pt>
                <c:pt idx="407">
                  <c:v>-1.3150999999999999E-2</c:v>
                </c:pt>
                <c:pt idx="408">
                  <c:v>-1.3327E-2</c:v>
                </c:pt>
                <c:pt idx="409">
                  <c:v>-1.35E-2</c:v>
                </c:pt>
                <c:pt idx="410">
                  <c:v>-1.3668E-2</c:v>
                </c:pt>
                <c:pt idx="411">
                  <c:v>-1.3832000000000001E-2</c:v>
                </c:pt>
                <c:pt idx="412">
                  <c:v>-1.3991E-2</c:v>
                </c:pt>
                <c:pt idx="413">
                  <c:v>-1.4146000000000001E-2</c:v>
                </c:pt>
                <c:pt idx="414">
                  <c:v>-1.4296E-2</c:v>
                </c:pt>
                <c:pt idx="415">
                  <c:v>-1.444E-2</c:v>
                </c:pt>
                <c:pt idx="416">
                  <c:v>-1.4579E-2</c:v>
                </c:pt>
                <c:pt idx="417">
                  <c:v>-1.4713E-2</c:v>
                </c:pt>
                <c:pt idx="418">
                  <c:v>-1.4841E-2</c:v>
                </c:pt>
                <c:pt idx="419">
                  <c:v>-1.4963000000000001E-2</c:v>
                </c:pt>
                <c:pt idx="420">
                  <c:v>-1.5079E-2</c:v>
                </c:pt>
                <c:pt idx="421">
                  <c:v>-1.5188E-2</c:v>
                </c:pt>
                <c:pt idx="422">
                  <c:v>-1.5292E-2</c:v>
                </c:pt>
                <c:pt idx="423">
                  <c:v>-1.5389E-2</c:v>
                </c:pt>
                <c:pt idx="424">
                  <c:v>-1.5479E-2</c:v>
                </c:pt>
                <c:pt idx="425">
                  <c:v>-1.5563E-2</c:v>
                </c:pt>
                <c:pt idx="426">
                  <c:v>-1.5640000000000001E-2</c:v>
                </c:pt>
                <c:pt idx="427">
                  <c:v>-1.5709999999999998E-2</c:v>
                </c:pt>
                <c:pt idx="428">
                  <c:v>-1.5774E-2</c:v>
                </c:pt>
                <c:pt idx="429">
                  <c:v>-1.583E-2</c:v>
                </c:pt>
                <c:pt idx="430">
                  <c:v>-1.5879999999999998E-2</c:v>
                </c:pt>
                <c:pt idx="431">
                  <c:v>-1.5921999999999999E-2</c:v>
                </c:pt>
                <c:pt idx="432">
                  <c:v>-1.5958E-2</c:v>
                </c:pt>
                <c:pt idx="433">
                  <c:v>-1.5986E-2</c:v>
                </c:pt>
                <c:pt idx="434">
                  <c:v>-1.6008000000000001E-2</c:v>
                </c:pt>
                <c:pt idx="435">
                  <c:v>-1.6022999999999999E-2</c:v>
                </c:pt>
                <c:pt idx="436">
                  <c:v>-1.6031E-2</c:v>
                </c:pt>
                <c:pt idx="437">
                  <c:v>-1.6032000000000001E-2</c:v>
                </c:pt>
                <c:pt idx="438">
                  <c:v>-1.6027E-2</c:v>
                </c:pt>
                <c:pt idx="439">
                  <c:v>-1.6015000000000001E-2</c:v>
                </c:pt>
                <c:pt idx="440">
                  <c:v>-1.5996E-2</c:v>
                </c:pt>
                <c:pt idx="441">
                  <c:v>-1.5970999999999999E-2</c:v>
                </c:pt>
                <c:pt idx="442">
                  <c:v>-1.5939999999999999E-2</c:v>
                </c:pt>
                <c:pt idx="443">
                  <c:v>-1.5901999999999999E-2</c:v>
                </c:pt>
                <c:pt idx="444">
                  <c:v>-1.5859000000000002E-2</c:v>
                </c:pt>
                <c:pt idx="445">
                  <c:v>-1.5809E-2</c:v>
                </c:pt>
                <c:pt idx="446">
                  <c:v>-1.5751999999999999E-2</c:v>
                </c:pt>
                <c:pt idx="447">
                  <c:v>-1.5689999999999999E-2</c:v>
                </c:pt>
                <c:pt idx="448">
                  <c:v>-1.5622E-2</c:v>
                </c:pt>
                <c:pt idx="449">
                  <c:v>-1.5549E-2</c:v>
                </c:pt>
                <c:pt idx="450">
                  <c:v>-1.5469E-2</c:v>
                </c:pt>
                <c:pt idx="451">
                  <c:v>-1.5384E-2</c:v>
                </c:pt>
                <c:pt idx="452">
                  <c:v>-1.5292999999999999E-2</c:v>
                </c:pt>
                <c:pt idx="453">
                  <c:v>-1.5197E-2</c:v>
                </c:pt>
                <c:pt idx="454">
                  <c:v>-1.5096E-2</c:v>
                </c:pt>
                <c:pt idx="455">
                  <c:v>-1.4989000000000001E-2</c:v>
                </c:pt>
                <c:pt idx="456">
                  <c:v>-1.4877E-2</c:v>
                </c:pt>
                <c:pt idx="457">
                  <c:v>-1.4760000000000001E-2</c:v>
                </c:pt>
                <c:pt idx="458">
                  <c:v>-1.4638E-2</c:v>
                </c:pt>
                <c:pt idx="459">
                  <c:v>-1.4511E-2</c:v>
                </c:pt>
                <c:pt idx="460">
                  <c:v>-1.4378999999999999E-2</c:v>
                </c:pt>
                <c:pt idx="461">
                  <c:v>-1.4243E-2</c:v>
                </c:pt>
                <c:pt idx="462">
                  <c:v>-1.4102E-2</c:v>
                </c:pt>
                <c:pt idx="463">
                  <c:v>-1.3956E-2</c:v>
                </c:pt>
                <c:pt idx="464">
                  <c:v>-1.3806000000000001E-2</c:v>
                </c:pt>
                <c:pt idx="465">
                  <c:v>-1.3651999999999999E-2</c:v>
                </c:pt>
                <c:pt idx="466">
                  <c:v>-1.3493E-2</c:v>
                </c:pt>
                <c:pt idx="467">
                  <c:v>-1.3331000000000001E-2</c:v>
                </c:pt>
                <c:pt idx="468">
                  <c:v>-1.3164E-2</c:v>
                </c:pt>
                <c:pt idx="469">
                  <c:v>-1.2992999999999999E-2</c:v>
                </c:pt>
                <c:pt idx="470">
                  <c:v>-1.2819000000000001E-2</c:v>
                </c:pt>
                <c:pt idx="471">
                  <c:v>-1.2640999999999999E-2</c:v>
                </c:pt>
                <c:pt idx="472">
                  <c:v>-1.2459E-2</c:v>
                </c:pt>
                <c:pt idx="473">
                  <c:v>-1.2274E-2</c:v>
                </c:pt>
                <c:pt idx="474">
                  <c:v>-1.2086E-2</c:v>
                </c:pt>
                <c:pt idx="475">
                  <c:v>-1.1894E-2</c:v>
                </c:pt>
                <c:pt idx="476">
                  <c:v>-1.1698999999999999E-2</c:v>
                </c:pt>
                <c:pt idx="477">
                  <c:v>-1.1501000000000001E-2</c:v>
                </c:pt>
                <c:pt idx="478">
                  <c:v>-1.1301E-2</c:v>
                </c:pt>
                <c:pt idx="479">
                  <c:v>-1.1096999999999999E-2</c:v>
                </c:pt>
                <c:pt idx="480">
                  <c:v>-1.0891E-2</c:v>
                </c:pt>
                <c:pt idx="481">
                  <c:v>-1.0683E-2</c:v>
                </c:pt>
                <c:pt idx="482">
                  <c:v>-1.0472E-2</c:v>
                </c:pt>
                <c:pt idx="483">
                  <c:v>-1.0259000000000001E-2</c:v>
                </c:pt>
                <c:pt idx="484">
                  <c:v>-1.0044000000000001E-2</c:v>
                </c:pt>
                <c:pt idx="485">
                  <c:v>-9.8262999999999996E-3</c:v>
                </c:pt>
                <c:pt idx="486">
                  <c:v>-9.6071000000000004E-3</c:v>
                </c:pt>
                <c:pt idx="487">
                  <c:v>-9.3862000000000008E-3</c:v>
                </c:pt>
                <c:pt idx="488">
                  <c:v>-9.1635999999999992E-3</c:v>
                </c:pt>
                <c:pt idx="489">
                  <c:v>-8.9394000000000001E-3</c:v>
                </c:pt>
                <c:pt idx="490">
                  <c:v>-8.7139000000000001E-3</c:v>
                </c:pt>
                <c:pt idx="491">
                  <c:v>-8.4869999999999998E-3</c:v>
                </c:pt>
                <c:pt idx="492">
                  <c:v>-8.2590000000000007E-3</c:v>
                </c:pt>
                <c:pt idx="493">
                  <c:v>-8.0298999999999995E-3</c:v>
                </c:pt>
                <c:pt idx="494">
                  <c:v>-7.7998E-3</c:v>
                </c:pt>
                <c:pt idx="495">
                  <c:v>-7.5688999999999999E-3</c:v>
                </c:pt>
                <c:pt idx="496">
                  <c:v>-7.3372000000000003E-3</c:v>
                </c:pt>
                <c:pt idx="497">
                  <c:v>-7.1050000000000002E-3</c:v>
                </c:pt>
                <c:pt idx="498">
                  <c:v>-6.8722000000000002E-3</c:v>
                </c:pt>
                <c:pt idx="499">
                  <c:v>-6.6389999999999999E-3</c:v>
                </c:pt>
                <c:pt idx="500">
                  <c:v>-6.4056E-3</c:v>
                </c:pt>
                <c:pt idx="501">
                  <c:v>-6.1720000000000004E-3</c:v>
                </c:pt>
                <c:pt idx="502">
                  <c:v>-5.9382999999999997E-3</c:v>
                </c:pt>
                <c:pt idx="503">
                  <c:v>-5.7045999999999998E-3</c:v>
                </c:pt>
                <c:pt idx="504">
                  <c:v>-5.4710999999999996E-3</c:v>
                </c:pt>
                <c:pt idx="505">
                  <c:v>-5.2377999999999999E-3</c:v>
                </c:pt>
                <c:pt idx="506">
                  <c:v>-5.0048999999999996E-3</c:v>
                </c:pt>
                <c:pt idx="507">
                  <c:v>-4.7724000000000004E-3</c:v>
                </c:pt>
                <c:pt idx="508">
                  <c:v>-4.5405000000000003E-3</c:v>
                </c:pt>
                <c:pt idx="509">
                  <c:v>-4.3092E-3</c:v>
                </c:pt>
                <c:pt idx="510">
                  <c:v>-4.0787000000000002E-3</c:v>
                </c:pt>
                <c:pt idx="511">
                  <c:v>-3.8490999999999998E-3</c:v>
                </c:pt>
                <c:pt idx="512">
                  <c:v>-3.6204000000000002E-3</c:v>
                </c:pt>
                <c:pt idx="513">
                  <c:v>-3.3926999999999998E-3</c:v>
                </c:pt>
                <c:pt idx="514">
                  <c:v>-3.1662000000000001E-3</c:v>
                </c:pt>
                <c:pt idx="515">
                  <c:v>-2.941E-3</c:v>
                </c:pt>
                <c:pt idx="516">
                  <c:v>-2.7169999999999998E-3</c:v>
                </c:pt>
                <c:pt idx="517">
                  <c:v>-2.4946E-3</c:v>
                </c:pt>
                <c:pt idx="518">
                  <c:v>-2.2736000000000002E-3</c:v>
                </c:pt>
                <c:pt idx="519">
                  <c:v>-2.0542999999999998E-3</c:v>
                </c:pt>
                <c:pt idx="520">
                  <c:v>-1.8366999999999999E-3</c:v>
                </c:pt>
                <c:pt idx="521">
                  <c:v>-1.6209E-3</c:v>
                </c:pt>
                <c:pt idx="522">
                  <c:v>-1.4069E-3</c:v>
                </c:pt>
                <c:pt idx="523">
                  <c:v>-1.1950000000000001E-3</c:v>
                </c:pt>
                <c:pt idx="524">
                  <c:v>-9.8518E-4</c:v>
                </c:pt>
                <c:pt idx="525">
                  <c:v>-7.7749999999999998E-4</c:v>
                </c:pt>
                <c:pt idx="526">
                  <c:v>-5.7207000000000004E-4</c:v>
                </c:pt>
                <c:pt idx="527">
                  <c:v>-3.6897999999999998E-4</c:v>
                </c:pt>
                <c:pt idx="528">
                  <c:v>-1.6830999999999999E-4</c:v>
                </c:pt>
                <c:pt idx="529">
                  <c:v>2.9858000000000001E-5</c:v>
                </c:pt>
                <c:pt idx="530">
                  <c:v>2.2542999999999999E-4</c:v>
                </c:pt>
                <c:pt idx="531">
                  <c:v>4.1834000000000001E-4</c:v>
                </c:pt>
                <c:pt idx="532">
                  <c:v>6.0849999999999999E-4</c:v>
                </c:pt>
                <c:pt idx="533">
                  <c:v>7.9582999999999997E-4</c:v>
                </c:pt>
                <c:pt idx="534">
                  <c:v>9.8025999999999994E-4</c:v>
                </c:pt>
                <c:pt idx="535">
                  <c:v>1.1617000000000001E-3</c:v>
                </c:pt>
                <c:pt idx="536">
                  <c:v>1.3401000000000001E-3</c:v>
                </c:pt>
                <c:pt idx="537">
                  <c:v>1.5154000000000001E-3</c:v>
                </c:pt>
                <c:pt idx="538">
                  <c:v>1.6875E-3</c:v>
                </c:pt>
                <c:pt idx="539">
                  <c:v>1.8563E-3</c:v>
                </c:pt>
                <c:pt idx="540">
                  <c:v>2.0217999999999998E-3</c:v>
                </c:pt>
                <c:pt idx="541">
                  <c:v>2.1838999999999999E-3</c:v>
                </c:pt>
                <c:pt idx="542">
                  <c:v>2.3425999999999998E-3</c:v>
                </c:pt>
                <c:pt idx="543">
                  <c:v>2.4978000000000001E-3</c:v>
                </c:pt>
                <c:pt idx="544">
                  <c:v>2.6494000000000001E-3</c:v>
                </c:pt>
                <c:pt idx="545">
                  <c:v>2.7973999999999998E-3</c:v>
                </c:pt>
                <c:pt idx="546">
                  <c:v>2.9418000000000001E-3</c:v>
                </c:pt>
                <c:pt idx="547">
                  <c:v>3.0823999999999999E-3</c:v>
                </c:pt>
                <c:pt idx="548">
                  <c:v>3.2193E-3</c:v>
                </c:pt>
                <c:pt idx="549">
                  <c:v>3.3524000000000002E-3</c:v>
                </c:pt>
                <c:pt idx="550">
                  <c:v>3.4816000000000001E-3</c:v>
                </c:pt>
                <c:pt idx="551">
                  <c:v>3.6069000000000001E-3</c:v>
                </c:pt>
                <c:pt idx="552">
                  <c:v>3.7282000000000001E-3</c:v>
                </c:pt>
                <c:pt idx="553">
                  <c:v>3.8455999999999998E-3</c:v>
                </c:pt>
                <c:pt idx="554">
                  <c:v>3.9591000000000001E-3</c:v>
                </c:pt>
                <c:pt idx="555">
                  <c:v>4.0685000000000001E-3</c:v>
                </c:pt>
                <c:pt idx="556">
                  <c:v>4.1739000000000004E-3</c:v>
                </c:pt>
                <c:pt idx="557">
                  <c:v>4.2753000000000001E-3</c:v>
                </c:pt>
                <c:pt idx="558">
                  <c:v>4.3727000000000002E-3</c:v>
                </c:pt>
                <c:pt idx="559">
                  <c:v>4.4660999999999998E-3</c:v>
                </c:pt>
                <c:pt idx="560">
                  <c:v>4.5554000000000002E-3</c:v>
                </c:pt>
                <c:pt idx="561">
                  <c:v>4.6407999999999996E-3</c:v>
                </c:pt>
                <c:pt idx="562">
                  <c:v>4.7222000000000002E-3</c:v>
                </c:pt>
                <c:pt idx="563">
                  <c:v>4.7996999999999996E-3</c:v>
                </c:pt>
                <c:pt idx="564">
                  <c:v>4.8732000000000003E-3</c:v>
                </c:pt>
                <c:pt idx="565">
                  <c:v>4.9427999999999998E-3</c:v>
                </c:pt>
                <c:pt idx="566">
                  <c:v>5.0086999999999996E-3</c:v>
                </c:pt>
                <c:pt idx="567">
                  <c:v>5.0707E-3</c:v>
                </c:pt>
                <c:pt idx="568">
                  <c:v>5.1289999999999999E-3</c:v>
                </c:pt>
                <c:pt idx="569">
                  <c:v>5.1837000000000003E-3</c:v>
                </c:pt>
                <c:pt idx="570">
                  <c:v>5.2347000000000001E-3</c:v>
                </c:pt>
                <c:pt idx="571">
                  <c:v>5.2823000000000002E-3</c:v>
                </c:pt>
                <c:pt idx="572">
                  <c:v>5.3263E-3</c:v>
                </c:pt>
                <c:pt idx="573">
                  <c:v>5.3670000000000002E-3</c:v>
                </c:pt>
                <c:pt idx="574">
                  <c:v>5.4044000000000002E-3</c:v>
                </c:pt>
                <c:pt idx="575">
                  <c:v>5.4384999999999998E-3</c:v>
                </c:pt>
                <c:pt idx="576">
                  <c:v>5.4695999999999998E-3</c:v>
                </c:pt>
                <c:pt idx="577">
                  <c:v>5.4976000000000001E-3</c:v>
                </c:pt>
                <c:pt idx="578">
                  <c:v>5.5227000000000002E-3</c:v>
                </c:pt>
                <c:pt idx="579">
                  <c:v>5.5449000000000002E-3</c:v>
                </c:pt>
                <c:pt idx="580">
                  <c:v>5.5645E-3</c:v>
                </c:pt>
                <c:pt idx="581">
                  <c:v>5.5814000000000002E-3</c:v>
                </c:pt>
                <c:pt idx="582">
                  <c:v>5.5957999999999997E-3</c:v>
                </c:pt>
                <c:pt idx="583">
                  <c:v>5.6077999999999996E-3</c:v>
                </c:pt>
                <c:pt idx="584">
                  <c:v>5.6173999999999998E-3</c:v>
                </c:pt>
                <c:pt idx="585">
                  <c:v>5.6248000000000001E-3</c:v>
                </c:pt>
                <c:pt idx="586">
                  <c:v>5.6302000000000001E-3</c:v>
                </c:pt>
                <c:pt idx="587">
                  <c:v>5.6334999999999996E-3</c:v>
                </c:pt>
                <c:pt idx="588">
                  <c:v>5.6347999999999997E-3</c:v>
                </c:pt>
                <c:pt idx="589">
                  <c:v>5.6344000000000003E-3</c:v>
                </c:pt>
                <c:pt idx="590">
                  <c:v>5.6322000000000004E-3</c:v>
                </c:pt>
                <c:pt idx="591">
                  <c:v>5.6284000000000004E-3</c:v>
                </c:pt>
                <c:pt idx="592">
                  <c:v>5.6230000000000004E-3</c:v>
                </c:pt>
                <c:pt idx="593">
                  <c:v>5.6160999999999997E-3</c:v>
                </c:pt>
                <c:pt idx="594">
                  <c:v>5.6077999999999996E-3</c:v>
                </c:pt>
                <c:pt idx="595">
                  <c:v>5.5982999999999996E-3</c:v>
                </c:pt>
                <c:pt idx="596">
                  <c:v>5.5874000000000002E-3</c:v>
                </c:pt>
                <c:pt idx="597">
                  <c:v>5.5754999999999997E-3</c:v>
                </c:pt>
                <c:pt idx="598">
                  <c:v>5.5624000000000003E-3</c:v>
                </c:pt>
                <c:pt idx="599">
                  <c:v>5.5482999999999999E-3</c:v>
                </c:pt>
                <c:pt idx="600">
                  <c:v>5.5332999999999997E-3</c:v>
                </c:pt>
                <c:pt idx="601">
                  <c:v>5.5173000000000002E-3</c:v>
                </c:pt>
                <c:pt idx="602">
                  <c:v>5.5005999999999996E-3</c:v>
                </c:pt>
                <c:pt idx="603">
                  <c:v>5.483E-3</c:v>
                </c:pt>
                <c:pt idx="604">
                  <c:v>5.4647999999999997E-3</c:v>
                </c:pt>
                <c:pt idx="605">
                  <c:v>5.4457999999999998E-3</c:v>
                </c:pt>
                <c:pt idx="606">
                  <c:v>5.4263000000000002E-3</c:v>
                </c:pt>
                <c:pt idx="607">
                  <c:v>5.4061999999999999E-3</c:v>
                </c:pt>
                <c:pt idx="608">
                  <c:v>5.3854999999999997E-3</c:v>
                </c:pt>
                <c:pt idx="609">
                  <c:v>5.3642999999999998E-3</c:v>
                </c:pt>
                <c:pt idx="610">
                  <c:v>5.3426000000000003E-3</c:v>
                </c:pt>
                <c:pt idx="611">
                  <c:v>5.3204999999999997E-3</c:v>
                </c:pt>
                <c:pt idx="612">
                  <c:v>5.2979999999999998E-3</c:v>
                </c:pt>
                <c:pt idx="613">
                  <c:v>5.2750999999999996E-3</c:v>
                </c:pt>
                <c:pt idx="614">
                  <c:v>5.2518E-3</c:v>
                </c:pt>
                <c:pt idx="615">
                  <c:v>5.2281000000000003E-3</c:v>
                </c:pt>
                <c:pt idx="616">
                  <c:v>5.2040999999999997E-3</c:v>
                </c:pt>
                <c:pt idx="617">
                  <c:v>5.1798E-3</c:v>
                </c:pt>
                <c:pt idx="618">
                  <c:v>5.1552000000000004E-3</c:v>
                </c:pt>
                <c:pt idx="619">
                  <c:v>5.1303E-3</c:v>
                </c:pt>
              </c:numCache>
            </c:numRef>
          </c:yVal>
          <c:smooth val="1"/>
          <c:extLst>
            <c:ext xmlns:c16="http://schemas.microsoft.com/office/drawing/2014/chart" uri="{C3380CC4-5D6E-409C-BE32-E72D297353CC}">
              <c16:uniqueId val="{00000006-00C6-46B2-92E3-3CDC1A8F00F7}"/>
            </c:ext>
          </c:extLst>
        </c:ser>
        <c:dLbls>
          <c:showLegendKey val="0"/>
          <c:showVal val="0"/>
          <c:showCatName val="0"/>
          <c:showSerName val="0"/>
          <c:showPercent val="0"/>
          <c:showBubbleSize val="0"/>
        </c:dLbls>
        <c:axId val="499203744"/>
        <c:axId val="499208736"/>
        <c:extLst>
          <c:ext xmlns:c15="http://schemas.microsoft.com/office/drawing/2012/chart" uri="{02D57815-91ED-43cb-92C2-25804820EDAC}">
            <c15:filteredScatterSeries>
              <c15:ser>
                <c:idx val="6"/>
                <c:order val="6"/>
                <c:spPr>
                  <a:ln w="19050" cap="rnd">
                    <a:solidFill>
                      <a:schemeClr val="accent1">
                        <a:lumMod val="60000"/>
                      </a:schemeClr>
                    </a:solidFill>
                    <a:round/>
                  </a:ln>
                  <a:effectLst/>
                </c:spPr>
                <c:marker>
                  <c:symbol val="none"/>
                </c:marker>
                <c:xVal>
                  <c:numRef>
                    <c:extLst>
                      <c:ex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c:ext uri="{02D57815-91ED-43cb-92C2-25804820EDAC}">
                        <c15:formulaRef>
                          <c15:sqref>'INIT-File+Corr'!$H$16:$H$636</c15:sqref>
                        </c15:formulaRef>
                      </c:ext>
                    </c:extLst>
                    <c:numCache>
                      <c:formatCode>0.000000</c:formatCode>
                      <c:ptCount val="620"/>
                      <c:pt idx="0">
                        <c:v>7.7408000000000002E-4</c:v>
                      </c:pt>
                      <c:pt idx="1">
                        <c:v>7.8189999999999998E-4</c:v>
                      </c:pt>
                      <c:pt idx="2">
                        <c:v>7.8978999999999996E-4</c:v>
                      </c:pt>
                      <c:pt idx="3">
                        <c:v>7.9776999999999995E-4</c:v>
                      </c:pt>
                      <c:pt idx="4">
                        <c:v>8.0583E-4</c:v>
                      </c:pt>
                      <c:pt idx="5">
                        <c:v>8.1397000000000001E-4</c:v>
                      </c:pt>
                      <c:pt idx="6">
                        <c:v>8.2218999999999999E-4</c:v>
                      </c:pt>
                      <c:pt idx="7">
                        <c:v>8.3049999999999997E-4</c:v>
                      </c:pt>
                      <c:pt idx="8">
                        <c:v>8.3889000000000001E-4</c:v>
                      </c:pt>
                      <c:pt idx="9">
                        <c:v>8.4736000000000002E-4</c:v>
                      </c:pt>
                      <c:pt idx="10">
                        <c:v>8.5592000000000003E-4</c:v>
                      </c:pt>
                      <c:pt idx="11">
                        <c:v>8.6456E-4</c:v>
                      </c:pt>
                      <c:pt idx="12">
                        <c:v>8.7330000000000003E-4</c:v>
                      </c:pt>
                      <c:pt idx="13">
                        <c:v>8.8212000000000002E-4</c:v>
                      </c:pt>
                      <c:pt idx="14">
                        <c:v>8.9103000000000001E-4</c:v>
                      </c:pt>
                      <c:pt idx="15">
                        <c:v>9.0001999999999997E-4</c:v>
                      </c:pt>
                      <c:pt idx="16">
                        <c:v>9.0908999999999998E-4</c:v>
                      </c:pt>
                      <c:pt idx="17">
                        <c:v>9.1821000000000003E-4</c:v>
                      </c:pt>
                      <c:pt idx="18">
                        <c:v>9.2734999999999996E-4</c:v>
                      </c:pt>
                      <c:pt idx="19">
                        <c:v>9.3645999999999996E-4</c:v>
                      </c:pt>
                      <c:pt idx="20">
                        <c:v>9.4547000000000001E-4</c:v>
                      </c:pt>
                      <c:pt idx="21">
                        <c:v>9.5430999999999999E-4</c:v>
                      </c:pt>
                      <c:pt idx="22">
                        <c:v>9.6287E-4</c:v>
                      </c:pt>
                      <c:pt idx="23">
                        <c:v>9.7104000000000005E-4</c:v>
                      </c:pt>
                      <c:pt idx="24">
                        <c:v>9.787000000000001E-4</c:v>
                      </c:pt>
                      <c:pt idx="25">
                        <c:v>9.8572999999999998E-4</c:v>
                      </c:pt>
                      <c:pt idx="26">
                        <c:v>9.9200000000000004E-4</c:v>
                      </c:pt>
                      <c:pt idx="27">
                        <c:v>9.9738999999999991E-4</c:v>
                      </c:pt>
                      <c:pt idx="28">
                        <c:v>1.0018E-3</c:v>
                      </c:pt>
                      <c:pt idx="29">
                        <c:v>1.0051000000000001E-3</c:v>
                      </c:pt>
                      <c:pt idx="30">
                        <c:v>1.0074000000000001E-3</c:v>
                      </c:pt>
                      <c:pt idx="31">
                        <c:v>1.0084E-3</c:v>
                      </c:pt>
                      <c:pt idx="32">
                        <c:v>1.0081999999999999E-3</c:v>
                      </c:pt>
                      <c:pt idx="33">
                        <c:v>1.0066999999999999E-3</c:v>
                      </c:pt>
                      <c:pt idx="34">
                        <c:v>1.0041E-3</c:v>
                      </c:pt>
                      <c:pt idx="35">
                        <c:v>1.0003E-3</c:v>
                      </c:pt>
                      <c:pt idx="36">
                        <c:v>9.9537999999999992E-4</c:v>
                      </c:pt>
                      <c:pt idx="37">
                        <c:v>9.8941999999999997E-4</c:v>
                      </c:pt>
                      <c:pt idx="38">
                        <c:v>9.8251000000000002E-4</c:v>
                      </c:pt>
                      <c:pt idx="39">
                        <c:v>9.7475999999999997E-4</c:v>
                      </c:pt>
                      <c:pt idx="40">
                        <c:v>9.6630000000000001E-4</c:v>
                      </c:pt>
                      <c:pt idx="41">
                        <c:v>9.5724999999999998E-4</c:v>
                      </c:pt>
                      <c:pt idx="42">
                        <c:v>9.4775000000000002E-4</c:v>
                      </c:pt>
                      <c:pt idx="43">
                        <c:v>9.3796999999999999E-4</c:v>
                      </c:pt>
                      <c:pt idx="44">
                        <c:v>9.2805999999999997E-4</c:v>
                      </c:pt>
                      <c:pt idx="45">
                        <c:v>9.1817999999999999E-4</c:v>
                      </c:pt>
                      <c:pt idx="46">
                        <c:v>9.0850999999999996E-4</c:v>
                      </c:pt>
                      <c:pt idx="47">
                        <c:v>8.9921E-4</c:v>
                      </c:pt>
                      <c:pt idx="48">
                        <c:v>8.9046000000000004E-4</c:v>
                      </c:pt>
                      <c:pt idx="49">
                        <c:v>8.8243999999999996E-4</c:v>
                      </c:pt>
                      <c:pt idx="50">
                        <c:v>8.7531000000000002E-4</c:v>
                      </c:pt>
                      <c:pt idx="51">
                        <c:v>8.6923999999999996E-4</c:v>
                      </c:pt>
                      <c:pt idx="52">
                        <c:v>8.6439999999999998E-4</c:v>
                      </c:pt>
                      <c:pt idx="53">
                        <c:v>8.6094999999999997E-4</c:v>
                      </c:pt>
                      <c:pt idx="54">
                        <c:v>8.5904000000000004E-4</c:v>
                      </c:pt>
                      <c:pt idx="55">
                        <c:v>8.6039000000000005E-4</c:v>
                      </c:pt>
                      <c:pt idx="56">
                        <c:v>8.6392000000000001E-4</c:v>
                      </c:pt>
                      <c:pt idx="57">
                        <c:v>8.6950000000000005E-4</c:v>
                      </c:pt>
                      <c:pt idx="58">
                        <c:v>8.7724000000000005E-4</c:v>
                      </c:pt>
                      <c:pt idx="59">
                        <c:v>8.8721000000000004E-4</c:v>
                      </c:pt>
                      <c:pt idx="60">
                        <c:v>8.9950000000000002E-4</c:v>
                      </c:pt>
                      <c:pt idx="61">
                        <c:v>9.1414999999999997E-4</c:v>
                      </c:pt>
                      <c:pt idx="62">
                        <c:v>9.3119000000000003E-4</c:v>
                      </c:pt>
                      <c:pt idx="63">
                        <c:v>9.5063000000000005E-4</c:v>
                      </c:pt>
                      <c:pt idx="64">
                        <c:v>9.7245999999999997E-4</c:v>
                      </c:pt>
                      <c:pt idx="65">
                        <c:v>9.9663000000000009E-4</c:v>
                      </c:pt>
                      <c:pt idx="66">
                        <c:v>1.0231000000000001E-3</c:v>
                      </c:pt>
                      <c:pt idx="67">
                        <c:v>1.0517E-3</c:v>
                      </c:pt>
                      <c:pt idx="68">
                        <c:v>1.0823E-3</c:v>
                      </c:pt>
                      <c:pt idx="69">
                        <c:v>1.1148E-3</c:v>
                      </c:pt>
                      <c:pt idx="70">
                        <c:v>1.1489E-3</c:v>
                      </c:pt>
                      <c:pt idx="71">
                        <c:v>1.1843999999999999E-3</c:v>
                      </c:pt>
                      <c:pt idx="72">
                        <c:v>1.2210000000000001E-3</c:v>
                      </c:pt>
                      <c:pt idx="73">
                        <c:v>1.2584E-3</c:v>
                      </c:pt>
                      <c:pt idx="74">
                        <c:v>1.2963E-3</c:v>
                      </c:pt>
                      <c:pt idx="75">
                        <c:v>1.3342E-3</c:v>
                      </c:pt>
                      <c:pt idx="76">
                        <c:v>1.3718000000000001E-3</c:v>
                      </c:pt>
                      <c:pt idx="77">
                        <c:v>1.4086000000000001E-3</c:v>
                      </c:pt>
                      <c:pt idx="78">
                        <c:v>1.4442999999999999E-3</c:v>
                      </c:pt>
                      <c:pt idx="79">
                        <c:v>1.4782E-3</c:v>
                      </c:pt>
                      <c:pt idx="80">
                        <c:v>1.5100000000000001E-3</c:v>
                      </c:pt>
                      <c:pt idx="81">
                        <c:v>1.5391000000000001E-3</c:v>
                      </c:pt>
                      <c:pt idx="82">
                        <c:v>1.565E-3</c:v>
                      </c:pt>
                      <c:pt idx="83">
                        <c:v>1.5870000000000001E-3</c:v>
                      </c:pt>
                      <c:pt idx="84">
                        <c:v>1.6046999999999999E-3</c:v>
                      </c:pt>
                      <c:pt idx="85">
                        <c:v>1.6174E-3</c:v>
                      </c:pt>
                      <c:pt idx="86">
                        <c:v>1.6245999999999999E-3</c:v>
                      </c:pt>
                      <c:pt idx="87">
                        <c:v>1.6256E-3</c:v>
                      </c:pt>
                      <c:pt idx="88">
                        <c:v>1.6199000000000001E-3</c:v>
                      </c:pt>
                      <c:pt idx="89">
                        <c:v>1.6069000000000001E-3</c:v>
                      </c:pt>
                      <c:pt idx="90">
                        <c:v>1.5858999999999999E-3</c:v>
                      </c:pt>
                      <c:pt idx="91">
                        <c:v>1.5567000000000001E-3</c:v>
                      </c:pt>
                      <c:pt idx="92">
                        <c:v>1.5185999999999999E-3</c:v>
                      </c:pt>
                      <c:pt idx="93">
                        <c:v>1.4713E-3</c:v>
                      </c:pt>
                      <c:pt idx="94">
                        <c:v>1.4146E-3</c:v>
                      </c:pt>
                      <c:pt idx="95">
                        <c:v>1.3481999999999999E-3</c:v>
                      </c:pt>
                      <c:pt idx="96">
                        <c:v>1.2721E-3</c:v>
                      </c:pt>
                      <c:pt idx="97">
                        <c:v>1.1862999999999999E-3</c:v>
                      </c:pt>
                      <c:pt idx="98">
                        <c:v>1.0908000000000001E-3</c:v>
                      </c:pt>
                      <c:pt idx="99">
                        <c:v>9.8604000000000009E-4</c:v>
                      </c:pt>
                      <c:pt idx="100">
                        <c:v>8.7235999999999998E-4</c:v>
                      </c:pt>
                      <c:pt idx="101">
                        <c:v>7.5027999999999998E-4</c:v>
                      </c:pt>
                      <c:pt idx="102">
                        <c:v>6.2045000000000004E-4</c:v>
                      </c:pt>
                      <c:pt idx="103">
                        <c:v>4.8364000000000002E-4</c:v>
                      </c:pt>
                      <c:pt idx="104">
                        <c:v>3.4069999999999999E-4</c:v>
                      </c:pt>
                      <c:pt idx="105">
                        <c:v>1.9260999999999999E-4</c:v>
                      </c:pt>
                      <c:pt idx="106">
                        <c:v>4.0432000000000002E-5</c:v>
                      </c:pt>
                      <c:pt idx="107">
                        <c:v>-1.1471E-4</c:v>
                      </c:pt>
                      <c:pt idx="108">
                        <c:v>-2.7161999999999998E-4</c:v>
                      </c:pt>
                      <c:pt idx="109">
                        <c:v>-4.2904999999999999E-4</c:v>
                      </c:pt>
                      <c:pt idx="110">
                        <c:v>-5.8573999999999996E-4</c:v>
                      </c:pt>
                      <c:pt idx="111">
                        <c:v>-7.404E-4</c:v>
                      </c:pt>
                      <c:pt idx="112">
                        <c:v>-8.9172000000000003E-4</c:v>
                      </c:pt>
                      <c:pt idx="113">
                        <c:v>-1.0384000000000001E-3</c:v>
                      </c:pt>
                      <c:pt idx="114">
                        <c:v>-1.1793000000000001E-3</c:v>
                      </c:pt>
                      <c:pt idx="115">
                        <c:v>-1.3129999999999999E-3</c:v>
                      </c:pt>
                      <c:pt idx="116">
                        <c:v>-1.4385999999999999E-3</c:v>
                      </c:pt>
                      <c:pt idx="117">
                        <c:v>-1.5548000000000001E-3</c:v>
                      </c:pt>
                      <c:pt idx="118">
                        <c:v>-1.6605999999999999E-3</c:v>
                      </c:pt>
                      <c:pt idx="119">
                        <c:v>-1.7551999999999999E-3</c:v>
                      </c:pt>
                      <c:pt idx="120">
                        <c:v>-1.8376E-3</c:v>
                      </c:pt>
                      <c:pt idx="121">
                        <c:v>-1.9070000000000001E-3</c:v>
                      </c:pt>
                      <c:pt idx="122">
                        <c:v>-1.9627999999999998E-3</c:v>
                      </c:pt>
                      <c:pt idx="123">
                        <c:v>-2.0041999999999998E-3</c:v>
                      </c:pt>
                      <c:pt idx="124">
                        <c:v>-2.0306E-3</c:v>
                      </c:pt>
                      <c:pt idx="125">
                        <c:v>-2.0414999999999999E-3</c:v>
                      </c:pt>
                      <c:pt idx="126">
                        <c:v>-2.0363E-3</c:v>
                      </c:pt>
                      <c:pt idx="127">
                        <c:v>-2.0143000000000001E-3</c:v>
                      </c:pt>
                      <c:pt idx="128">
                        <c:v>-1.9750000000000002E-3</c:v>
                      </c:pt>
                      <c:pt idx="129">
                        <c:v>-1.9177E-3</c:v>
                      </c:pt>
                      <c:pt idx="130">
                        <c:v>-1.8419E-3</c:v>
                      </c:pt>
                      <c:pt idx="131">
                        <c:v>-1.7466999999999999E-3</c:v>
                      </c:pt>
                      <c:pt idx="132">
                        <c:v>-1.6316E-3</c:v>
                      </c:pt>
                      <c:pt idx="133">
                        <c:v>-1.4959000000000001E-3</c:v>
                      </c:pt>
                      <c:pt idx="134">
                        <c:v>-1.3389999999999999E-3</c:v>
                      </c:pt>
                      <c:pt idx="135">
                        <c:v>-1.1605000000000001E-3</c:v>
                      </c:pt>
                      <c:pt idx="136">
                        <c:v>-9.5993000000000001E-4</c:v>
                      </c:pt>
                      <c:pt idx="137">
                        <c:v>-7.3716999999999999E-4</c:v>
                      </c:pt>
                      <c:pt idx="138">
                        <c:v>-4.9226000000000001E-4</c:v>
                      </c:pt>
                      <c:pt idx="139">
                        <c:v>-2.2556E-4</c:v>
                      </c:pt>
                      <c:pt idx="140">
                        <c:v>6.2278000000000002E-5</c:v>
                      </c:pt>
                      <c:pt idx="141">
                        <c:v>3.7020999999999999E-4</c:v>
                      </c:pt>
                      <c:pt idx="142">
                        <c:v>6.9684E-4</c:v>
                      </c:pt>
                      <c:pt idx="143">
                        <c:v>1.0403000000000001E-3</c:v>
                      </c:pt>
                      <c:pt idx="144">
                        <c:v>1.3985E-3</c:v>
                      </c:pt>
                      <c:pt idx="145">
                        <c:v>1.7687E-3</c:v>
                      </c:pt>
                      <c:pt idx="146">
                        <c:v>2.1478999999999999E-3</c:v>
                      </c:pt>
                      <c:pt idx="147">
                        <c:v>2.5330000000000001E-3</c:v>
                      </c:pt>
                      <c:pt idx="148">
                        <c:v>2.9202E-3</c:v>
                      </c:pt>
                      <c:pt idx="149">
                        <c:v>3.3057E-3</c:v>
                      </c:pt>
                      <c:pt idx="150">
                        <c:v>3.6857000000000001E-3</c:v>
                      </c:pt>
                      <c:pt idx="151">
                        <c:v>4.0561E-3</c:v>
                      </c:pt>
                      <c:pt idx="152">
                        <c:v>4.4127000000000003E-3</c:v>
                      </c:pt>
                      <c:pt idx="153">
                        <c:v>4.7515999999999999E-3</c:v>
                      </c:pt>
                      <c:pt idx="154">
                        <c:v>5.0689000000000003E-3</c:v>
                      </c:pt>
                      <c:pt idx="155">
                        <c:v>5.3607999999999998E-3</c:v>
                      </c:pt>
                      <c:pt idx="156">
                        <c:v>5.6238E-3</c:v>
                      </c:pt>
                      <c:pt idx="157">
                        <c:v>5.8548000000000003E-3</c:v>
                      </c:pt>
                      <c:pt idx="158">
                        <c:v>6.0507E-3</c:v>
                      </c:pt>
                      <c:pt idx="159">
                        <c:v>6.2088999999999998E-3</c:v>
                      </c:pt>
                      <c:pt idx="160">
                        <c:v>6.3273000000000001E-3</c:v>
                      </c:pt>
                      <c:pt idx="161">
                        <c:v>6.4038999999999997E-3</c:v>
                      </c:pt>
                      <c:pt idx="162">
                        <c:v>6.4371000000000003E-3</c:v>
                      </c:pt>
                      <c:pt idx="163">
                        <c:v>6.4257000000000003E-3</c:v>
                      </c:pt>
                      <c:pt idx="164">
                        <c:v>6.3689000000000003E-3</c:v>
                      </c:pt>
                      <c:pt idx="165">
                        <c:v>6.2662000000000004E-3</c:v>
                      </c:pt>
                      <c:pt idx="166">
                        <c:v>6.1174999999999997E-3</c:v>
                      </c:pt>
                      <c:pt idx="167">
                        <c:v>5.9227999999999998E-3</c:v>
                      </c:pt>
                      <c:pt idx="168">
                        <c:v>5.6826000000000003E-3</c:v>
                      </c:pt>
                      <c:pt idx="169">
                        <c:v>5.3977000000000001E-3</c:v>
                      </c:pt>
                      <c:pt idx="170">
                        <c:v>5.0692000000000003E-3</c:v>
                      </c:pt>
                      <c:pt idx="171">
                        <c:v>4.6982999999999999E-3</c:v>
                      </c:pt>
                      <c:pt idx="172">
                        <c:v>4.2867000000000001E-3</c:v>
                      </c:pt>
                      <c:pt idx="173">
                        <c:v>3.8362000000000001E-3</c:v>
                      </c:pt>
                      <c:pt idx="174">
                        <c:v>3.3489000000000001E-3</c:v>
                      </c:pt>
                      <c:pt idx="175">
                        <c:v>2.8272000000000002E-3</c:v>
                      </c:pt>
                      <c:pt idx="176">
                        <c:v>2.2737E-3</c:v>
                      </c:pt>
                      <c:pt idx="177">
                        <c:v>1.6911999999999999E-3</c:v>
                      </c:pt>
                      <c:pt idx="178">
                        <c:v>1.0826E-3</c:v>
                      </c:pt>
                      <c:pt idx="179">
                        <c:v>4.5134E-4</c:v>
                      </c:pt>
                      <c:pt idx="180">
                        <c:v>-1.9921000000000001E-4</c:v>
                      </c:pt>
                      <c:pt idx="181">
                        <c:v>-8.654E-4</c:v>
                      </c:pt>
                      <c:pt idx="182">
                        <c:v>-1.5433999999999999E-3</c:v>
                      </c:pt>
                      <c:pt idx="183">
                        <c:v>-2.2292000000000002E-3</c:v>
                      </c:pt>
                      <c:pt idx="184">
                        <c:v>-2.9185999999999999E-3</c:v>
                      </c:pt>
                      <c:pt idx="185">
                        <c:v>-3.6072999999999999E-3</c:v>
                      </c:pt>
                      <c:pt idx="186">
                        <c:v>-4.2908E-3</c:v>
                      </c:pt>
                      <c:pt idx="187">
                        <c:v>-4.9645999999999996E-3</c:v>
                      </c:pt>
                      <c:pt idx="188">
                        <c:v>-5.6239999999999997E-3</c:v>
                      </c:pt>
                      <c:pt idx="189">
                        <c:v>-6.2640999999999999E-3</c:v>
                      </c:pt>
                      <c:pt idx="190">
                        <c:v>-6.8801000000000001E-3</c:v>
                      </c:pt>
                      <c:pt idx="191">
                        <c:v>-7.4671E-3</c:v>
                      </c:pt>
                      <c:pt idx="192">
                        <c:v>-8.0198999999999999E-3</c:v>
                      </c:pt>
                      <c:pt idx="193">
                        <c:v>-8.5337E-3</c:v>
                      </c:pt>
                      <c:pt idx="194">
                        <c:v>-9.0031999999999994E-3</c:v>
                      </c:pt>
                      <c:pt idx="195">
                        <c:v>-9.4236000000000007E-3</c:v>
                      </c:pt>
                      <c:pt idx="196">
                        <c:v>-9.7896000000000007E-3</c:v>
                      </c:pt>
                      <c:pt idx="197">
                        <c:v>-1.0097E-2</c:v>
                      </c:pt>
                      <c:pt idx="198">
                        <c:v>-1.0338999999999999E-2</c:v>
                      </c:pt>
                      <c:pt idx="199">
                        <c:v>-1.0513E-2</c:v>
                      </c:pt>
                      <c:pt idx="200">
                        <c:v>-1.0612999999999999E-2</c:v>
                      </c:pt>
                      <c:pt idx="201">
                        <c:v>-1.0636E-2</c:v>
                      </c:pt>
                      <c:pt idx="202">
                        <c:v>-1.0576E-2</c:v>
                      </c:pt>
                      <c:pt idx="203">
                        <c:v>-1.043E-2</c:v>
                      </c:pt>
                      <c:pt idx="204">
                        <c:v>-1.0194E-2</c:v>
                      </c:pt>
                      <c:pt idx="205">
                        <c:v>-9.8659999999999998E-3</c:v>
                      </c:pt>
                      <c:pt idx="206">
                        <c:v>-9.4417000000000008E-3</c:v>
                      </c:pt>
                      <c:pt idx="207">
                        <c:v>-8.9195999999999998E-3</c:v>
                      </c:pt>
                      <c:pt idx="208">
                        <c:v>-8.2979000000000004E-3</c:v>
                      </c:pt>
                      <c:pt idx="209">
                        <c:v>-7.5759E-3</c:v>
                      </c:pt>
                      <c:pt idx="210">
                        <c:v>-6.7532E-3</c:v>
                      </c:pt>
                      <c:pt idx="211">
                        <c:v>-5.8307999999999997E-3</c:v>
                      </c:pt>
                      <c:pt idx="212">
                        <c:v>-4.8103E-3</c:v>
                      </c:pt>
                      <c:pt idx="213">
                        <c:v>-3.6941999999999999E-3</c:v>
                      </c:pt>
                      <c:pt idx="214">
                        <c:v>-2.4862999999999999E-3</c:v>
                      </c:pt>
                      <c:pt idx="215">
                        <c:v>-1.191E-3</c:v>
                      </c:pt>
                      <c:pt idx="216">
                        <c:v>1.8647E-4</c:v>
                      </c:pt>
                      <c:pt idx="217">
                        <c:v>1.6401E-3</c:v>
                      </c:pt>
                      <c:pt idx="218">
                        <c:v>3.1635000000000001E-3</c:v>
                      </c:pt>
                      <c:pt idx="219">
                        <c:v>4.7495999999999997E-3</c:v>
                      </c:pt>
                      <c:pt idx="220">
                        <c:v>6.3912999999999999E-3</c:v>
                      </c:pt>
                      <c:pt idx="221">
                        <c:v>8.0811000000000008E-3</c:v>
                      </c:pt>
                      <c:pt idx="222">
                        <c:v>9.8115000000000008E-3</c:v>
                      </c:pt>
                      <c:pt idx="223">
                        <c:v>1.1575E-2</c:v>
                      </c:pt>
                      <c:pt idx="224">
                        <c:v>1.3363E-2</c:v>
                      </c:pt>
                      <c:pt idx="225">
                        <c:v>1.5169E-2</c:v>
                      </c:pt>
                      <c:pt idx="226">
                        <c:v>1.6983999999999999E-2</c:v>
                      </c:pt>
                      <c:pt idx="227">
                        <c:v>1.8801999999999999E-2</c:v>
                      </c:pt>
                      <c:pt idx="228">
                        <c:v>2.0614E-2</c:v>
                      </c:pt>
                      <c:pt idx="229">
                        <c:v>2.2414E-2</c:v>
                      </c:pt>
                      <c:pt idx="230">
                        <c:v>2.4192999999999999E-2</c:v>
                      </c:pt>
                      <c:pt idx="231">
                        <c:v>2.5946E-2</c:v>
                      </c:pt>
                      <c:pt idx="232">
                        <c:v>2.7664999999999999E-2</c:v>
                      </c:pt>
                      <c:pt idx="233">
                        <c:v>2.9343000000000001E-2</c:v>
                      </c:pt>
                      <c:pt idx="234">
                        <c:v>3.0974000000000002E-2</c:v>
                      </c:pt>
                      <c:pt idx="235">
                        <c:v>3.2551999999999998E-2</c:v>
                      </c:pt>
                      <c:pt idx="236">
                        <c:v>3.4071999999999998E-2</c:v>
                      </c:pt>
                      <c:pt idx="237">
                        <c:v>3.5527000000000003E-2</c:v>
                      </c:pt>
                      <c:pt idx="238">
                        <c:v>3.6913000000000001E-2</c:v>
                      </c:pt>
                      <c:pt idx="239">
                        <c:v>3.8224000000000001E-2</c:v>
                      </c:pt>
                      <c:pt idx="240">
                        <c:v>3.9458E-2</c:v>
                      </c:pt>
                      <c:pt idx="241">
                        <c:v>4.0608999999999999E-2</c:v>
                      </c:pt>
                      <c:pt idx="242">
                        <c:v>4.1673000000000002E-2</c:v>
                      </c:pt>
                      <c:pt idx="243">
                        <c:v>4.2648999999999999E-2</c:v>
                      </c:pt>
                      <c:pt idx="244">
                        <c:v>4.3533000000000002E-2</c:v>
                      </c:pt>
                      <c:pt idx="245">
                        <c:v>4.4322E-2</c:v>
                      </c:pt>
                      <c:pt idx="246">
                        <c:v>4.5013999999999998E-2</c:v>
                      </c:pt>
                      <c:pt idx="247">
                        <c:v>4.5608999999999997E-2</c:v>
                      </c:pt>
                      <c:pt idx="248">
                        <c:v>4.6102999999999998E-2</c:v>
                      </c:pt>
                      <c:pt idx="249">
                        <c:v>4.6497999999999998E-2</c:v>
                      </c:pt>
                      <c:pt idx="250">
                        <c:v>4.6790999999999999E-2</c:v>
                      </c:pt>
                      <c:pt idx="251">
                        <c:v>4.6982999999999997E-2</c:v>
                      </c:pt>
                      <c:pt idx="252">
                        <c:v>4.7074999999999999E-2</c:v>
                      </c:pt>
                      <c:pt idx="253">
                        <c:v>4.7065999999999997E-2</c:v>
                      </c:pt>
                      <c:pt idx="254">
                        <c:v>4.6959000000000001E-2</c:v>
                      </c:pt>
                      <c:pt idx="255">
                        <c:v>4.6753999999999997E-2</c:v>
                      </c:pt>
                      <c:pt idx="256">
                        <c:v>4.6453000000000001E-2</c:v>
                      </c:pt>
                      <c:pt idx="257">
                        <c:v>4.6059999999999997E-2</c:v>
                      </c:pt>
                      <c:pt idx="258">
                        <c:v>4.5574999999999997E-2</c:v>
                      </c:pt>
                      <c:pt idx="259">
                        <c:v>4.5003000000000001E-2</c:v>
                      </c:pt>
                      <c:pt idx="260">
                        <c:v>4.4345000000000002E-2</c:v>
                      </c:pt>
                      <c:pt idx="261">
                        <c:v>4.3604999999999998E-2</c:v>
                      </c:pt>
                      <c:pt idx="262">
                        <c:v>4.2786999999999999E-2</c:v>
                      </c:pt>
                      <c:pt idx="263">
                        <c:v>4.1893E-2</c:v>
                      </c:pt>
                      <c:pt idx="264">
                        <c:v>4.0927999999999999E-2</c:v>
                      </c:pt>
                      <c:pt idx="265">
                        <c:v>3.9893999999999999E-2</c:v>
                      </c:pt>
                      <c:pt idx="266">
                        <c:v>3.8795999999999997E-2</c:v>
                      </c:pt>
                      <c:pt idx="267">
                        <c:v>3.7636999999999997E-2</c:v>
                      </c:pt>
                      <c:pt idx="268">
                        <c:v>3.6421000000000002E-2</c:v>
                      </c:pt>
                      <c:pt idx="269">
                        <c:v>3.5152000000000003E-2</c:v>
                      </c:pt>
                      <c:pt idx="270">
                        <c:v>3.3834000000000003E-2</c:v>
                      </c:pt>
                      <c:pt idx="271">
                        <c:v>3.2469999999999999E-2</c:v>
                      </c:pt>
                      <c:pt idx="272">
                        <c:v>3.1066E-2</c:v>
                      </c:pt>
                      <c:pt idx="273">
                        <c:v>2.9624999999999999E-2</c:v>
                      </c:pt>
                      <c:pt idx="274">
                        <c:v>2.8150999999999999E-2</c:v>
                      </c:pt>
                      <c:pt idx="275">
                        <c:v>2.6648999999999999E-2</c:v>
                      </c:pt>
                      <c:pt idx="276">
                        <c:v>2.5124E-2</c:v>
                      </c:pt>
                      <c:pt idx="277">
                        <c:v>2.3578999999999999E-2</c:v>
                      </c:pt>
                      <c:pt idx="278">
                        <c:v>2.2020000000000001E-2</c:v>
                      </c:pt>
                      <c:pt idx="279">
                        <c:v>2.0451E-2</c:v>
                      </c:pt>
                      <c:pt idx="280">
                        <c:v>1.8877000000000001E-2</c:v>
                      </c:pt>
                      <c:pt idx="281">
                        <c:v>1.7302999999999999E-2</c:v>
                      </c:pt>
                      <c:pt idx="282">
                        <c:v>1.5734999999999999E-2</c:v>
                      </c:pt>
                      <c:pt idx="283">
                        <c:v>1.4175999999999999E-2</c:v>
                      </c:pt>
                      <c:pt idx="284">
                        <c:v>1.2631E-2</c:v>
                      </c:pt>
                      <c:pt idx="285">
                        <c:v>1.1105E-2</c:v>
                      </c:pt>
                      <c:pt idx="286">
                        <c:v>9.6010000000000002E-3</c:v>
                      </c:pt>
                      <c:pt idx="287">
                        <c:v>8.1227000000000001E-3</c:v>
                      </c:pt>
                      <c:pt idx="288">
                        <c:v>6.6728999999999998E-3</c:v>
                      </c:pt>
                      <c:pt idx="289">
                        <c:v>5.2541000000000003E-3</c:v>
                      </c:pt>
                      <c:pt idx="290">
                        <c:v>3.8682E-3</c:v>
                      </c:pt>
                      <c:pt idx="291">
                        <c:v>2.5171999999999998E-3</c:v>
                      </c:pt>
                      <c:pt idx="292">
                        <c:v>1.2025E-3</c:v>
                      </c:pt>
                      <c:pt idx="293">
                        <c:v>-7.4599999999999997E-5</c:v>
                      </c:pt>
                      <c:pt idx="294">
                        <c:v>-1.3129999999999999E-3</c:v>
                      </c:pt>
                      <c:pt idx="295">
                        <c:v>-2.5117E-3</c:v>
                      </c:pt>
                      <c:pt idx="296">
                        <c:v>-3.6698999999999998E-3</c:v>
                      </c:pt>
                      <c:pt idx="297">
                        <c:v>-4.7869000000000002E-3</c:v>
                      </c:pt>
                      <c:pt idx="298">
                        <c:v>-5.8621000000000003E-3</c:v>
                      </c:pt>
                      <c:pt idx="299">
                        <c:v>-6.8950000000000001E-3</c:v>
                      </c:pt>
                      <c:pt idx="300">
                        <c:v>-7.8851000000000008E-3</c:v>
                      </c:pt>
                      <c:pt idx="301">
                        <c:v>-8.8322999999999995E-3</c:v>
                      </c:pt>
                      <c:pt idx="302">
                        <c:v>-9.7360999999999993E-3</c:v>
                      </c:pt>
                      <c:pt idx="303">
                        <c:v>-1.0597000000000001E-2</c:v>
                      </c:pt>
                      <c:pt idx="304">
                        <c:v>-1.1414000000000001E-2</c:v>
                      </c:pt>
                      <c:pt idx="305">
                        <c:v>-1.2187999999999999E-2</c:v>
                      </c:pt>
                      <c:pt idx="306">
                        <c:v>-1.2918000000000001E-2</c:v>
                      </c:pt>
                      <c:pt idx="307">
                        <c:v>-1.3606E-2</c:v>
                      </c:pt>
                      <c:pt idx="308">
                        <c:v>-1.4251E-2</c:v>
                      </c:pt>
                      <c:pt idx="309">
                        <c:v>-1.4855E-2</c:v>
                      </c:pt>
                      <c:pt idx="310">
                        <c:v>-1.5417E-2</c:v>
                      </c:pt>
                      <c:pt idx="311">
                        <c:v>-1.5938999999999998E-2</c:v>
                      </c:pt>
                      <c:pt idx="312">
                        <c:v>-1.6421000000000002E-2</c:v>
                      </c:pt>
                      <c:pt idx="313">
                        <c:v>-1.6864000000000001E-2</c:v>
                      </c:pt>
                      <c:pt idx="314">
                        <c:v>-1.7269E-2</c:v>
                      </c:pt>
                      <c:pt idx="315">
                        <c:v>-1.7637E-2</c:v>
                      </c:pt>
                      <c:pt idx="316">
                        <c:v>-1.797E-2</c:v>
                      </c:pt>
                      <c:pt idx="317">
                        <c:v>-1.8266999999999999E-2</c:v>
                      </c:pt>
                      <c:pt idx="318">
                        <c:v>-1.8532E-2</c:v>
                      </c:pt>
                      <c:pt idx="319">
                        <c:v>-1.8763999999999999E-2</c:v>
                      </c:pt>
                      <c:pt idx="320">
                        <c:v>-1.8964999999999999E-2</c:v>
                      </c:pt>
                      <c:pt idx="321">
                        <c:v>-1.9137000000000001E-2</c:v>
                      </c:pt>
                      <c:pt idx="322">
                        <c:v>-1.9281E-2</c:v>
                      </c:pt>
                      <c:pt idx="323">
                        <c:v>-1.9397999999999999E-2</c:v>
                      </c:pt>
                      <c:pt idx="324">
                        <c:v>-1.949E-2</c:v>
                      </c:pt>
                      <c:pt idx="325">
                        <c:v>-1.9557999999999999E-2</c:v>
                      </c:pt>
                      <c:pt idx="326">
                        <c:v>-1.9604E-2</c:v>
                      </c:pt>
                      <c:pt idx="327">
                        <c:v>-1.9629000000000001E-2</c:v>
                      </c:pt>
                      <c:pt idx="328">
                        <c:v>-1.9633999999999999E-2</c:v>
                      </c:pt>
                      <c:pt idx="329">
                        <c:v>-1.9622000000000001E-2</c:v>
                      </c:pt>
                      <c:pt idx="330">
                        <c:v>-1.9592999999999999E-2</c:v>
                      </c:pt>
                      <c:pt idx="331">
                        <c:v>-1.9549E-2</c:v>
                      </c:pt>
                      <c:pt idx="332">
                        <c:v>-1.9491999999999999E-2</c:v>
                      </c:pt>
                      <c:pt idx="333">
                        <c:v>-1.9421000000000001E-2</c:v>
                      </c:pt>
                      <c:pt idx="334">
                        <c:v>-1.9338999999999999E-2</c:v>
                      </c:pt>
                      <c:pt idx="335">
                        <c:v>-1.9247E-2</c:v>
                      </c:pt>
                      <c:pt idx="336">
                        <c:v>-1.9144999999999999E-2</c:v>
                      </c:pt>
                      <c:pt idx="337">
                        <c:v>-1.9035E-2</c:v>
                      </c:pt>
                      <c:pt idx="338">
                        <c:v>-1.8917E-2</c:v>
                      </c:pt>
                      <c:pt idx="339">
                        <c:v>-1.8793000000000001E-2</c:v>
                      </c:pt>
                      <c:pt idx="340">
                        <c:v>-1.8662999999999999E-2</c:v>
                      </c:pt>
                      <c:pt idx="341">
                        <c:v>-1.8527999999999999E-2</c:v>
                      </c:pt>
                      <c:pt idx="342">
                        <c:v>-1.8388999999999999E-2</c:v>
                      </c:pt>
                      <c:pt idx="343">
                        <c:v>-1.8245999999999998E-2</c:v>
                      </c:pt>
                      <c:pt idx="344">
                        <c:v>-1.8100000000000002E-2</c:v>
                      </c:pt>
                      <c:pt idx="345">
                        <c:v>-1.7951000000000002E-2</c:v>
                      </c:pt>
                      <c:pt idx="346">
                        <c:v>-1.78E-2</c:v>
                      </c:pt>
                      <c:pt idx="347">
                        <c:v>-1.7646999999999999E-2</c:v>
                      </c:pt>
                      <c:pt idx="348">
                        <c:v>-1.7493000000000002E-2</c:v>
                      </c:pt>
                      <c:pt idx="349">
                        <c:v>-1.7337999999999999E-2</c:v>
                      </c:pt>
                      <c:pt idx="350">
                        <c:v>-1.7183E-2</c:v>
                      </c:pt>
                      <c:pt idx="351">
                        <c:v>-1.7027E-2</c:v>
                      </c:pt>
                      <c:pt idx="352">
                        <c:v>-1.687E-2</c:v>
                      </c:pt>
                      <c:pt idx="353">
                        <c:v>-1.6714E-2</c:v>
                      </c:pt>
                      <c:pt idx="354">
                        <c:v>-1.6558E-2</c:v>
                      </c:pt>
                      <c:pt idx="355">
                        <c:v>-1.6403000000000001E-2</c:v>
                      </c:pt>
                      <c:pt idx="356">
                        <c:v>-1.6247999999999999E-2</c:v>
                      </c:pt>
                      <c:pt idx="357">
                        <c:v>-1.6094000000000001E-2</c:v>
                      </c:pt>
                      <c:pt idx="358">
                        <c:v>-1.5941E-2</c:v>
                      </c:pt>
                      <c:pt idx="359">
                        <c:v>-1.5788E-2</c:v>
                      </c:pt>
                      <c:pt idx="360">
                        <c:v>-1.5636000000000001E-2</c:v>
                      </c:pt>
                      <c:pt idx="361">
                        <c:v>-1.5485000000000001E-2</c:v>
                      </c:pt>
                      <c:pt idx="362">
                        <c:v>-1.5335E-2</c:v>
                      </c:pt>
                      <c:pt idx="363">
                        <c:v>-1.5186E-2</c:v>
                      </c:pt>
                      <c:pt idx="364">
                        <c:v>-1.5037999999999999E-2</c:v>
                      </c:pt>
                      <c:pt idx="365">
                        <c:v>-1.489E-2</c:v>
                      </c:pt>
                      <c:pt idx="366">
                        <c:v>-1.4742999999999999E-2</c:v>
                      </c:pt>
                      <c:pt idx="367">
                        <c:v>-1.4596E-2</c:v>
                      </c:pt>
                      <c:pt idx="368">
                        <c:v>-1.4451E-2</c:v>
                      </c:pt>
                      <c:pt idx="369">
                        <c:v>-1.4305E-2</c:v>
                      </c:pt>
                      <c:pt idx="370">
                        <c:v>-1.4160000000000001E-2</c:v>
                      </c:pt>
                      <c:pt idx="371">
                        <c:v>-1.4015E-2</c:v>
                      </c:pt>
                      <c:pt idx="372">
                        <c:v>-1.387E-2</c:v>
                      </c:pt>
                      <c:pt idx="373">
                        <c:v>-1.3726E-2</c:v>
                      </c:pt>
                      <c:pt idx="374">
                        <c:v>-1.3580999999999999E-2</c:v>
                      </c:pt>
                      <c:pt idx="375">
                        <c:v>-1.3436E-2</c:v>
                      </c:pt>
                      <c:pt idx="376">
                        <c:v>-1.3291000000000001E-2</c:v>
                      </c:pt>
                      <c:pt idx="377">
                        <c:v>-1.3145E-2</c:v>
                      </c:pt>
                      <c:pt idx="378">
                        <c:v>-1.2999E-2</c:v>
                      </c:pt>
                      <c:pt idx="379">
                        <c:v>-1.2853E-2</c:v>
                      </c:pt>
                      <c:pt idx="380">
                        <c:v>-1.2706E-2</c:v>
                      </c:pt>
                      <c:pt idx="381">
                        <c:v>-1.2558E-2</c:v>
                      </c:pt>
                      <c:pt idx="382">
                        <c:v>-1.2409999999999999E-2</c:v>
                      </c:pt>
                      <c:pt idx="383">
                        <c:v>-1.226E-2</c:v>
                      </c:pt>
                      <c:pt idx="384">
                        <c:v>-1.2109999999999999E-2</c:v>
                      </c:pt>
                      <c:pt idx="385">
                        <c:v>-1.196E-2</c:v>
                      </c:pt>
                      <c:pt idx="386">
                        <c:v>-1.1808000000000001E-2</c:v>
                      </c:pt>
                      <c:pt idx="387">
                        <c:v>-1.1655E-2</c:v>
                      </c:pt>
                      <c:pt idx="388">
                        <c:v>-1.1502E-2</c:v>
                      </c:pt>
                      <c:pt idx="389">
                        <c:v>-1.1348E-2</c:v>
                      </c:pt>
                      <c:pt idx="390">
                        <c:v>-1.1193E-2</c:v>
                      </c:pt>
                      <c:pt idx="391">
                        <c:v>-1.1037999999999999E-2</c:v>
                      </c:pt>
                      <c:pt idx="392">
                        <c:v>-1.0881999999999999E-2</c:v>
                      </c:pt>
                      <c:pt idx="393">
                        <c:v>-1.0725E-2</c:v>
                      </c:pt>
                      <c:pt idx="394">
                        <c:v>-1.0567999999999999E-2</c:v>
                      </c:pt>
                      <c:pt idx="395">
                        <c:v>-1.0410000000000001E-2</c:v>
                      </c:pt>
                      <c:pt idx="396">
                        <c:v>-1.0252000000000001E-2</c:v>
                      </c:pt>
                      <c:pt idx="397">
                        <c:v>-1.0094000000000001E-2</c:v>
                      </c:pt>
                      <c:pt idx="398">
                        <c:v>-9.9360000000000004E-3</c:v>
                      </c:pt>
                      <c:pt idx="399">
                        <c:v>-9.7777000000000003E-3</c:v>
                      </c:pt>
                      <c:pt idx="400">
                        <c:v>-9.6194999999999996E-3</c:v>
                      </c:pt>
                      <c:pt idx="401">
                        <c:v>-9.4614E-3</c:v>
                      </c:pt>
                      <c:pt idx="402">
                        <c:v>-9.3034999999999993E-3</c:v>
                      </c:pt>
                      <c:pt idx="403">
                        <c:v>-9.1459000000000002E-3</c:v>
                      </c:pt>
                      <c:pt idx="404">
                        <c:v>-8.9887999999999999E-3</c:v>
                      </c:pt>
                      <c:pt idx="405">
                        <c:v>-8.8322000000000001E-3</c:v>
                      </c:pt>
                      <c:pt idx="406">
                        <c:v>-8.6762000000000002E-3</c:v>
                      </c:pt>
                      <c:pt idx="407">
                        <c:v>-8.5208999999999997E-3</c:v>
                      </c:pt>
                      <c:pt idx="408">
                        <c:v>-8.3663999999999995E-3</c:v>
                      </c:pt>
                      <c:pt idx="409">
                        <c:v>-8.2127999999999993E-3</c:v>
                      </c:pt>
                      <c:pt idx="410">
                        <c:v>-8.0602E-3</c:v>
                      </c:pt>
                      <c:pt idx="411">
                        <c:v>-7.9086E-3</c:v>
                      </c:pt>
                      <c:pt idx="412">
                        <c:v>-7.7581999999999998E-3</c:v>
                      </c:pt>
                      <c:pt idx="413">
                        <c:v>-7.6090000000000003E-3</c:v>
                      </c:pt>
                      <c:pt idx="414">
                        <c:v>-7.4611E-3</c:v>
                      </c:pt>
                      <c:pt idx="415">
                        <c:v>-7.3144999999999998E-3</c:v>
                      </c:pt>
                      <c:pt idx="416">
                        <c:v>-7.1694000000000003E-3</c:v>
                      </c:pt>
                      <c:pt idx="417">
                        <c:v>-7.0257999999999996E-3</c:v>
                      </c:pt>
                      <c:pt idx="418">
                        <c:v>-6.8837000000000004E-3</c:v>
                      </c:pt>
                      <c:pt idx="419">
                        <c:v>-6.7432999999999998E-3</c:v>
                      </c:pt>
                      <c:pt idx="420">
                        <c:v>-6.6046000000000004E-3</c:v>
                      </c:pt>
                      <c:pt idx="421">
                        <c:v>-6.4676000000000004E-3</c:v>
                      </c:pt>
                      <c:pt idx="422">
                        <c:v>-6.3324000000000002E-3</c:v>
                      </c:pt>
                      <c:pt idx="423">
                        <c:v>-6.1989999999999996E-3</c:v>
                      </c:pt>
                      <c:pt idx="424">
                        <c:v>-6.0676000000000003E-3</c:v>
                      </c:pt>
                      <c:pt idx="425">
                        <c:v>-5.9379999999999997E-3</c:v>
                      </c:pt>
                      <c:pt idx="426">
                        <c:v>-5.8104000000000003E-3</c:v>
                      </c:pt>
                      <c:pt idx="427">
                        <c:v>-5.6847E-3</c:v>
                      </c:pt>
                      <c:pt idx="428">
                        <c:v>-5.5611000000000002E-3</c:v>
                      </c:pt>
                      <c:pt idx="429">
                        <c:v>-5.4394999999999999E-3</c:v>
                      </c:pt>
                      <c:pt idx="430">
                        <c:v>-5.3198000000000004E-3</c:v>
                      </c:pt>
                      <c:pt idx="431">
                        <c:v>-5.2021999999999997E-3</c:v>
                      </c:pt>
                      <c:pt idx="432">
                        <c:v>-5.0866000000000001E-3</c:v>
                      </c:pt>
                      <c:pt idx="433">
                        <c:v>-4.9728999999999997E-3</c:v>
                      </c:pt>
                      <c:pt idx="434">
                        <c:v>-4.8612999999999998E-3</c:v>
                      </c:pt>
                      <c:pt idx="435">
                        <c:v>-4.7515999999999999E-3</c:v>
                      </c:pt>
                      <c:pt idx="436">
                        <c:v>-4.6438E-3</c:v>
                      </c:pt>
                      <c:pt idx="437">
                        <c:v>-4.5379000000000001E-3</c:v>
                      </c:pt>
                      <c:pt idx="438">
                        <c:v>-4.4339999999999996E-3</c:v>
                      </c:pt>
                      <c:pt idx="439">
                        <c:v>-4.3318000000000002E-3</c:v>
                      </c:pt>
                      <c:pt idx="440">
                        <c:v>-4.2316000000000003E-3</c:v>
                      </c:pt>
                      <c:pt idx="441">
                        <c:v>-4.1330999999999998E-3</c:v>
                      </c:pt>
                      <c:pt idx="442">
                        <c:v>-4.0362999999999996E-3</c:v>
                      </c:pt>
                      <c:pt idx="443">
                        <c:v>-3.9413E-3</c:v>
                      </c:pt>
                      <c:pt idx="444">
                        <c:v>-3.8479999999999999E-3</c:v>
                      </c:pt>
                      <c:pt idx="445">
                        <c:v>-3.7564E-3</c:v>
                      </c:pt>
                      <c:pt idx="446">
                        <c:v>-3.6664000000000002E-3</c:v>
                      </c:pt>
                      <c:pt idx="447">
                        <c:v>-3.578E-3</c:v>
                      </c:pt>
                      <c:pt idx="448">
                        <c:v>-3.4911999999999999E-3</c:v>
                      </c:pt>
                      <c:pt idx="449">
                        <c:v>-3.4060000000000002E-3</c:v>
                      </c:pt>
                      <c:pt idx="450">
                        <c:v>-3.3222E-3</c:v>
                      </c:pt>
                      <c:pt idx="451">
                        <c:v>-3.2399999999999998E-3</c:v>
                      </c:pt>
                      <c:pt idx="452">
                        <c:v>-3.1592E-3</c:v>
                      </c:pt>
                      <c:pt idx="453">
                        <c:v>-3.0798000000000002E-3</c:v>
                      </c:pt>
                      <c:pt idx="454">
                        <c:v>-3.0018000000000002E-3</c:v>
                      </c:pt>
                      <c:pt idx="455">
                        <c:v>-2.9252000000000002E-3</c:v>
                      </c:pt>
                      <c:pt idx="456">
                        <c:v>-2.8498999999999998E-3</c:v>
                      </c:pt>
                      <c:pt idx="457">
                        <c:v>-2.7759E-3</c:v>
                      </c:pt>
                      <c:pt idx="458">
                        <c:v>-2.7031999999999998E-3</c:v>
                      </c:pt>
                      <c:pt idx="459">
                        <c:v>-2.6318000000000001E-3</c:v>
                      </c:pt>
                      <c:pt idx="460">
                        <c:v>-2.5615999999999998E-3</c:v>
                      </c:pt>
                      <c:pt idx="461">
                        <c:v>-2.4924999999999999E-3</c:v>
                      </c:pt>
                      <c:pt idx="462">
                        <c:v>-2.4247000000000001E-3</c:v>
                      </c:pt>
                      <c:pt idx="463">
                        <c:v>-2.3579999999999999E-3</c:v>
                      </c:pt>
                      <c:pt idx="464">
                        <c:v>-2.2924999999999998E-3</c:v>
                      </c:pt>
                      <c:pt idx="465">
                        <c:v>-2.2280999999999998E-3</c:v>
                      </c:pt>
                      <c:pt idx="466">
                        <c:v>-2.1646999999999999E-3</c:v>
                      </c:pt>
                      <c:pt idx="467">
                        <c:v>-2.1023999999999999E-3</c:v>
                      </c:pt>
                      <c:pt idx="468">
                        <c:v>-2.0412E-3</c:v>
                      </c:pt>
                      <c:pt idx="469">
                        <c:v>-1.9810000000000001E-3</c:v>
                      </c:pt>
                      <c:pt idx="470">
                        <c:v>-1.9219E-3</c:v>
                      </c:pt>
                      <c:pt idx="471">
                        <c:v>-1.8637E-3</c:v>
                      </c:pt>
                      <c:pt idx="472">
                        <c:v>-1.8064999999999999E-3</c:v>
                      </c:pt>
                      <c:pt idx="473">
                        <c:v>-1.7503E-3</c:v>
                      </c:pt>
                      <c:pt idx="474">
                        <c:v>-1.6950999999999999E-3</c:v>
                      </c:pt>
                      <c:pt idx="475">
                        <c:v>-1.6408E-3</c:v>
                      </c:pt>
                      <c:pt idx="476">
                        <c:v>-1.5874000000000001E-3</c:v>
                      </c:pt>
                      <c:pt idx="477">
                        <c:v>-1.5349999999999999E-3</c:v>
                      </c:pt>
                      <c:pt idx="478">
                        <c:v>-1.4835E-3</c:v>
                      </c:pt>
                      <c:pt idx="479">
                        <c:v>-1.4327999999999999E-3</c:v>
                      </c:pt>
                      <c:pt idx="480">
                        <c:v>-1.3831E-3</c:v>
                      </c:pt>
                      <c:pt idx="481">
                        <c:v>-1.3343000000000001E-3</c:v>
                      </c:pt>
                      <c:pt idx="482">
                        <c:v>-1.2863E-3</c:v>
                      </c:pt>
                      <c:pt idx="483">
                        <c:v>-1.2392E-3</c:v>
                      </c:pt>
                      <c:pt idx="484">
                        <c:v>-1.193E-3</c:v>
                      </c:pt>
                      <c:pt idx="485">
                        <c:v>-1.1475999999999999E-3</c:v>
                      </c:pt>
                      <c:pt idx="486">
                        <c:v>-1.1031000000000001E-3</c:v>
                      </c:pt>
                      <c:pt idx="487">
                        <c:v>-1.0594000000000001E-3</c:v>
                      </c:pt>
                      <c:pt idx="488">
                        <c:v>-1.0165E-3</c:v>
                      </c:pt>
                      <c:pt idx="489">
                        <c:v>-9.7451000000000005E-4</c:v>
                      </c:pt>
                      <c:pt idx="490">
                        <c:v>-9.3331999999999996E-4</c:v>
                      </c:pt>
                      <c:pt idx="491">
                        <c:v>-8.9296000000000004E-4</c:v>
                      </c:pt>
                      <c:pt idx="492">
                        <c:v>-8.5340000000000004E-4</c:v>
                      </c:pt>
                      <c:pt idx="493">
                        <c:v>-8.1464999999999999E-4</c:v>
                      </c:pt>
                      <c:pt idx="494">
                        <c:v>-7.7669999999999996E-4</c:v>
                      </c:pt>
                      <c:pt idx="495">
                        <c:v>-7.3954999999999995E-4</c:v>
                      </c:pt>
                      <c:pt idx="496">
                        <c:v>-7.0319000000000002E-4</c:v>
                      </c:pt>
                      <c:pt idx="497">
                        <c:v>-6.6761000000000001E-4</c:v>
                      </c:pt>
                      <c:pt idx="498">
                        <c:v>-6.3281000000000003E-4</c:v>
                      </c:pt>
                      <c:pt idx="499">
                        <c:v>-5.9878000000000004E-4</c:v>
                      </c:pt>
                      <c:pt idx="500">
                        <c:v>-5.6550999999999997E-4</c:v>
                      </c:pt>
                      <c:pt idx="501">
                        <c:v>-5.3300000000000005E-4</c:v>
                      </c:pt>
                      <c:pt idx="502">
                        <c:v>-5.0124000000000002E-4</c:v>
                      </c:pt>
                      <c:pt idx="503">
                        <c:v>-4.7022999999999998E-4</c:v>
                      </c:pt>
                      <c:pt idx="504">
                        <c:v>-4.3995999999999998E-4</c:v>
                      </c:pt>
                      <c:pt idx="505">
                        <c:v>-4.1041999999999999E-4</c:v>
                      </c:pt>
                      <c:pt idx="506">
                        <c:v>-3.8160000000000001E-4</c:v>
                      </c:pt>
                      <c:pt idx="507">
                        <c:v>-3.5349999999999997E-4</c:v>
                      </c:pt>
                      <c:pt idx="508">
                        <c:v>-3.2610000000000001E-4</c:v>
                      </c:pt>
                      <c:pt idx="509">
                        <c:v>-2.9941000000000001E-4</c:v>
                      </c:pt>
                      <c:pt idx="510">
                        <c:v>-2.7339999999999998E-4</c:v>
                      </c:pt>
                      <c:pt idx="511">
                        <c:v>-2.4806999999999997E-4</c:v>
                      </c:pt>
                      <c:pt idx="512">
                        <c:v>-2.2342E-4</c:v>
                      </c:pt>
                      <c:pt idx="513">
                        <c:v>-1.9943000000000001E-4</c:v>
                      </c:pt>
                      <c:pt idx="514">
                        <c:v>-1.7609E-4</c:v>
                      </c:pt>
                      <c:pt idx="515">
                        <c:v>-1.5338999999999999E-4</c:v>
                      </c:pt>
                      <c:pt idx="516">
                        <c:v>-1.3132000000000001E-4</c:v>
                      </c:pt>
                      <c:pt idx="517">
                        <c:v>-1.0986E-4</c:v>
                      </c:pt>
                      <c:pt idx="518">
                        <c:v>-8.9011000000000005E-5</c:v>
                      </c:pt>
                      <c:pt idx="519">
                        <c:v>-6.8746999999999998E-5</c:v>
                      </c:pt>
                      <c:pt idx="520">
                        <c:v>-4.9055999999999999E-5</c:v>
                      </c:pt>
                      <c:pt idx="521">
                        <c:v>-2.9923000000000001E-5</c:v>
                      </c:pt>
                      <c:pt idx="522">
                        <c:v>-1.1328999999999999E-5</c:v>
                      </c:pt>
                      <c:pt idx="523">
                        <c:v>6.742E-6</c:v>
                      </c:pt>
                      <c:pt idx="524">
                        <c:v>2.4309999999999999E-5</c:v>
                      </c:pt>
                      <c:pt idx="525">
                        <c:v>4.1394999999999999E-5</c:v>
                      </c:pt>
                      <c:pt idx="526">
                        <c:v>5.8017999999999999E-5</c:v>
                      </c:pt>
                      <c:pt idx="527">
                        <c:v>7.4201000000000003E-5</c:v>
                      </c:pt>
                      <c:pt idx="528">
                        <c:v>8.9964999999999997E-5</c:v>
                      </c:pt>
                      <c:pt idx="529">
                        <c:v>1.0533E-4</c:v>
                      </c:pt>
                      <c:pt idx="530">
                        <c:v>1.2032999999999999E-4</c:v>
                      </c:pt>
                      <c:pt idx="531">
                        <c:v>1.3498000000000001E-4</c:v>
                      </c:pt>
                      <c:pt idx="532">
                        <c:v>1.4930999999999999E-4</c:v>
                      </c:pt>
                      <c:pt idx="533">
                        <c:v>1.6333999999999999E-4</c:v>
                      </c:pt>
                      <c:pt idx="534">
                        <c:v>1.771E-4</c:v>
                      </c:pt>
                      <c:pt idx="535">
                        <c:v>1.9060999999999999E-4</c:v>
                      </c:pt>
                      <c:pt idx="536">
                        <c:v>2.0389E-4</c:v>
                      </c:pt>
                      <c:pt idx="537">
                        <c:v>2.1696000000000001E-4</c:v>
                      </c:pt>
                      <c:pt idx="538">
                        <c:v>2.2986E-4</c:v>
                      </c:pt>
                      <c:pt idx="539">
                        <c:v>2.4261000000000001E-4</c:v>
                      </c:pt>
                      <c:pt idx="540">
                        <c:v>2.5522000000000001E-4</c:v>
                      </c:pt>
                      <c:pt idx="541">
                        <c:v>2.6771E-4</c:v>
                      </c:pt>
                      <c:pt idx="542">
                        <c:v>2.8011000000000003E-4</c:v>
                      </c:pt>
                      <c:pt idx="543">
                        <c:v>2.9244999999999998E-4</c:v>
                      </c:pt>
                      <c:pt idx="544">
                        <c:v>3.0473000000000002E-4</c:v>
                      </c:pt>
                      <c:pt idx="545">
                        <c:v>3.1697000000000002E-4</c:v>
                      </c:pt>
                      <c:pt idx="546">
                        <c:v>3.2920999999999997E-4</c:v>
                      </c:pt>
                      <c:pt idx="547">
                        <c:v>3.4144999999999998E-4</c:v>
                      </c:pt>
                      <c:pt idx="548">
                        <c:v>3.5372000000000002E-4</c:v>
                      </c:pt>
                      <c:pt idx="549">
                        <c:v>3.6602999999999999E-4</c:v>
                      </c:pt>
                      <c:pt idx="550">
                        <c:v>3.7840999999999998E-4</c:v>
                      </c:pt>
                      <c:pt idx="551">
                        <c:v>3.9085999999999998E-4</c:v>
                      </c:pt>
                      <c:pt idx="552">
                        <c:v>4.0339999999999999E-4</c:v>
                      </c:pt>
                      <c:pt idx="553">
                        <c:v>4.1604000000000001E-4</c:v>
                      </c:pt>
                      <c:pt idx="554">
                        <c:v>4.2880000000000001E-4</c:v>
                      </c:pt>
                      <c:pt idx="555">
                        <c:v>4.4168000000000001E-4</c:v>
                      </c:pt>
                      <c:pt idx="556">
                        <c:v>4.5469E-4</c:v>
                      </c:pt>
                      <c:pt idx="557">
                        <c:v>4.6785000000000001E-4</c:v>
                      </c:pt>
                      <c:pt idx="558">
                        <c:v>4.8115000000000001E-4</c:v>
                      </c:pt>
                      <c:pt idx="559">
                        <c:v>4.9459000000000005E-4</c:v>
                      </c:pt>
                      <c:pt idx="560">
                        <c:v>5.0819999999999999E-4</c:v>
                      </c:pt>
                      <c:pt idx="561">
                        <c:v>5.2194999999999997E-4</c:v>
                      </c:pt>
                      <c:pt idx="562">
                        <c:v>5.3585999999999998E-4</c:v>
                      </c:pt>
                      <c:pt idx="563">
                        <c:v>5.4993000000000002E-4</c:v>
                      </c:pt>
                      <c:pt idx="564">
                        <c:v>5.6413999999999998E-4</c:v>
                      </c:pt>
                      <c:pt idx="565">
                        <c:v>5.7850000000000002E-4</c:v>
                      </c:pt>
                      <c:pt idx="566">
                        <c:v>5.9299999999999999E-4</c:v>
                      </c:pt>
                      <c:pt idx="567">
                        <c:v>6.0762999999999995E-4</c:v>
                      </c:pt>
                      <c:pt idx="568">
                        <c:v>6.2239000000000001E-4</c:v>
                      </c:pt>
                      <c:pt idx="569">
                        <c:v>6.3725999999999995E-4</c:v>
                      </c:pt>
                      <c:pt idx="570">
                        <c:v>6.5224E-4</c:v>
                      </c:pt>
                      <c:pt idx="571">
                        <c:v>6.6730999999999995E-4</c:v>
                      </c:pt>
                      <c:pt idx="572">
                        <c:v>6.8245999999999997E-4</c:v>
                      </c:pt>
                      <c:pt idx="573">
                        <c:v>6.9766999999999995E-4</c:v>
                      </c:pt>
                      <c:pt idx="574">
                        <c:v>7.1294000000000001E-4</c:v>
                      </c:pt>
                      <c:pt idx="575">
                        <c:v>7.2824999999999995E-4</c:v>
                      </c:pt>
                      <c:pt idx="576">
                        <c:v>7.4357000000000004E-4</c:v>
                      </c:pt>
                      <c:pt idx="577">
                        <c:v>7.5889000000000002E-4</c:v>
                      </c:pt>
                      <c:pt idx="578">
                        <c:v>7.7419999999999995E-4</c:v>
                      </c:pt>
                      <c:pt idx="579">
                        <c:v>7.8947000000000002E-4</c:v>
                      </c:pt>
                      <c:pt idx="580">
                        <c:v>8.0468E-4</c:v>
                      </c:pt>
                      <c:pt idx="581">
                        <c:v>8.1981999999999997E-4</c:v>
                      </c:pt>
                      <c:pt idx="582">
                        <c:v>8.3487000000000003E-4</c:v>
                      </c:pt>
                      <c:pt idx="583">
                        <c:v>8.4981E-4</c:v>
                      </c:pt>
                      <c:pt idx="584">
                        <c:v>8.6461000000000003E-4</c:v>
                      </c:pt>
                      <c:pt idx="585">
                        <c:v>8.7925999999999998E-4</c:v>
                      </c:pt>
                      <c:pt idx="586">
                        <c:v>8.9375000000000001E-4</c:v>
                      </c:pt>
                      <c:pt idx="587">
                        <c:v>9.0804000000000004E-4</c:v>
                      </c:pt>
                      <c:pt idx="588">
                        <c:v>9.2212999999999995E-4</c:v>
                      </c:pt>
                      <c:pt idx="589">
                        <c:v>9.3599999999999998E-4</c:v>
                      </c:pt>
                      <c:pt idx="590">
                        <c:v>9.4963999999999997E-4</c:v>
                      </c:pt>
                      <c:pt idx="591">
                        <c:v>9.6301999999999998E-4</c:v>
                      </c:pt>
                      <c:pt idx="592">
                        <c:v>9.7612999999999997E-4</c:v>
                      </c:pt>
                      <c:pt idx="593">
                        <c:v>9.889600000000001E-4</c:v>
                      </c:pt>
                      <c:pt idx="594">
                        <c:v>1.0015E-3</c:v>
                      </c:pt>
                      <c:pt idx="595">
                        <c:v>1.0137E-3</c:v>
                      </c:pt>
                      <c:pt idx="596">
                        <c:v>1.0257E-3</c:v>
                      </c:pt>
                      <c:pt idx="597">
                        <c:v>1.0372000000000001E-3</c:v>
                      </c:pt>
                      <c:pt idx="598">
                        <c:v>1.0485E-3</c:v>
                      </c:pt>
                      <c:pt idx="599">
                        <c:v>1.0594000000000001E-3</c:v>
                      </c:pt>
                      <c:pt idx="600">
                        <c:v>1.0698999999999999E-3</c:v>
                      </c:pt>
                      <c:pt idx="601">
                        <c:v>1.0801000000000001E-3</c:v>
                      </c:pt>
                      <c:pt idx="602">
                        <c:v>1.0899E-3</c:v>
                      </c:pt>
                      <c:pt idx="603">
                        <c:v>1.0993000000000001E-3</c:v>
                      </c:pt>
                      <c:pt idx="604">
                        <c:v>1.1084000000000001E-3</c:v>
                      </c:pt>
                      <c:pt idx="605">
                        <c:v>1.1169999999999999E-3</c:v>
                      </c:pt>
                      <c:pt idx="606">
                        <c:v>1.1253000000000001E-3</c:v>
                      </c:pt>
                      <c:pt idx="607">
                        <c:v>1.1332E-3</c:v>
                      </c:pt>
                      <c:pt idx="608">
                        <c:v>1.1406000000000001E-3</c:v>
                      </c:pt>
                      <c:pt idx="609">
                        <c:v>1.1477E-3</c:v>
                      </c:pt>
                      <c:pt idx="610">
                        <c:v>1.1544000000000001E-3</c:v>
                      </c:pt>
                      <c:pt idx="611">
                        <c:v>1.1607E-3</c:v>
                      </c:pt>
                      <c:pt idx="612">
                        <c:v>1.1666999999999999E-3</c:v>
                      </c:pt>
                      <c:pt idx="613">
                        <c:v>1.1722E-3</c:v>
                      </c:pt>
                      <c:pt idx="614">
                        <c:v>1.1773E-3</c:v>
                      </c:pt>
                      <c:pt idx="615">
                        <c:v>1.1820999999999999E-3</c:v>
                      </c:pt>
                      <c:pt idx="616">
                        <c:v>1.1865000000000001E-3</c:v>
                      </c:pt>
                      <c:pt idx="617">
                        <c:v>1.1904999999999999E-3</c:v>
                      </c:pt>
                      <c:pt idx="618">
                        <c:v>1.1942000000000001E-3</c:v>
                      </c:pt>
                      <c:pt idx="619">
                        <c:v>1.1975E-3</c:v>
                      </c:pt>
                    </c:numCache>
                  </c:numRef>
                </c:yVal>
                <c:smooth val="1"/>
                <c:extLst>
                  <c:ext xmlns:c16="http://schemas.microsoft.com/office/drawing/2014/chart" uri="{C3380CC4-5D6E-409C-BE32-E72D297353CC}">
                    <c16:uniqueId val="{00000007-00C6-46B2-92E3-3CDC1A8F00F7}"/>
                  </c:ext>
                </c:extLst>
              </c15:ser>
            </c15:filteredScatterSeries>
            <c15:filteredScatterSeries>
              <c15:ser>
                <c:idx val="7"/>
                <c:order val="7"/>
                <c:spPr>
                  <a:ln w="19050"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'INIT-File+Corr'!$I$16:$I$636</c15:sqref>
                        </c15:formulaRef>
                      </c:ext>
                    </c:extLst>
                    <c:numCache>
                      <c:formatCode>0.000000</c:formatCode>
                      <c:ptCount val="620"/>
                      <c:pt idx="0">
                        <c:v>-2.8146999999999997E-4</c:v>
                      </c:pt>
                      <c:pt idx="1">
                        <c:v>-2.8432000000000002E-4</c:v>
                      </c:pt>
                      <c:pt idx="2">
                        <c:v>-2.8718999999999999E-4</c:v>
                      </c:pt>
                      <c:pt idx="3">
                        <c:v>-2.9009000000000001E-4</c:v>
                      </c:pt>
                      <c:pt idx="4">
                        <c:v>-2.9302000000000001E-4</c:v>
                      </c:pt>
                      <c:pt idx="5">
                        <c:v>-2.9598E-4</c:v>
                      </c:pt>
                      <c:pt idx="6">
                        <c:v>-2.9897000000000002E-4</c:v>
                      </c:pt>
                      <c:pt idx="7">
                        <c:v>-3.0198999999999997E-4</c:v>
                      </c:pt>
                      <c:pt idx="8">
                        <c:v>-3.0504000000000002E-4</c:v>
                      </c:pt>
                      <c:pt idx="9">
                        <c:v>-3.0812E-4</c:v>
                      </c:pt>
                      <c:pt idx="10">
                        <c:v>-3.1123000000000001E-4</c:v>
                      </c:pt>
                      <c:pt idx="11">
                        <c:v>-3.1438000000000001E-4</c:v>
                      </c:pt>
                      <c:pt idx="12">
                        <c:v>-3.1753E-4</c:v>
                      </c:pt>
                      <c:pt idx="13">
                        <c:v>-3.2060999999999998E-4</c:v>
                      </c:pt>
                      <c:pt idx="14">
                        <c:v>-3.2351999999999999E-4</c:v>
                      </c:pt>
                      <c:pt idx="15">
                        <c:v>-3.2606999999999997E-4</c:v>
                      </c:pt>
                      <c:pt idx="16">
                        <c:v>-3.2804999999999998E-4</c:v>
                      </c:pt>
                      <c:pt idx="17">
                        <c:v>-3.2922000000000002E-4</c:v>
                      </c:pt>
                      <c:pt idx="18">
                        <c:v>-3.2928999999999999E-4</c:v>
                      </c:pt>
                      <c:pt idx="19">
                        <c:v>-3.2793999999999998E-4</c:v>
                      </c:pt>
                      <c:pt idx="20">
                        <c:v>-3.2486E-4</c:v>
                      </c:pt>
                      <c:pt idx="21">
                        <c:v>-3.1970000000000002E-4</c:v>
                      </c:pt>
                      <c:pt idx="22">
                        <c:v>-3.1210999999999999E-4</c:v>
                      </c:pt>
                      <c:pt idx="23">
                        <c:v>-3.0175999999999998E-4</c:v>
                      </c:pt>
                      <c:pt idx="24">
                        <c:v>-2.8834999999999999E-4</c:v>
                      </c:pt>
                      <c:pt idx="25">
                        <c:v>-2.7156000000000001E-4</c:v>
                      </c:pt>
                      <c:pt idx="26">
                        <c:v>-2.5115000000000001E-4</c:v>
                      </c:pt>
                      <c:pt idx="27">
                        <c:v>-2.2690000000000001E-4</c:v>
                      </c:pt>
                      <c:pt idx="28">
                        <c:v>-1.9861999999999999E-4</c:v>
                      </c:pt>
                      <c:pt idx="29">
                        <c:v>-1.6618000000000001E-4</c:v>
                      </c:pt>
                      <c:pt idx="30">
                        <c:v>-1.295E-4</c:v>
                      </c:pt>
                      <c:pt idx="31">
                        <c:v>-8.8528000000000003E-5</c:v>
                      </c:pt>
                      <c:pt idx="32">
                        <c:v>-4.3279999999999999E-5</c:v>
                      </c:pt>
                      <c:pt idx="33">
                        <c:v>6.1983999999999998E-6</c:v>
                      </c:pt>
                      <c:pt idx="34">
                        <c:v>5.9817E-5</c:v>
                      </c:pt>
                      <c:pt idx="35">
                        <c:v>1.1745E-4</c:v>
                      </c:pt>
                      <c:pt idx="36">
                        <c:v>1.7892E-4</c:v>
                      </c:pt>
                      <c:pt idx="37">
                        <c:v>2.4405E-4</c:v>
                      </c:pt>
                      <c:pt idx="38">
                        <c:v>3.1259000000000001E-4</c:v>
                      </c:pt>
                      <c:pt idx="39">
                        <c:v>3.8429000000000002E-4</c:v>
                      </c:pt>
                      <c:pt idx="40">
                        <c:v>4.5886000000000001E-4</c:v>
                      </c:pt>
                      <c:pt idx="41">
                        <c:v>5.3598000000000003E-4</c:v>
                      </c:pt>
                      <c:pt idx="42">
                        <c:v>6.1530999999999999E-4</c:v>
                      </c:pt>
                      <c:pt idx="43">
                        <c:v>6.9647999999999997E-4</c:v>
                      </c:pt>
                      <c:pt idx="44">
                        <c:v>7.7908000000000003E-4</c:v>
                      </c:pt>
                      <c:pt idx="45">
                        <c:v>8.6269999999999999E-4</c:v>
                      </c:pt>
                      <c:pt idx="46">
                        <c:v>9.4687000000000005E-4</c:v>
                      </c:pt>
                      <c:pt idx="47">
                        <c:v>1.0311000000000001E-3</c:v>
                      </c:pt>
                      <c:pt idx="48">
                        <c:v>1.1149E-3</c:v>
                      </c:pt>
                      <c:pt idx="49">
                        <c:v>1.1977999999999999E-3</c:v>
                      </c:pt>
                      <c:pt idx="50">
                        <c:v>1.2791E-3</c:v>
                      </c:pt>
                      <c:pt idx="51">
                        <c:v>1.3584999999999999E-3</c:v>
                      </c:pt>
                      <c:pt idx="52">
                        <c:v>1.4350999999999999E-3</c:v>
                      </c:pt>
                      <c:pt idx="53">
                        <c:v>1.5087E-3</c:v>
                      </c:pt>
                      <c:pt idx="54">
                        <c:v>1.5785E-3</c:v>
                      </c:pt>
                      <c:pt idx="55">
                        <c:v>1.7047E-3</c:v>
                      </c:pt>
                      <c:pt idx="56">
                        <c:v>1.7600999999999999E-3</c:v>
                      </c:pt>
                      <c:pt idx="57">
                        <c:v>1.8097E-3</c:v>
                      </c:pt>
                      <c:pt idx="58">
                        <c:v>1.8531000000000001E-3</c:v>
                      </c:pt>
                      <c:pt idx="59">
                        <c:v>1.8898000000000001E-3</c:v>
                      </c:pt>
                      <c:pt idx="60">
                        <c:v>1.9193999999999999E-3</c:v>
                      </c:pt>
                      <c:pt idx="61">
                        <c:v>1.9417E-3</c:v>
                      </c:pt>
                      <c:pt idx="62">
                        <c:v>1.9564000000000001E-3</c:v>
                      </c:pt>
                      <c:pt idx="63">
                        <c:v>1.9632E-3</c:v>
                      </c:pt>
                      <c:pt idx="64">
                        <c:v>1.9618999999999999E-3</c:v>
                      </c:pt>
                      <c:pt idx="65">
                        <c:v>1.9525E-3</c:v>
                      </c:pt>
                      <c:pt idx="66">
                        <c:v>1.9350000000000001E-3</c:v>
                      </c:pt>
                      <c:pt idx="67">
                        <c:v>1.9095E-3</c:v>
                      </c:pt>
                      <c:pt idx="68">
                        <c:v>1.8762E-3</c:v>
                      </c:pt>
                      <c:pt idx="69">
                        <c:v>1.8353E-3</c:v>
                      </c:pt>
                      <c:pt idx="70">
                        <c:v>1.7872000000000001E-3</c:v>
                      </c:pt>
                      <c:pt idx="71">
                        <c:v>1.7323E-3</c:v>
                      </c:pt>
                      <c:pt idx="72">
                        <c:v>1.6712999999999999E-3</c:v>
                      </c:pt>
                      <c:pt idx="73">
                        <c:v>1.6046999999999999E-3</c:v>
                      </c:pt>
                      <c:pt idx="74">
                        <c:v>1.5332E-3</c:v>
                      </c:pt>
                      <c:pt idx="75">
                        <c:v>1.4576000000000001E-3</c:v>
                      </c:pt>
                      <c:pt idx="76">
                        <c:v>1.3786E-3</c:v>
                      </c:pt>
                      <c:pt idx="77">
                        <c:v>1.2972000000000001E-3</c:v>
                      </c:pt>
                      <c:pt idx="78">
                        <c:v>1.2139E-3</c:v>
                      </c:pt>
                      <c:pt idx="79">
                        <c:v>1.1299000000000001E-3</c:v>
                      </c:pt>
                      <c:pt idx="80">
                        <c:v>1.0457999999999999E-3</c:v>
                      </c:pt>
                      <c:pt idx="81">
                        <c:v>9.6241999999999996E-4</c:v>
                      </c:pt>
                      <c:pt idx="82">
                        <c:v>8.8069000000000005E-4</c:v>
                      </c:pt>
                      <c:pt idx="83">
                        <c:v>8.0134E-4</c:v>
                      </c:pt>
                      <c:pt idx="84">
                        <c:v>7.2510999999999995E-4</c:v>
                      </c:pt>
                      <c:pt idx="85">
                        <c:v>6.5271999999999997E-4</c:v>
                      </c:pt>
                      <c:pt idx="86">
                        <c:v>5.8485000000000004E-4</c:v>
                      </c:pt>
                      <c:pt idx="87">
                        <c:v>5.2211E-4</c:v>
                      </c:pt>
                      <c:pt idx="88">
                        <c:v>4.6507999999999999E-4</c:v>
                      </c:pt>
                      <c:pt idx="89">
                        <c:v>4.1426000000000001E-4</c:v>
                      </c:pt>
                      <c:pt idx="90">
                        <c:v>3.7011999999999999E-4</c:v>
                      </c:pt>
                      <c:pt idx="91">
                        <c:v>3.3304E-4</c:v>
                      </c:pt>
                      <c:pt idx="92">
                        <c:v>3.0336000000000002E-4</c:v>
                      </c:pt>
                      <c:pt idx="93">
                        <c:v>2.8132999999999999E-4</c:v>
                      </c:pt>
                      <c:pt idx="94">
                        <c:v>2.6716000000000001E-4</c:v>
                      </c:pt>
                      <c:pt idx="95">
                        <c:v>2.6094999999999997E-4</c:v>
                      </c:pt>
                      <c:pt idx="96">
                        <c:v>2.6277000000000001E-4</c:v>
                      </c:pt>
                      <c:pt idx="97">
                        <c:v>2.7259000000000002E-4</c:v>
                      </c:pt>
                      <c:pt idx="98">
                        <c:v>2.9032E-4</c:v>
                      </c:pt>
                      <c:pt idx="99">
                        <c:v>3.1580999999999997E-4</c:v>
                      </c:pt>
                      <c:pt idx="100">
                        <c:v>3.4882000000000001E-4</c:v>
                      </c:pt>
                      <c:pt idx="101">
                        <c:v>3.8905E-4</c:v>
                      </c:pt>
                      <c:pt idx="102">
                        <c:v>4.3614000000000001E-4</c:v>
                      </c:pt>
                      <c:pt idx="103">
                        <c:v>4.8966000000000005E-4</c:v>
                      </c:pt>
                      <c:pt idx="104">
                        <c:v>5.4913E-4</c:v>
                      </c:pt>
                      <c:pt idx="105">
                        <c:v>6.1401999999999995E-4</c:v>
                      </c:pt>
                      <c:pt idx="106">
                        <c:v>6.8373999999999996E-4</c:v>
                      </c:pt>
                      <c:pt idx="107">
                        <c:v>7.5767E-4</c:v>
                      </c:pt>
                      <c:pt idx="108">
                        <c:v>8.3515E-4</c:v>
                      </c:pt>
                      <c:pt idx="109">
                        <c:v>9.1549000000000003E-4</c:v>
                      </c:pt>
                      <c:pt idx="110">
                        <c:v>9.9798000000000009E-4</c:v>
                      </c:pt>
                      <c:pt idx="111">
                        <c:v>1.0819E-3</c:v>
                      </c:pt>
                      <c:pt idx="112">
                        <c:v>1.1665E-3</c:v>
                      </c:pt>
                      <c:pt idx="113">
                        <c:v>1.2509000000000001E-3</c:v>
                      </c:pt>
                      <c:pt idx="114">
                        <c:v>1.3346E-3</c:v>
                      </c:pt>
                      <c:pt idx="115">
                        <c:v>1.4166999999999999E-3</c:v>
                      </c:pt>
                      <c:pt idx="116">
                        <c:v>1.4963999999999999E-3</c:v>
                      </c:pt>
                      <c:pt idx="117">
                        <c:v>1.5732000000000001E-3</c:v>
                      </c:pt>
                      <c:pt idx="118">
                        <c:v>1.6461E-3</c:v>
                      </c:pt>
                      <c:pt idx="119">
                        <c:v>1.7145999999999999E-3</c:v>
                      </c:pt>
                      <c:pt idx="120">
                        <c:v>1.7780999999999999E-3</c:v>
                      </c:pt>
                      <c:pt idx="121">
                        <c:v>1.8357E-3</c:v>
                      </c:pt>
                      <c:pt idx="122">
                        <c:v>1.8871000000000001E-3</c:v>
                      </c:pt>
                      <c:pt idx="123">
                        <c:v>1.9314E-3</c:v>
                      </c:pt>
                      <c:pt idx="124">
                        <c:v>1.9683000000000001E-3</c:v>
                      </c:pt>
                      <c:pt idx="125">
                        <c:v>1.9970999999999999E-3</c:v>
                      </c:pt>
                      <c:pt idx="126">
                        <c:v>2.0173000000000001E-3</c:v>
                      </c:pt>
                      <c:pt idx="127">
                        <c:v>2.0284999999999999E-3</c:v>
                      </c:pt>
                      <c:pt idx="128">
                        <c:v>2.0300000000000001E-3</c:v>
                      </c:pt>
                      <c:pt idx="129">
                        <c:v>2.0214999999999999E-3</c:v>
                      </c:pt>
                      <c:pt idx="130">
                        <c:v>2.0024999999999999E-3</c:v>
                      </c:pt>
                      <c:pt idx="131">
                        <c:v>1.9726000000000001E-3</c:v>
                      </c:pt>
                      <c:pt idx="132">
                        <c:v>1.9315000000000001E-3</c:v>
                      </c:pt>
                      <c:pt idx="133">
                        <c:v>1.8787000000000001E-3</c:v>
                      </c:pt>
                      <c:pt idx="134">
                        <c:v>1.8140999999999999E-3</c:v>
                      </c:pt>
                      <c:pt idx="135">
                        <c:v>1.7374999999999999E-3</c:v>
                      </c:pt>
                      <c:pt idx="136">
                        <c:v>1.6486999999999999E-3</c:v>
                      </c:pt>
                      <c:pt idx="137">
                        <c:v>1.5479000000000001E-3</c:v>
                      </c:pt>
                      <c:pt idx="138">
                        <c:v>1.4350000000000001E-3</c:v>
                      </c:pt>
                      <c:pt idx="139">
                        <c:v>1.3105E-3</c:v>
                      </c:pt>
                      <c:pt idx="140">
                        <c:v>1.1747000000000001E-3</c:v>
                      </c:pt>
                      <c:pt idx="141">
                        <c:v>1.0281999999999999E-3</c:v>
                      </c:pt>
                      <c:pt idx="142">
                        <c:v>8.7175000000000002E-4</c:v>
                      </c:pt>
                      <c:pt idx="143">
                        <c:v>7.0622000000000002E-4</c:v>
                      </c:pt>
                      <c:pt idx="144">
                        <c:v>5.3269999999999999E-4</c:v>
                      </c:pt>
                      <c:pt idx="145">
                        <c:v>3.5239000000000001E-4</c:v>
                      </c:pt>
                      <c:pt idx="146">
                        <c:v>1.6663999999999999E-4</c:v>
                      </c:pt>
                      <c:pt idx="147">
                        <c:v>-2.3062999999999999E-5</c:v>
                      </c:pt>
                      <c:pt idx="148">
                        <c:v>-2.1515E-4</c:v>
                      </c:pt>
                      <c:pt idx="149">
                        <c:v>-4.0798000000000001E-4</c:v>
                      </c:pt>
                      <c:pt idx="150">
                        <c:v>-5.9984000000000003E-4</c:v>
                      </c:pt>
                      <c:pt idx="151">
                        <c:v>-7.8901999999999998E-4</c:v>
                      </c:pt>
                      <c:pt idx="152">
                        <c:v>-9.7380000000000003E-4</c:v>
                      </c:pt>
                      <c:pt idx="153">
                        <c:v>-1.1525000000000001E-3</c:v>
                      </c:pt>
                      <c:pt idx="154">
                        <c:v>-1.3235E-3</c:v>
                      </c:pt>
                      <c:pt idx="155">
                        <c:v>-1.4852000000000001E-3</c:v>
                      </c:pt>
                      <c:pt idx="156">
                        <c:v>-1.6362E-3</c:v>
                      </c:pt>
                      <c:pt idx="157">
                        <c:v>-1.7750999999999999E-3</c:v>
                      </c:pt>
                      <c:pt idx="158">
                        <c:v>-1.9008E-3</c:v>
                      </c:pt>
                      <c:pt idx="159">
                        <c:v>-2.0121000000000002E-3</c:v>
                      </c:pt>
                      <c:pt idx="160">
                        <c:v>-2.1080999999999999E-3</c:v>
                      </c:pt>
                      <c:pt idx="161">
                        <c:v>-2.1879999999999998E-3</c:v>
                      </c:pt>
                      <c:pt idx="162">
                        <c:v>-2.2510999999999998E-3</c:v>
                      </c:pt>
                      <c:pt idx="163">
                        <c:v>-2.297E-3</c:v>
                      </c:pt>
                      <c:pt idx="164">
                        <c:v>-2.3253000000000002E-3</c:v>
                      </c:pt>
                      <c:pt idx="165">
                        <c:v>-2.3357E-3</c:v>
                      </c:pt>
                      <c:pt idx="166">
                        <c:v>-2.3281999999999999E-3</c:v>
                      </c:pt>
                      <c:pt idx="167">
                        <c:v>-2.3027E-3</c:v>
                      </c:pt>
                      <c:pt idx="168">
                        <c:v>-2.2594E-3</c:v>
                      </c:pt>
                      <c:pt idx="169">
                        <c:v>-2.1984999999999999E-3</c:v>
                      </c:pt>
                      <c:pt idx="170">
                        <c:v>-2.1204000000000001E-3</c:v>
                      </c:pt>
                      <c:pt idx="171">
                        <c:v>-2.0255999999999998E-3</c:v>
                      </c:pt>
                      <c:pt idx="172">
                        <c:v>-1.9147000000000001E-3</c:v>
                      </c:pt>
                      <c:pt idx="173">
                        <c:v>-1.7882E-3</c:v>
                      </c:pt>
                      <c:pt idx="174">
                        <c:v>-1.647E-3</c:v>
                      </c:pt>
                      <c:pt idx="175">
                        <c:v>-1.4920000000000001E-3</c:v>
                      </c:pt>
                      <c:pt idx="176">
                        <c:v>-1.3239E-3</c:v>
                      </c:pt>
                      <c:pt idx="177">
                        <c:v>-1.1439E-3</c:v>
                      </c:pt>
                      <c:pt idx="178">
                        <c:v>-9.5310000000000002E-4</c:v>
                      </c:pt>
                      <c:pt idx="179">
                        <c:v>-7.5255000000000005E-4</c:v>
                      </c:pt>
                      <c:pt idx="180">
                        <c:v>-5.4354000000000002E-4</c:v>
                      </c:pt>
                      <c:pt idx="181">
                        <c:v>-3.2736000000000001E-4</c:v>
                      </c:pt>
                      <c:pt idx="182">
                        <c:v>-1.0535999999999999E-4</c:v>
                      </c:pt>
                      <c:pt idx="183">
                        <c:v>1.2103E-4</c:v>
                      </c:pt>
                      <c:pt idx="184">
                        <c:v>3.5037000000000002E-4</c:v>
                      </c:pt>
                      <c:pt idx="185">
                        <c:v>5.8111999999999997E-4</c:v>
                      </c:pt>
                      <c:pt idx="186">
                        <c:v>8.1174999999999997E-4</c:v>
                      </c:pt>
                      <c:pt idx="187">
                        <c:v>1.0406E-3</c:v>
                      </c:pt>
                      <c:pt idx="188">
                        <c:v>1.2662000000000001E-3</c:v>
                      </c:pt>
                      <c:pt idx="189">
                        <c:v>1.4867000000000001E-3</c:v>
                      </c:pt>
                      <c:pt idx="190">
                        <c:v>1.7006E-3</c:v>
                      </c:pt>
                      <c:pt idx="191">
                        <c:v>1.9061E-3</c:v>
                      </c:pt>
                      <c:pt idx="192">
                        <c:v>2.1015999999999999E-3</c:v>
                      </c:pt>
                      <c:pt idx="193">
                        <c:v>2.2853000000000001E-3</c:v>
                      </c:pt>
                      <c:pt idx="194">
                        <c:v>2.4556000000000001E-3</c:v>
                      </c:pt>
                      <c:pt idx="195">
                        <c:v>2.6107000000000001E-3</c:v>
                      </c:pt>
                      <c:pt idx="196">
                        <c:v>2.7491E-3</c:v>
                      </c:pt>
                      <c:pt idx="197">
                        <c:v>2.869E-3</c:v>
                      </c:pt>
                      <c:pt idx="198">
                        <c:v>2.9689E-3</c:v>
                      </c:pt>
                      <c:pt idx="199">
                        <c:v>3.0473000000000002E-3</c:v>
                      </c:pt>
                      <c:pt idx="200">
                        <c:v>3.1026000000000001E-3</c:v>
                      </c:pt>
                      <c:pt idx="201">
                        <c:v>3.1334000000000002E-3</c:v>
                      </c:pt>
                      <c:pt idx="202">
                        <c:v>3.1384999999999998E-3</c:v>
                      </c:pt>
                      <c:pt idx="203">
                        <c:v>3.1167E-3</c:v>
                      </c:pt>
                      <c:pt idx="204">
                        <c:v>3.0668000000000002E-3</c:v>
                      </c:pt>
                      <c:pt idx="205">
                        <c:v>2.9880000000000002E-3</c:v>
                      </c:pt>
                      <c:pt idx="206">
                        <c:v>2.8793999999999998E-3</c:v>
                      </c:pt>
                      <c:pt idx="207">
                        <c:v>2.7404999999999999E-3</c:v>
                      </c:pt>
                      <c:pt idx="208">
                        <c:v>2.5711000000000002E-3</c:v>
                      </c:pt>
                      <c:pt idx="209">
                        <c:v>2.3709E-3</c:v>
                      </c:pt>
                      <c:pt idx="210">
                        <c:v>2.1402000000000001E-3</c:v>
                      </c:pt>
                      <c:pt idx="211">
                        <c:v>1.8795000000000001E-3</c:v>
                      </c:pt>
                      <c:pt idx="212">
                        <c:v>1.5897000000000001E-3</c:v>
                      </c:pt>
                      <c:pt idx="213">
                        <c:v>1.2719000000000001E-3</c:v>
                      </c:pt>
                      <c:pt idx="214">
                        <c:v>9.2772000000000004E-4</c:v>
                      </c:pt>
                      <c:pt idx="215">
                        <c:v>5.5898000000000005E-4</c:v>
                      </c:pt>
                      <c:pt idx="216">
                        <c:v>1.6780000000000001E-4</c:v>
                      </c:pt>
                      <c:pt idx="217">
                        <c:v>-2.4342E-4</c:v>
                      </c:pt>
                      <c:pt idx="218">
                        <c:v>-6.7210999999999996E-4</c:v>
                      </c:pt>
                      <c:pt idx="219">
                        <c:v>-1.1155E-3</c:v>
                      </c:pt>
                      <c:pt idx="220">
                        <c:v>-1.5709000000000001E-3</c:v>
                      </c:pt>
                      <c:pt idx="221">
                        <c:v>-2.0352E-3</c:v>
                      </c:pt>
                      <c:pt idx="222">
                        <c:v>-2.5054000000000001E-3</c:v>
                      </c:pt>
                      <c:pt idx="223">
                        <c:v>-2.9786999999999999E-3</c:v>
                      </c:pt>
                      <c:pt idx="224">
                        <c:v>-3.4518999999999999E-3</c:v>
                      </c:pt>
                      <c:pt idx="225">
                        <c:v>-3.9220000000000001E-3</c:v>
                      </c:pt>
                      <c:pt idx="226">
                        <c:v>-4.3860000000000001E-3</c:v>
                      </c:pt>
                      <c:pt idx="227">
                        <c:v>-4.8409000000000004E-3</c:v>
                      </c:pt>
                      <c:pt idx="228">
                        <c:v>-5.2838E-3</c:v>
                      </c:pt>
                      <c:pt idx="229">
                        <c:v>-5.7118000000000004E-3</c:v>
                      </c:pt>
                      <c:pt idx="230">
                        <c:v>-6.1219999999999998E-3</c:v>
                      </c:pt>
                      <c:pt idx="231">
                        <c:v>-6.5116000000000002E-3</c:v>
                      </c:pt>
                      <c:pt idx="232">
                        <c:v>-6.8780000000000004E-3</c:v>
                      </c:pt>
                      <c:pt idx="233">
                        <c:v>-7.2186000000000004E-3</c:v>
                      </c:pt>
                      <c:pt idx="234">
                        <c:v>-7.5309000000000001E-3</c:v>
                      </c:pt>
                      <c:pt idx="235">
                        <c:v>-7.8125E-3</c:v>
                      </c:pt>
                      <c:pt idx="236">
                        <c:v>-8.0611999999999993E-3</c:v>
                      </c:pt>
                      <c:pt idx="237">
                        <c:v>-8.2749E-3</c:v>
                      </c:pt>
                      <c:pt idx="238">
                        <c:v>-8.4516000000000001E-3</c:v>
                      </c:pt>
                      <c:pt idx="239">
                        <c:v>-8.5895999999999993E-3</c:v>
                      </c:pt>
                      <c:pt idx="240">
                        <c:v>-8.6872000000000008E-3</c:v>
                      </c:pt>
                      <c:pt idx="241">
                        <c:v>-8.7430000000000008E-3</c:v>
                      </c:pt>
                      <c:pt idx="242">
                        <c:v>-8.7556000000000005E-3</c:v>
                      </c:pt>
                      <c:pt idx="243">
                        <c:v>-8.7238999999999997E-3</c:v>
                      </c:pt>
                      <c:pt idx="244">
                        <c:v>-8.6469000000000008E-3</c:v>
                      </c:pt>
                      <c:pt idx="245">
                        <c:v>-8.5237000000000004E-3</c:v>
                      </c:pt>
                      <c:pt idx="246">
                        <c:v>-8.3535999999999992E-3</c:v>
                      </c:pt>
                      <c:pt idx="247">
                        <c:v>-8.1361000000000003E-3</c:v>
                      </c:pt>
                      <c:pt idx="248">
                        <c:v>-7.8706000000000002E-3</c:v>
                      </c:pt>
                      <c:pt idx="249">
                        <c:v>-7.5570000000000003E-3</c:v>
                      </c:pt>
                      <c:pt idx="250">
                        <c:v>-7.195E-3</c:v>
                      </c:pt>
                      <c:pt idx="251">
                        <c:v>-6.7849E-3</c:v>
                      </c:pt>
                      <c:pt idx="252">
                        <c:v>-6.3267999999999996E-3</c:v>
                      </c:pt>
                      <c:pt idx="253">
                        <c:v>-5.8214E-3</c:v>
                      </c:pt>
                      <c:pt idx="254">
                        <c:v>-5.2691999999999999E-3</c:v>
                      </c:pt>
                      <c:pt idx="255">
                        <c:v>-4.6715000000000003E-3</c:v>
                      </c:pt>
                      <c:pt idx="256">
                        <c:v>-4.0293000000000004E-3</c:v>
                      </c:pt>
                      <c:pt idx="257">
                        <c:v>-3.3441999999999999E-3</c:v>
                      </c:pt>
                      <c:pt idx="258">
                        <c:v>-2.6177000000000001E-3</c:v>
                      </c:pt>
                      <c:pt idx="259">
                        <c:v>-1.8518E-3</c:v>
                      </c:pt>
                      <c:pt idx="260">
                        <c:v>-1.0483999999999999E-3</c:v>
                      </c:pt>
                      <c:pt idx="261">
                        <c:v>-2.0959E-4</c:v>
                      </c:pt>
                      <c:pt idx="262">
                        <c:v>6.6251000000000005E-4</c:v>
                      </c:pt>
                      <c:pt idx="263">
                        <c:v>1.5656000000000001E-3</c:v>
                      </c:pt>
                      <c:pt idx="264">
                        <c:v>2.4973999999999999E-3</c:v>
                      </c:pt>
                      <c:pt idx="265">
                        <c:v>3.4554999999999998E-3</c:v>
                      </c:pt>
                      <c:pt idx="266">
                        <c:v>4.4374999999999996E-3</c:v>
                      </c:pt>
                      <c:pt idx="267">
                        <c:v>5.4408E-3</c:v>
                      </c:pt>
                      <c:pt idx="268">
                        <c:v>6.4628999999999997E-3</c:v>
                      </c:pt>
                      <c:pt idx="269">
                        <c:v>7.5012999999999998E-3</c:v>
                      </c:pt>
                      <c:pt idx="270">
                        <c:v>8.5532999999999998E-3</c:v>
                      </c:pt>
                      <c:pt idx="271">
                        <c:v>9.6162000000000001E-3</c:v>
                      </c:pt>
                      <c:pt idx="272">
                        <c:v>1.0687E-2</c:v>
                      </c:pt>
                      <c:pt idx="273">
                        <c:v>1.1762999999999999E-2</c:v>
                      </c:pt>
                      <c:pt idx="274">
                        <c:v>1.2841999999999999E-2</c:v>
                      </c:pt>
                      <c:pt idx="275">
                        <c:v>1.392E-2</c:v>
                      </c:pt>
                      <c:pt idx="276">
                        <c:v>1.4995E-2</c:v>
                      </c:pt>
                      <c:pt idx="277">
                        <c:v>1.6062E-2</c:v>
                      </c:pt>
                      <c:pt idx="278">
                        <c:v>1.712E-2</c:v>
                      </c:pt>
                      <c:pt idx="279">
                        <c:v>1.8165000000000001E-2</c:v>
                      </c:pt>
                      <c:pt idx="280">
                        <c:v>1.9193000000000002E-2</c:v>
                      </c:pt>
                      <c:pt idx="281">
                        <c:v>2.0201E-2</c:v>
                      </c:pt>
                      <c:pt idx="282">
                        <c:v>2.1186E-2</c:v>
                      </c:pt>
                      <c:pt idx="283">
                        <c:v>2.2145000000000001E-2</c:v>
                      </c:pt>
                      <c:pt idx="284">
                        <c:v>2.3074000000000001E-2</c:v>
                      </c:pt>
                      <c:pt idx="285">
                        <c:v>2.3970000000000002E-2</c:v>
                      </c:pt>
                      <c:pt idx="286">
                        <c:v>2.4830999999999999E-2</c:v>
                      </c:pt>
                      <c:pt idx="287">
                        <c:v>2.5654E-2</c:v>
                      </c:pt>
                      <c:pt idx="288">
                        <c:v>2.6438E-2</c:v>
                      </c:pt>
                      <c:pt idx="289">
                        <c:v>2.7181E-2</c:v>
                      </c:pt>
                      <c:pt idx="290">
                        <c:v>2.7881E-2</c:v>
                      </c:pt>
                      <c:pt idx="291">
                        <c:v>2.8538000000000001E-2</c:v>
                      </c:pt>
                      <c:pt idx="292">
                        <c:v>2.9151E-2</c:v>
                      </c:pt>
                      <c:pt idx="293">
                        <c:v>2.9718000000000001E-2</c:v>
                      </c:pt>
                      <c:pt idx="294">
                        <c:v>3.0238999999999999E-2</c:v>
                      </c:pt>
                      <c:pt idx="295">
                        <c:v>3.0714000000000002E-2</c:v>
                      </c:pt>
                      <c:pt idx="296">
                        <c:v>3.1142E-2</c:v>
                      </c:pt>
                      <c:pt idx="297">
                        <c:v>3.1523000000000002E-2</c:v>
                      </c:pt>
                      <c:pt idx="298">
                        <c:v>3.1857000000000003E-2</c:v>
                      </c:pt>
                      <c:pt idx="299">
                        <c:v>3.2142999999999998E-2</c:v>
                      </c:pt>
                      <c:pt idx="300">
                        <c:v>3.2382000000000001E-2</c:v>
                      </c:pt>
                      <c:pt idx="301">
                        <c:v>3.2572999999999998E-2</c:v>
                      </c:pt>
                      <c:pt idx="302">
                        <c:v>3.2717000000000003E-2</c:v>
                      </c:pt>
                      <c:pt idx="303">
                        <c:v>3.2814000000000003E-2</c:v>
                      </c:pt>
                      <c:pt idx="304">
                        <c:v>3.2864999999999998E-2</c:v>
                      </c:pt>
                      <c:pt idx="305">
                        <c:v>3.2869000000000002E-2</c:v>
                      </c:pt>
                      <c:pt idx="306">
                        <c:v>3.2828000000000003E-2</c:v>
                      </c:pt>
                      <c:pt idx="307">
                        <c:v>3.2740999999999999E-2</c:v>
                      </c:pt>
                      <c:pt idx="308">
                        <c:v>3.2611000000000001E-2</c:v>
                      </c:pt>
                      <c:pt idx="309">
                        <c:v>3.2437000000000001E-2</c:v>
                      </c:pt>
                      <c:pt idx="310">
                        <c:v>3.2221E-2</c:v>
                      </c:pt>
                      <c:pt idx="311">
                        <c:v>3.1963999999999999E-2</c:v>
                      </c:pt>
                      <c:pt idx="312">
                        <c:v>3.1666E-2</c:v>
                      </c:pt>
                      <c:pt idx="313">
                        <c:v>3.1330999999999998E-2</c:v>
                      </c:pt>
                      <c:pt idx="314">
                        <c:v>3.0957999999999999E-2</c:v>
                      </c:pt>
                      <c:pt idx="315">
                        <c:v>3.0549E-2</c:v>
                      </c:pt>
                      <c:pt idx="316">
                        <c:v>3.0105E-2</c:v>
                      </c:pt>
                      <c:pt idx="317">
                        <c:v>2.9628999999999999E-2</c:v>
                      </c:pt>
                      <c:pt idx="318">
                        <c:v>2.9121999999999999E-2</c:v>
                      </c:pt>
                      <c:pt idx="319">
                        <c:v>2.8586E-2</c:v>
                      </c:pt>
                      <c:pt idx="320">
                        <c:v>2.8021000000000001E-2</c:v>
                      </c:pt>
                      <c:pt idx="321">
                        <c:v>2.7431000000000001E-2</c:v>
                      </c:pt>
                      <c:pt idx="322">
                        <c:v>2.6817000000000001E-2</c:v>
                      </c:pt>
                      <c:pt idx="323">
                        <c:v>2.6179999999999998E-2</c:v>
                      </c:pt>
                      <c:pt idx="324">
                        <c:v>2.5523000000000001E-2</c:v>
                      </c:pt>
                      <c:pt idx="325">
                        <c:v>2.4847000000000001E-2</c:v>
                      </c:pt>
                      <c:pt idx="326">
                        <c:v>2.4154999999999999E-2</c:v>
                      </c:pt>
                      <c:pt idx="327">
                        <c:v>2.3448E-2</c:v>
                      </c:pt>
                      <c:pt idx="328">
                        <c:v>2.2728000000000002E-2</c:v>
                      </c:pt>
                      <c:pt idx="329">
                        <c:v>2.1996999999999999E-2</c:v>
                      </c:pt>
                      <c:pt idx="330">
                        <c:v>2.1257000000000002E-2</c:v>
                      </c:pt>
                      <c:pt idx="331">
                        <c:v>2.0508999999999999E-2</c:v>
                      </c:pt>
                      <c:pt idx="332">
                        <c:v>1.9755000000000002E-2</c:v>
                      </c:pt>
                      <c:pt idx="333">
                        <c:v>1.8995000000000001E-2</c:v>
                      </c:pt>
                      <c:pt idx="334">
                        <c:v>1.8232999999999999E-2</c:v>
                      </c:pt>
                      <c:pt idx="335">
                        <c:v>1.7468999999999998E-2</c:v>
                      </c:pt>
                      <c:pt idx="336">
                        <c:v>1.6704E-2</c:v>
                      </c:pt>
                      <c:pt idx="337">
                        <c:v>1.5938999999999998E-2</c:v>
                      </c:pt>
                      <c:pt idx="338">
                        <c:v>1.5177E-2</c:v>
                      </c:pt>
                      <c:pt idx="339">
                        <c:v>1.4416E-2</c:v>
                      </c:pt>
                      <c:pt idx="340">
                        <c:v>1.3658999999999999E-2</c:v>
                      </c:pt>
                      <c:pt idx="341">
                        <c:v>1.2906000000000001E-2</c:v>
                      </c:pt>
                      <c:pt idx="342">
                        <c:v>1.2158E-2</c:v>
                      </c:pt>
                      <c:pt idx="343">
                        <c:v>1.1415E-2</c:v>
                      </c:pt>
                      <c:pt idx="344">
                        <c:v>1.0678999999999999E-2</c:v>
                      </c:pt>
                      <c:pt idx="345">
                        <c:v>9.9491000000000007E-3</c:v>
                      </c:pt>
                      <c:pt idx="346">
                        <c:v>9.2263999999999992E-3</c:v>
                      </c:pt>
                      <c:pt idx="347">
                        <c:v>8.5111000000000006E-3</c:v>
                      </c:pt>
                      <c:pt idx="348">
                        <c:v>7.8037000000000002E-3</c:v>
                      </c:pt>
                      <c:pt idx="349">
                        <c:v>7.1044000000000003E-3</c:v>
                      </c:pt>
                      <c:pt idx="350">
                        <c:v>6.4134999999999999E-3</c:v>
                      </c:pt>
                      <c:pt idx="351">
                        <c:v>5.7314000000000002E-3</c:v>
                      </c:pt>
                      <c:pt idx="352">
                        <c:v>5.0581000000000003E-3</c:v>
                      </c:pt>
                      <c:pt idx="353">
                        <c:v>4.3939000000000001E-3</c:v>
                      </c:pt>
                      <c:pt idx="354">
                        <c:v>3.7388999999999999E-3</c:v>
                      </c:pt>
                      <c:pt idx="355">
                        <c:v>3.0933000000000002E-3</c:v>
                      </c:pt>
                      <c:pt idx="356">
                        <c:v>2.4572000000000001E-3</c:v>
                      </c:pt>
                      <c:pt idx="357">
                        <c:v>1.8307E-3</c:v>
                      </c:pt>
                      <c:pt idx="358">
                        <c:v>1.2137999999999999E-3</c:v>
                      </c:pt>
                      <c:pt idx="359">
                        <c:v>6.0663999999999998E-4</c:v>
                      </c:pt>
                      <c:pt idx="360">
                        <c:v>9.2039000000000001E-6</c:v>
                      </c:pt>
                      <c:pt idx="361">
                        <c:v>-5.7846000000000004E-4</c:v>
                      </c:pt>
                      <c:pt idx="362">
                        <c:v>-1.1563999999999999E-3</c:v>
                      </c:pt>
                      <c:pt idx="363">
                        <c:v>-1.7244999999999999E-3</c:v>
                      </c:pt>
                      <c:pt idx="364">
                        <c:v>-2.2829E-3</c:v>
                      </c:pt>
                      <c:pt idx="365">
                        <c:v>-2.8314999999999998E-3</c:v>
                      </c:pt>
                      <c:pt idx="366">
                        <c:v>-3.3704999999999998E-3</c:v>
                      </c:pt>
                      <c:pt idx="367">
                        <c:v>-3.8999E-3</c:v>
                      </c:pt>
                      <c:pt idx="368">
                        <c:v>-4.4197000000000004E-3</c:v>
                      </c:pt>
                      <c:pt idx="369">
                        <c:v>-4.9299000000000001E-3</c:v>
                      </c:pt>
                      <c:pt idx="370">
                        <c:v>-5.4308000000000004E-3</c:v>
                      </c:pt>
                      <c:pt idx="371">
                        <c:v>-5.9223000000000001E-3</c:v>
                      </c:pt>
                      <c:pt idx="372">
                        <c:v>-6.4045999999999999E-3</c:v>
                      </c:pt>
                      <c:pt idx="373">
                        <c:v>-6.8776000000000002E-3</c:v>
                      </c:pt>
                      <c:pt idx="374">
                        <c:v>-7.3416000000000002E-3</c:v>
                      </c:pt>
                      <c:pt idx="375">
                        <c:v>-7.7965999999999999E-3</c:v>
                      </c:pt>
                      <c:pt idx="376">
                        <c:v>-8.2425999999999992E-3</c:v>
                      </c:pt>
                      <c:pt idx="377">
                        <c:v>-8.6799000000000008E-3</c:v>
                      </c:pt>
                      <c:pt idx="378">
                        <c:v>-9.1083999999999991E-3</c:v>
                      </c:pt>
                      <c:pt idx="379">
                        <c:v>-9.5283E-3</c:v>
                      </c:pt>
                      <c:pt idx="380">
                        <c:v>-9.9395999999999998E-3</c:v>
                      </c:pt>
                      <c:pt idx="381">
                        <c:v>-1.0342E-2</c:v>
                      </c:pt>
                      <c:pt idx="382">
                        <c:v>-1.0737E-2</c:v>
                      </c:pt>
                      <c:pt idx="383">
                        <c:v>-1.1122999999999999E-2</c:v>
                      </c:pt>
                      <c:pt idx="384">
                        <c:v>-1.1501000000000001E-2</c:v>
                      </c:pt>
                      <c:pt idx="385">
                        <c:v>-1.1871E-2</c:v>
                      </c:pt>
                      <c:pt idx="386">
                        <c:v>-1.2232E-2</c:v>
                      </c:pt>
                      <c:pt idx="387">
                        <c:v>-1.2586E-2</c:v>
                      </c:pt>
                      <c:pt idx="388">
                        <c:v>-1.2931E-2</c:v>
                      </c:pt>
                      <c:pt idx="389">
                        <c:v>-1.3268E-2</c:v>
                      </c:pt>
                      <c:pt idx="390">
                        <c:v>-1.3598000000000001E-2</c:v>
                      </c:pt>
                      <c:pt idx="391">
                        <c:v>-1.3919000000000001E-2</c:v>
                      </c:pt>
                      <c:pt idx="392">
                        <c:v>-1.4233000000000001E-2</c:v>
                      </c:pt>
                      <c:pt idx="393">
                        <c:v>-1.4538000000000001E-2</c:v>
                      </c:pt>
                      <c:pt idx="394">
                        <c:v>-1.4836E-2</c:v>
                      </c:pt>
                      <c:pt idx="395">
                        <c:v>-1.5126000000000001E-2</c:v>
                      </c:pt>
                      <c:pt idx="396">
                        <c:v>-1.5407000000000001E-2</c:v>
                      </c:pt>
                      <c:pt idx="397">
                        <c:v>-1.5681E-2</c:v>
                      </c:pt>
                      <c:pt idx="398">
                        <c:v>-1.5946999999999999E-2</c:v>
                      </c:pt>
                      <c:pt idx="399">
                        <c:v>-1.6205000000000001E-2</c:v>
                      </c:pt>
                      <c:pt idx="400">
                        <c:v>-1.6455999999999998E-2</c:v>
                      </c:pt>
                      <c:pt idx="401">
                        <c:v>-1.6698000000000001E-2</c:v>
                      </c:pt>
                      <c:pt idx="402">
                        <c:v>-1.6931999999999999E-2</c:v>
                      </c:pt>
                      <c:pt idx="403">
                        <c:v>-1.7159000000000001E-2</c:v>
                      </c:pt>
                      <c:pt idx="404">
                        <c:v>-1.7377E-2</c:v>
                      </c:pt>
                      <c:pt idx="405">
                        <c:v>-1.7587999999999999E-2</c:v>
                      </c:pt>
                      <c:pt idx="406">
                        <c:v>-1.7791000000000001E-2</c:v>
                      </c:pt>
                      <c:pt idx="407">
                        <c:v>-1.7985000000000001E-2</c:v>
                      </c:pt>
                      <c:pt idx="408">
                        <c:v>-1.8172000000000001E-2</c:v>
                      </c:pt>
                      <c:pt idx="409">
                        <c:v>-1.8350999999999999E-2</c:v>
                      </c:pt>
                      <c:pt idx="410">
                        <c:v>-1.8520999999999999E-2</c:v>
                      </c:pt>
                      <c:pt idx="411">
                        <c:v>-1.8683999999999999E-2</c:v>
                      </c:pt>
                      <c:pt idx="412">
                        <c:v>-1.8839000000000002E-2</c:v>
                      </c:pt>
                      <c:pt idx="413">
                        <c:v>-1.8984999999999998E-2</c:v>
                      </c:pt>
                      <c:pt idx="414">
                        <c:v>-1.9123999999999999E-2</c:v>
                      </c:pt>
                      <c:pt idx="415">
                        <c:v>-1.9255000000000001E-2</c:v>
                      </c:pt>
                      <c:pt idx="416">
                        <c:v>-1.9376999999999998E-2</c:v>
                      </c:pt>
                      <c:pt idx="417">
                        <c:v>-1.9491999999999999E-2</c:v>
                      </c:pt>
                      <c:pt idx="418">
                        <c:v>-1.9598999999999998E-2</c:v>
                      </c:pt>
                      <c:pt idx="419">
                        <c:v>-1.9696999999999999E-2</c:v>
                      </c:pt>
                      <c:pt idx="420">
                        <c:v>-1.9788E-2</c:v>
                      </c:pt>
                      <c:pt idx="421">
                        <c:v>-1.9869999999999999E-2</c:v>
                      </c:pt>
                      <c:pt idx="422">
                        <c:v>-1.9945000000000001E-2</c:v>
                      </c:pt>
                      <c:pt idx="423">
                        <c:v>-2.0011999999999999E-2</c:v>
                      </c:pt>
                      <c:pt idx="424">
                        <c:v>-2.0070000000000001E-2</c:v>
                      </c:pt>
                      <c:pt idx="425">
                        <c:v>-2.0121E-2</c:v>
                      </c:pt>
                      <c:pt idx="426">
                        <c:v>-2.0164000000000001E-2</c:v>
                      </c:pt>
                      <c:pt idx="427">
                        <c:v>-2.0199000000000002E-2</c:v>
                      </c:pt>
                      <c:pt idx="428">
                        <c:v>-2.0226000000000001E-2</c:v>
                      </c:pt>
                      <c:pt idx="429">
                        <c:v>-2.0244999999999999E-2</c:v>
                      </c:pt>
                      <c:pt idx="430">
                        <c:v>-2.0256E-2</c:v>
                      </c:pt>
                      <c:pt idx="431">
                        <c:v>-2.026E-2</c:v>
                      </c:pt>
                      <c:pt idx="432">
                        <c:v>-2.0256E-2</c:v>
                      </c:pt>
                      <c:pt idx="433">
                        <c:v>-2.0244999999999999E-2</c:v>
                      </c:pt>
                      <c:pt idx="434">
                        <c:v>-2.0225E-2</c:v>
                      </c:pt>
                      <c:pt idx="435">
                        <c:v>-2.0199000000000002E-2</c:v>
                      </c:pt>
                      <c:pt idx="436">
                        <c:v>-2.0164999999999999E-2</c:v>
                      </c:pt>
                      <c:pt idx="437">
                        <c:v>-2.0124E-2</c:v>
                      </c:pt>
                      <c:pt idx="438">
                        <c:v>-2.0074999999999999E-2</c:v>
                      </c:pt>
                      <c:pt idx="439">
                        <c:v>-2.0018999999999999E-2</c:v>
                      </c:pt>
                      <c:pt idx="440">
                        <c:v>-1.9956000000000002E-2</c:v>
                      </c:pt>
                      <c:pt idx="441">
                        <c:v>-1.9886000000000001E-2</c:v>
                      </c:pt>
                      <c:pt idx="442">
                        <c:v>-1.9809E-2</c:v>
                      </c:pt>
                      <c:pt idx="443">
                        <c:v>-1.9724999999999999E-2</c:v>
                      </c:pt>
                      <c:pt idx="444">
                        <c:v>-1.9635E-2</c:v>
                      </c:pt>
                      <c:pt idx="445">
                        <c:v>-1.9536999999999999E-2</c:v>
                      </c:pt>
                      <c:pt idx="446">
                        <c:v>-1.9432999999999999E-2</c:v>
                      </c:pt>
                      <c:pt idx="447">
                        <c:v>-1.9321999999999999E-2</c:v>
                      </c:pt>
                      <c:pt idx="448">
                        <c:v>-1.9205E-2</c:v>
                      </c:pt>
                      <c:pt idx="449">
                        <c:v>-1.9081000000000001E-2</c:v>
                      </c:pt>
                      <c:pt idx="450">
                        <c:v>-1.8950999999999999E-2</c:v>
                      </c:pt>
                      <c:pt idx="451">
                        <c:v>-1.8814999999999998E-2</c:v>
                      </c:pt>
                      <c:pt idx="452">
                        <c:v>-1.8672999999999999E-2</c:v>
                      </c:pt>
                      <c:pt idx="453">
                        <c:v>-1.8523999999999999E-2</c:v>
                      </c:pt>
                      <c:pt idx="454">
                        <c:v>-1.8370000000000001E-2</c:v>
                      </c:pt>
                      <c:pt idx="455">
                        <c:v>-1.821E-2</c:v>
                      </c:pt>
                      <c:pt idx="456">
                        <c:v>-1.8043E-2</c:v>
                      </c:pt>
                      <c:pt idx="457">
                        <c:v>-1.7871999999999999E-2</c:v>
                      </c:pt>
                      <c:pt idx="458">
                        <c:v>-1.7694000000000001E-2</c:v>
                      </c:pt>
                      <c:pt idx="459">
                        <c:v>-1.7510999999999999E-2</c:v>
                      </c:pt>
                      <c:pt idx="460">
                        <c:v>-1.7323000000000002E-2</c:v>
                      </c:pt>
                      <c:pt idx="461">
                        <c:v>-1.7128999999999998E-2</c:v>
                      </c:pt>
                      <c:pt idx="462">
                        <c:v>-1.6930000000000001E-2</c:v>
                      </c:pt>
                      <c:pt idx="463">
                        <c:v>-1.6726000000000001E-2</c:v>
                      </c:pt>
                      <c:pt idx="464">
                        <c:v>-1.6517E-2</c:v>
                      </c:pt>
                      <c:pt idx="465">
                        <c:v>-1.6303000000000002E-2</c:v>
                      </c:pt>
                      <c:pt idx="466">
                        <c:v>-1.6084999999999999E-2</c:v>
                      </c:pt>
                      <c:pt idx="467">
                        <c:v>-1.5861E-2</c:v>
                      </c:pt>
                      <c:pt idx="468">
                        <c:v>-1.5633999999999999E-2</c:v>
                      </c:pt>
                      <c:pt idx="469">
                        <c:v>-1.5402000000000001E-2</c:v>
                      </c:pt>
                      <c:pt idx="470">
                        <c:v>-1.5165E-2</c:v>
                      </c:pt>
                      <c:pt idx="471">
                        <c:v>-1.4925000000000001E-2</c:v>
                      </c:pt>
                      <c:pt idx="472">
                        <c:v>-1.4681E-2</c:v>
                      </c:pt>
                      <c:pt idx="473">
                        <c:v>-1.4433E-2</c:v>
                      </c:pt>
                      <c:pt idx="474">
                        <c:v>-1.4180999999999999E-2</c:v>
                      </c:pt>
                      <c:pt idx="475">
                        <c:v>-1.3927E-2</c:v>
                      </c:pt>
                      <c:pt idx="476">
                        <c:v>-1.3668E-2</c:v>
                      </c:pt>
                      <c:pt idx="477">
                        <c:v>-1.3407000000000001E-2</c:v>
                      </c:pt>
                      <c:pt idx="478">
                        <c:v>-1.3143E-2</c:v>
                      </c:pt>
                      <c:pt idx="479">
                        <c:v>-1.2876E-2</c:v>
                      </c:pt>
                      <c:pt idx="480">
                        <c:v>-1.2605999999999999E-2</c:v>
                      </c:pt>
                      <c:pt idx="481">
                        <c:v>-1.2333999999999999E-2</c:v>
                      </c:pt>
                      <c:pt idx="482">
                        <c:v>-1.206E-2</c:v>
                      </c:pt>
                      <c:pt idx="483">
                        <c:v>-1.1783999999999999E-2</c:v>
                      </c:pt>
                      <c:pt idx="484">
                        <c:v>-1.1506000000000001E-2</c:v>
                      </c:pt>
                      <c:pt idx="485">
                        <c:v>-1.1227000000000001E-2</c:v>
                      </c:pt>
                      <c:pt idx="486">
                        <c:v>-1.0945E-2</c:v>
                      </c:pt>
                      <c:pt idx="487">
                        <c:v>-1.0663000000000001E-2</c:v>
                      </c:pt>
                      <c:pt idx="488">
                        <c:v>-1.0378999999999999E-2</c:v>
                      </c:pt>
                      <c:pt idx="489">
                        <c:v>-1.0095E-2</c:v>
                      </c:pt>
                      <c:pt idx="490">
                        <c:v>-9.8093999999999994E-3</c:v>
                      </c:pt>
                      <c:pt idx="491">
                        <c:v>-9.5233999999999996E-3</c:v>
                      </c:pt>
                      <c:pt idx="492">
                        <c:v>-9.2368999999999993E-3</c:v>
                      </c:pt>
                      <c:pt idx="493">
                        <c:v>-8.9501000000000008E-3</c:v>
                      </c:pt>
                      <c:pt idx="494">
                        <c:v>-8.6633000000000005E-3</c:v>
                      </c:pt>
                      <c:pt idx="495">
                        <c:v>-8.3764000000000009E-3</c:v>
                      </c:pt>
                      <c:pt idx="496">
                        <c:v>-8.0897999999999994E-3</c:v>
                      </c:pt>
                      <c:pt idx="497">
                        <c:v>-7.8034999999999997E-3</c:v>
                      </c:pt>
                      <c:pt idx="498">
                        <c:v>-7.5177000000000004E-3</c:v>
                      </c:pt>
                      <c:pt idx="499">
                        <c:v>-7.2325999999999996E-3</c:v>
                      </c:pt>
                      <c:pt idx="500">
                        <c:v>-6.9484000000000004E-3</c:v>
                      </c:pt>
                      <c:pt idx="501">
                        <c:v>-6.6651000000000002E-3</c:v>
                      </c:pt>
                      <c:pt idx="502">
                        <c:v>-6.3829999999999998E-3</c:v>
                      </c:pt>
                      <c:pt idx="503">
                        <c:v>-6.1021000000000001E-3</c:v>
                      </c:pt>
                      <c:pt idx="504">
                        <c:v>-5.8225999999999998E-3</c:v>
                      </c:pt>
                      <c:pt idx="505">
                        <c:v>-5.5446999999999996E-3</c:v>
                      </c:pt>
                      <c:pt idx="506">
                        <c:v>-5.2684999999999997E-3</c:v>
                      </c:pt>
                      <c:pt idx="507">
                        <c:v>-4.9940999999999996E-3</c:v>
                      </c:pt>
                      <c:pt idx="508">
                        <c:v>-4.7216999999999997E-3</c:v>
                      </c:pt>
                      <c:pt idx="509">
                        <c:v>-4.4513E-3</c:v>
                      </c:pt>
                      <c:pt idx="510">
                        <c:v>-4.1831999999999998E-3</c:v>
                      </c:pt>
                      <c:pt idx="511">
                        <c:v>-3.9173000000000003E-3</c:v>
                      </c:pt>
                      <c:pt idx="512">
                        <c:v>-3.6540000000000001E-3</c:v>
                      </c:pt>
                      <c:pt idx="513">
                        <c:v>-3.3931999999999999E-3</c:v>
                      </c:pt>
                      <c:pt idx="514">
                        <c:v>-3.1351E-3</c:v>
                      </c:pt>
                      <c:pt idx="515">
                        <c:v>-2.8796999999999998E-3</c:v>
                      </c:pt>
                      <c:pt idx="516">
                        <c:v>-2.6272000000000001E-3</c:v>
                      </c:pt>
                      <c:pt idx="517">
                        <c:v>-2.3777999999999998E-3</c:v>
                      </c:pt>
                      <c:pt idx="518">
                        <c:v>-2.1313E-3</c:v>
                      </c:pt>
                      <c:pt idx="519">
                        <c:v>-1.8881E-3</c:v>
                      </c:pt>
                      <c:pt idx="520">
                        <c:v>-1.6479999999999999E-3</c:v>
                      </c:pt>
                      <c:pt idx="521">
                        <c:v>-1.4113000000000001E-3</c:v>
                      </c:pt>
                      <c:pt idx="522">
                        <c:v>-1.178E-3</c:v>
                      </c:pt>
                      <c:pt idx="523">
                        <c:v>-9.4806999999999997E-4</c:v>
                      </c:pt>
                      <c:pt idx="524">
                        <c:v>-7.2166999999999999E-4</c:v>
                      </c:pt>
                      <c:pt idx="525">
                        <c:v>-4.9881999999999997E-4</c:v>
                      </c:pt>
                      <c:pt idx="526">
                        <c:v>-2.7956999999999998E-4</c:v>
                      </c:pt>
                      <c:pt idx="527">
                        <c:v>-6.3965000000000002E-5</c:v>
                      </c:pt>
                      <c:pt idx="528">
                        <c:v>1.4797000000000001E-4</c:v>
                      </c:pt>
                      <c:pt idx="529">
                        <c:v>3.5618999999999999E-4</c:v>
                      </c:pt>
                      <c:pt idx="530">
                        <c:v>5.6068000000000003E-4</c:v>
                      </c:pt>
                      <c:pt idx="531">
                        <c:v>7.6141999999999996E-4</c:v>
                      </c:pt>
                      <c:pt idx="532">
                        <c:v>9.5838E-4</c:v>
                      </c:pt>
                      <c:pt idx="533">
                        <c:v>1.1515E-3</c:v>
                      </c:pt>
                      <c:pt idx="534">
                        <c:v>1.3408999999999999E-3</c:v>
                      </c:pt>
                      <c:pt idx="535">
                        <c:v>1.5264E-3</c:v>
                      </c:pt>
                      <c:pt idx="536">
                        <c:v>1.7082E-3</c:v>
                      </c:pt>
                      <c:pt idx="537">
                        <c:v>1.8860000000000001E-3</c:v>
                      </c:pt>
                      <c:pt idx="538">
                        <c:v>2.0601E-3</c:v>
                      </c:pt>
                      <c:pt idx="539">
                        <c:v>2.2303000000000002E-3</c:v>
                      </c:pt>
                      <c:pt idx="540">
                        <c:v>2.3966999999999999E-3</c:v>
                      </c:pt>
                      <c:pt idx="541">
                        <c:v>2.5592000000000002E-3</c:v>
                      </c:pt>
                      <c:pt idx="542">
                        <c:v>2.7177999999999998E-3</c:v>
                      </c:pt>
                      <c:pt idx="543">
                        <c:v>2.8727000000000002E-3</c:v>
                      </c:pt>
                      <c:pt idx="544">
                        <c:v>3.0236999999999998E-3</c:v>
                      </c:pt>
                      <c:pt idx="545">
                        <c:v>3.1708000000000001E-3</c:v>
                      </c:pt>
                      <c:pt idx="546">
                        <c:v>3.3140999999999999E-3</c:v>
                      </c:pt>
                      <c:pt idx="547">
                        <c:v>3.4535999999999998E-3</c:v>
                      </c:pt>
                      <c:pt idx="548">
                        <c:v>3.5893000000000001E-3</c:v>
                      </c:pt>
                      <c:pt idx="549">
                        <c:v>3.7212E-3</c:v>
                      </c:pt>
                      <c:pt idx="550">
                        <c:v>3.8492999999999999E-3</c:v>
                      </c:pt>
                      <c:pt idx="551">
                        <c:v>3.9735999999999999E-3</c:v>
                      </c:pt>
                      <c:pt idx="552">
                        <c:v>4.0940999999999998E-3</c:v>
                      </c:pt>
                      <c:pt idx="553">
                        <c:v>4.2109000000000001E-3</c:v>
                      </c:pt>
                      <c:pt idx="554">
                        <c:v>4.3239999999999997E-3</c:v>
                      </c:pt>
                      <c:pt idx="555">
                        <c:v>4.4333000000000003E-3</c:v>
                      </c:pt>
                      <c:pt idx="556">
                        <c:v>4.5389999999999996E-3</c:v>
                      </c:pt>
                      <c:pt idx="557">
                        <c:v>4.6408999999999999E-3</c:v>
                      </c:pt>
                      <c:pt idx="558">
                        <c:v>4.7393000000000001E-3</c:v>
                      </c:pt>
                      <c:pt idx="559">
                        <c:v>4.8339999999999998E-3</c:v>
                      </c:pt>
                      <c:pt idx="560">
                        <c:v>4.9251E-3</c:v>
                      </c:pt>
                      <c:pt idx="561">
                        <c:v>5.0127000000000001E-3</c:v>
                      </c:pt>
                      <c:pt idx="562">
                        <c:v>5.0968000000000003E-3</c:v>
                      </c:pt>
                      <c:pt idx="563">
                        <c:v>5.1774000000000004E-3</c:v>
                      </c:pt>
                      <c:pt idx="564">
                        <c:v>5.2545999999999999E-3</c:v>
                      </c:pt>
                      <c:pt idx="565">
                        <c:v>5.3283999999999996E-3</c:v>
                      </c:pt>
                      <c:pt idx="566">
                        <c:v>5.3988999999999999E-3</c:v>
                      </c:pt>
                      <c:pt idx="567">
                        <c:v>5.4660999999999998E-3</c:v>
                      </c:pt>
                      <c:pt idx="568">
                        <c:v>5.5300999999999996E-3</c:v>
                      </c:pt>
                      <c:pt idx="569">
                        <c:v>5.5907999999999999E-3</c:v>
                      </c:pt>
                      <c:pt idx="570">
                        <c:v>5.6484999999999999E-3</c:v>
                      </c:pt>
                      <c:pt idx="571">
                        <c:v>5.7031E-3</c:v>
                      </c:pt>
                      <c:pt idx="572">
                        <c:v>5.7546999999999997E-3</c:v>
                      </c:pt>
                      <c:pt idx="573">
                        <c:v>5.8034000000000002E-3</c:v>
                      </c:pt>
                      <c:pt idx="574">
                        <c:v>5.8491999999999997E-3</c:v>
                      </c:pt>
                      <c:pt idx="575">
                        <c:v>5.8922000000000002E-3</c:v>
                      </c:pt>
                      <c:pt idx="576">
                        <c:v>5.9325000000000003E-3</c:v>
                      </c:pt>
                      <c:pt idx="577">
                        <c:v>5.9702000000000002E-3</c:v>
                      </c:pt>
                      <c:pt idx="578">
                        <c:v>6.0051999999999996E-3</c:v>
                      </c:pt>
                      <c:pt idx="579">
                        <c:v>6.0378000000000003E-3</c:v>
                      </c:pt>
                      <c:pt idx="580">
                        <c:v>6.0679000000000002E-3</c:v>
                      </c:pt>
                      <c:pt idx="581">
                        <c:v>6.0956999999999999E-3</c:v>
                      </c:pt>
                      <c:pt idx="582">
                        <c:v>6.1211E-3</c:v>
                      </c:pt>
                      <c:pt idx="583">
                        <c:v>6.1444000000000004E-3</c:v>
                      </c:pt>
                      <c:pt idx="584">
                        <c:v>6.1655E-3</c:v>
                      </c:pt>
                      <c:pt idx="585">
                        <c:v>6.1844999999999999E-3</c:v>
                      </c:pt>
                      <c:pt idx="586">
                        <c:v>6.2015999999999998E-3</c:v>
                      </c:pt>
                      <c:pt idx="587">
                        <c:v>6.2166000000000001E-3</c:v>
                      </c:pt>
                      <c:pt idx="588">
                        <c:v>6.2299E-3</c:v>
                      </c:pt>
                      <c:pt idx="589">
                        <c:v>6.2413E-3</c:v>
                      </c:pt>
                      <c:pt idx="590">
                        <c:v>6.2509999999999996E-3</c:v>
                      </c:pt>
                      <c:pt idx="591">
                        <c:v>6.2591000000000001E-3</c:v>
                      </c:pt>
                      <c:pt idx="592">
                        <c:v>6.2655000000000002E-3</c:v>
                      </c:pt>
                      <c:pt idx="593">
                        <c:v>6.2703999999999998E-3</c:v>
                      </c:pt>
                      <c:pt idx="594">
                        <c:v>6.2738000000000004E-3</c:v>
                      </c:pt>
                      <c:pt idx="595">
                        <c:v>6.2757000000000004E-3</c:v>
                      </c:pt>
                      <c:pt idx="596">
                        <c:v>6.2763000000000003E-3</c:v>
                      </c:pt>
                      <c:pt idx="597">
                        <c:v>6.2756000000000001E-3</c:v>
                      </c:pt>
                      <c:pt idx="598">
                        <c:v>6.2735999999999998E-3</c:v>
                      </c:pt>
                      <c:pt idx="599">
                        <c:v>6.2703999999999998E-3</c:v>
                      </c:pt>
                      <c:pt idx="600">
                        <c:v>6.2659999999999999E-3</c:v>
                      </c:pt>
                      <c:pt idx="601">
                        <c:v>6.2604000000000002E-3</c:v>
                      </c:pt>
                      <c:pt idx="602">
                        <c:v>6.2538000000000003E-3</c:v>
                      </c:pt>
                      <c:pt idx="603">
                        <c:v>6.2461000000000001E-3</c:v>
                      </c:pt>
                      <c:pt idx="604">
                        <c:v>6.2373999999999997E-3</c:v>
                      </c:pt>
                      <c:pt idx="605">
                        <c:v>6.2278000000000003E-3</c:v>
                      </c:pt>
                      <c:pt idx="606">
                        <c:v>6.2172E-3</c:v>
                      </c:pt>
                      <c:pt idx="607">
                        <c:v>6.2056999999999998E-3</c:v>
                      </c:pt>
                      <c:pt idx="608">
                        <c:v>6.1932999999999997E-3</c:v>
                      </c:pt>
                      <c:pt idx="609">
                        <c:v>6.1801E-3</c:v>
                      </c:pt>
                      <c:pt idx="610">
                        <c:v>6.1660999999999999E-3</c:v>
                      </c:pt>
                      <c:pt idx="611">
                        <c:v>6.1513000000000002E-3</c:v>
                      </c:pt>
                      <c:pt idx="612">
                        <c:v>6.1357E-3</c:v>
                      </c:pt>
                      <c:pt idx="613">
                        <c:v>6.1193000000000003E-3</c:v>
                      </c:pt>
                      <c:pt idx="614">
                        <c:v>6.1022999999999997E-3</c:v>
                      </c:pt>
                      <c:pt idx="615">
                        <c:v>6.0844999999999996E-3</c:v>
                      </c:pt>
                      <c:pt idx="616">
                        <c:v>6.0660999999999996E-3</c:v>
                      </c:pt>
                      <c:pt idx="617">
                        <c:v>6.0470000000000003E-3</c:v>
                      </c:pt>
                      <c:pt idx="618">
                        <c:v>6.0273000000000002E-3</c:v>
                      </c:pt>
                      <c:pt idx="619">
                        <c:v>6.0068999999999999E-3</c:v>
                      </c:pt>
                    </c:numCache>
                  </c:numRef>
                </c:yVal>
                <c:smooth val="1"/>
                <c:extLst xmlns:c15="http://schemas.microsoft.com/office/drawing/2012/chart">
                  <c:ext xmlns:c16="http://schemas.microsoft.com/office/drawing/2014/chart" uri="{C3380CC4-5D6E-409C-BE32-E72D297353CC}">
                    <c16:uniqueId val="{00000008-00C6-46B2-92E3-3CDC1A8F00F7}"/>
                  </c:ext>
                </c:extLst>
              </c15:ser>
            </c15:filteredScatterSeries>
            <c15:filteredScatterSeries>
              <c15:ser>
                <c:idx val="8"/>
                <c:order val="8"/>
                <c:spPr>
                  <a:ln w="19050"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'INIT-File+Corr'!$J$16:$J$636</c15:sqref>
                        </c15:formulaRef>
                      </c:ext>
                    </c:extLst>
                    <c:numCache>
                      <c:formatCode>0.000000</c:formatCode>
                      <c:ptCount val="620"/>
                      <c:pt idx="0">
                        <c:v>-6.9538000000000004E-3</c:v>
                      </c:pt>
                      <c:pt idx="1">
                        <c:v>-7.0239999999999999E-3</c:v>
                      </c:pt>
                      <c:pt idx="2">
                        <c:v>-7.0949999999999997E-3</c:v>
                      </c:pt>
                      <c:pt idx="3">
                        <c:v>-7.1666999999999998E-3</c:v>
                      </c:pt>
                      <c:pt idx="4">
                        <c:v>-7.2389999999999998E-3</c:v>
                      </c:pt>
                      <c:pt idx="5">
                        <c:v>-7.3121999999999996E-3</c:v>
                      </c:pt>
                      <c:pt idx="6">
                        <c:v>-7.3860000000000002E-3</c:v>
                      </c:pt>
                      <c:pt idx="7">
                        <c:v>-7.4606000000000004E-3</c:v>
                      </c:pt>
                      <c:pt idx="8">
                        <c:v>-7.5360000000000002E-3</c:v>
                      </c:pt>
                      <c:pt idx="9">
                        <c:v>-7.6121000000000001E-3</c:v>
                      </c:pt>
                      <c:pt idx="10">
                        <c:v>-7.6889999999999997E-3</c:v>
                      </c:pt>
                      <c:pt idx="11">
                        <c:v>-7.7666999999999996E-3</c:v>
                      </c:pt>
                      <c:pt idx="12">
                        <c:v>-7.8451000000000007E-3</c:v>
                      </c:pt>
                      <c:pt idx="13">
                        <c:v>-7.9243999999999998E-3</c:v>
                      </c:pt>
                      <c:pt idx="14">
                        <c:v>-8.0046000000000006E-3</c:v>
                      </c:pt>
                      <c:pt idx="15">
                        <c:v>-8.0856999999999995E-3</c:v>
                      </c:pt>
                      <c:pt idx="16">
                        <c:v>-8.1676000000000006E-3</c:v>
                      </c:pt>
                      <c:pt idx="17">
                        <c:v>-8.2503999999999997E-3</c:v>
                      </c:pt>
                      <c:pt idx="18">
                        <c:v>-8.3339E-3</c:v>
                      </c:pt>
                      <c:pt idx="19">
                        <c:v>-8.4177999999999996E-3</c:v>
                      </c:pt>
                      <c:pt idx="20">
                        <c:v>-8.5016999999999992E-3</c:v>
                      </c:pt>
                      <c:pt idx="21">
                        <c:v>-8.5851E-3</c:v>
                      </c:pt>
                      <c:pt idx="22">
                        <c:v>-8.6672999999999993E-3</c:v>
                      </c:pt>
                      <c:pt idx="23">
                        <c:v>-8.7475000000000001E-3</c:v>
                      </c:pt>
                      <c:pt idx="24">
                        <c:v>-8.8249999999999995E-3</c:v>
                      </c:pt>
                      <c:pt idx="25">
                        <c:v>-8.8988000000000001E-3</c:v>
                      </c:pt>
                      <c:pt idx="26">
                        <c:v>-8.9680999999999997E-3</c:v>
                      </c:pt>
                      <c:pt idx="27">
                        <c:v>-9.0317999999999996E-3</c:v>
                      </c:pt>
                      <c:pt idx="28">
                        <c:v>-9.0892999999999998E-3</c:v>
                      </c:pt>
                      <c:pt idx="29">
                        <c:v>-9.1395999999999995E-3</c:v>
                      </c:pt>
                      <c:pt idx="30">
                        <c:v>-9.1822999999999991E-3</c:v>
                      </c:pt>
                      <c:pt idx="31">
                        <c:v>-9.2166000000000001E-3</c:v>
                      </c:pt>
                      <c:pt idx="32">
                        <c:v>-9.2423000000000002E-3</c:v>
                      </c:pt>
                      <c:pt idx="33">
                        <c:v>-9.2590999999999993E-3</c:v>
                      </c:pt>
                      <c:pt idx="34">
                        <c:v>-9.2666999999999992E-3</c:v>
                      </c:pt>
                      <c:pt idx="35">
                        <c:v>-9.2651999999999995E-3</c:v>
                      </c:pt>
                      <c:pt idx="36">
                        <c:v>-9.2545000000000006E-3</c:v>
                      </c:pt>
                      <c:pt idx="37">
                        <c:v>-9.2350000000000002E-3</c:v>
                      </c:pt>
                      <c:pt idx="38">
                        <c:v>-9.2069000000000005E-3</c:v>
                      </c:pt>
                      <c:pt idx="39">
                        <c:v>-9.1704999999999998E-3</c:v>
                      </c:pt>
                      <c:pt idx="40">
                        <c:v>-9.1260999999999998E-3</c:v>
                      </c:pt>
                      <c:pt idx="41">
                        <c:v>-9.0743999999999998E-3</c:v>
                      </c:pt>
                      <c:pt idx="42">
                        <c:v>-9.0156999999999998E-3</c:v>
                      </c:pt>
                      <c:pt idx="43">
                        <c:v>-8.9505999999999995E-3</c:v>
                      </c:pt>
                      <c:pt idx="44">
                        <c:v>-8.8795999999999996E-3</c:v>
                      </c:pt>
                      <c:pt idx="45">
                        <c:v>-8.8032000000000006E-3</c:v>
                      </c:pt>
                      <c:pt idx="46">
                        <c:v>-8.7218999999999994E-3</c:v>
                      </c:pt>
                      <c:pt idx="47">
                        <c:v>-8.6362000000000001E-3</c:v>
                      </c:pt>
                      <c:pt idx="48">
                        <c:v>-8.5465000000000003E-3</c:v>
                      </c:pt>
                      <c:pt idx="49">
                        <c:v>-8.4530999999999999E-3</c:v>
                      </c:pt>
                      <c:pt idx="50">
                        <c:v>-8.3566000000000005E-3</c:v>
                      </c:pt>
                      <c:pt idx="51">
                        <c:v>-8.2571999999999993E-3</c:v>
                      </c:pt>
                      <c:pt idx="52">
                        <c:v>-8.1551999999999996E-3</c:v>
                      </c:pt>
                      <c:pt idx="53">
                        <c:v>-8.0508999999999997E-3</c:v>
                      </c:pt>
                      <c:pt idx="54">
                        <c:v>-7.9445999999999996E-3</c:v>
                      </c:pt>
                      <c:pt idx="55">
                        <c:v>-7.7267999999999998E-3</c:v>
                      </c:pt>
                      <c:pt idx="56">
                        <c:v>-7.6157999999999998E-3</c:v>
                      </c:pt>
                      <c:pt idx="57">
                        <c:v>-7.5034999999999998E-3</c:v>
                      </c:pt>
                      <c:pt idx="58">
                        <c:v>-7.3902999999999998E-3</c:v>
                      </c:pt>
                      <c:pt idx="59">
                        <c:v>-7.2763000000000003E-3</c:v>
                      </c:pt>
                      <c:pt idx="60">
                        <c:v>-7.1615999999999997E-3</c:v>
                      </c:pt>
                      <c:pt idx="61">
                        <c:v>-7.0464000000000004E-3</c:v>
                      </c:pt>
                      <c:pt idx="62">
                        <c:v>-6.9309000000000003E-3</c:v>
                      </c:pt>
                      <c:pt idx="63">
                        <c:v>-6.8152999999999998E-3</c:v>
                      </c:pt>
                      <c:pt idx="64">
                        <c:v>-6.6996E-3</c:v>
                      </c:pt>
                      <c:pt idx="65">
                        <c:v>-6.5839999999999996E-3</c:v>
                      </c:pt>
                      <c:pt idx="66">
                        <c:v>-6.4685999999999997E-3</c:v>
                      </c:pt>
                      <c:pt idx="67">
                        <c:v>-6.3537000000000003E-3</c:v>
                      </c:pt>
                      <c:pt idx="68">
                        <c:v>-6.2394E-3</c:v>
                      </c:pt>
                      <c:pt idx="69">
                        <c:v>-6.1257000000000004E-3</c:v>
                      </c:pt>
                      <c:pt idx="70">
                        <c:v>-6.0130000000000001E-3</c:v>
                      </c:pt>
                      <c:pt idx="71">
                        <c:v>-5.9012999999999999E-3</c:v>
                      </c:pt>
                      <c:pt idx="72">
                        <c:v>-5.7908999999999999E-3</c:v>
                      </c:pt>
                      <c:pt idx="73">
                        <c:v>-5.6817999999999999E-3</c:v>
                      </c:pt>
                      <c:pt idx="74">
                        <c:v>-5.5742999999999999E-3</c:v>
                      </c:pt>
                      <c:pt idx="75">
                        <c:v>-5.4685000000000003E-3</c:v>
                      </c:pt>
                      <c:pt idx="76">
                        <c:v>-5.3647E-3</c:v>
                      </c:pt>
                      <c:pt idx="77">
                        <c:v>-5.2630000000000003E-3</c:v>
                      </c:pt>
                      <c:pt idx="78">
                        <c:v>-5.1634999999999997E-3</c:v>
                      </c:pt>
                      <c:pt idx="79">
                        <c:v>-5.0664999999999998E-3</c:v>
                      </c:pt>
                      <c:pt idx="80">
                        <c:v>-4.9721000000000001E-3</c:v>
                      </c:pt>
                      <c:pt idx="81">
                        <c:v>-4.8805000000000003E-3</c:v>
                      </c:pt>
                      <c:pt idx="82">
                        <c:v>-4.7917999999999997E-3</c:v>
                      </c:pt>
                      <c:pt idx="83">
                        <c:v>-4.7063000000000001E-3</c:v>
                      </c:pt>
                      <c:pt idx="84">
                        <c:v>-4.6240999999999999E-3</c:v>
                      </c:pt>
                      <c:pt idx="85">
                        <c:v>-4.5452000000000001E-3</c:v>
                      </c:pt>
                      <c:pt idx="86">
                        <c:v>-4.47E-3</c:v>
                      </c:pt>
                      <c:pt idx="87">
                        <c:v>-4.3984000000000002E-3</c:v>
                      </c:pt>
                      <c:pt idx="88">
                        <c:v>-4.3306000000000004E-3</c:v>
                      </c:pt>
                      <c:pt idx="89">
                        <c:v>-4.2668000000000003E-3</c:v>
                      </c:pt>
                      <c:pt idx="90">
                        <c:v>-4.2069000000000004E-3</c:v>
                      </c:pt>
                      <c:pt idx="91">
                        <c:v>-4.1511999999999999E-3</c:v>
                      </c:pt>
                      <c:pt idx="92">
                        <c:v>-4.0996000000000001E-3</c:v>
                      </c:pt>
                      <c:pt idx="93">
                        <c:v>-4.0521999999999997E-3</c:v>
                      </c:pt>
                      <c:pt idx="94">
                        <c:v>-4.0090000000000004E-3</c:v>
                      </c:pt>
                      <c:pt idx="95">
                        <c:v>-3.9700999999999998E-3</c:v>
                      </c:pt>
                      <c:pt idx="96">
                        <c:v>-3.9354000000000004E-3</c:v>
                      </c:pt>
                      <c:pt idx="97">
                        <c:v>-3.9049000000000002E-3</c:v>
                      </c:pt>
                      <c:pt idx="98">
                        <c:v>-3.8785E-3</c:v>
                      </c:pt>
                      <c:pt idx="99">
                        <c:v>-3.8560999999999999E-3</c:v>
                      </c:pt>
                      <c:pt idx="100">
                        <c:v>-3.8376999999999999E-3</c:v>
                      </c:pt>
                      <c:pt idx="101">
                        <c:v>-3.823E-3</c:v>
                      </c:pt>
                      <c:pt idx="102">
                        <c:v>-3.8119E-3</c:v>
                      </c:pt>
                      <c:pt idx="103">
                        <c:v>-3.8043E-3</c:v>
                      </c:pt>
                      <c:pt idx="104">
                        <c:v>-3.7999000000000002E-3</c:v>
                      </c:pt>
                      <c:pt idx="105">
                        <c:v>-3.7986000000000001E-3</c:v>
                      </c:pt>
                      <c:pt idx="106">
                        <c:v>-3.8E-3</c:v>
                      </c:pt>
                      <c:pt idx="107">
                        <c:v>-3.8038999999999998E-3</c:v>
                      </c:pt>
                      <c:pt idx="108">
                        <c:v>-3.8100999999999999E-3</c:v>
                      </c:pt>
                      <c:pt idx="109">
                        <c:v>-3.8181999999999999E-3</c:v>
                      </c:pt>
                      <c:pt idx="110">
                        <c:v>-3.8279999999999998E-3</c:v>
                      </c:pt>
                      <c:pt idx="111">
                        <c:v>-3.8392000000000001E-3</c:v>
                      </c:pt>
                      <c:pt idx="112">
                        <c:v>-3.8514E-3</c:v>
                      </c:pt>
                      <c:pt idx="113">
                        <c:v>-3.8643000000000002E-3</c:v>
                      </c:pt>
                      <c:pt idx="114">
                        <c:v>-3.8776000000000001E-3</c:v>
                      </c:pt>
                      <c:pt idx="115">
                        <c:v>-3.8909999999999999E-3</c:v>
                      </c:pt>
                      <c:pt idx="116">
                        <c:v>-3.9041000000000002E-3</c:v>
                      </c:pt>
                      <c:pt idx="117">
                        <c:v>-3.9166000000000001E-3</c:v>
                      </c:pt>
                      <c:pt idx="118">
                        <c:v>-3.9281999999999997E-3</c:v>
                      </c:pt>
                      <c:pt idx="119">
                        <c:v>-3.9383999999999999E-3</c:v>
                      </c:pt>
                      <c:pt idx="120">
                        <c:v>-3.9471000000000003E-3</c:v>
                      </c:pt>
                      <c:pt idx="121">
                        <c:v>-3.9538000000000004E-3</c:v>
                      </c:pt>
                      <c:pt idx="122">
                        <c:v>-3.9582999999999997E-3</c:v>
                      </c:pt>
                      <c:pt idx="123">
                        <c:v>-3.9601000000000003E-3</c:v>
                      </c:pt>
                      <c:pt idx="124">
                        <c:v>-3.9591000000000001E-3</c:v>
                      </c:pt>
                      <c:pt idx="125">
                        <c:v>-3.9548999999999999E-3</c:v>
                      </c:pt>
                      <c:pt idx="126">
                        <c:v>-3.9471999999999997E-3</c:v>
                      </c:pt>
                      <c:pt idx="127">
                        <c:v>-3.9357999999999997E-3</c:v>
                      </c:pt>
                      <c:pt idx="128">
                        <c:v>-3.9204000000000001E-3</c:v>
                      </c:pt>
                      <c:pt idx="129">
                        <c:v>-3.9007E-3</c:v>
                      </c:pt>
                      <c:pt idx="130">
                        <c:v>-3.8765000000000002E-3</c:v>
                      </c:pt>
                      <c:pt idx="131">
                        <c:v>-3.8476999999999999E-3</c:v>
                      </c:pt>
                      <c:pt idx="132">
                        <c:v>-3.8141E-3</c:v>
                      </c:pt>
                      <c:pt idx="133">
                        <c:v>-3.7755000000000002E-3</c:v>
                      </c:pt>
                      <c:pt idx="134">
                        <c:v>-3.7318999999999998E-3</c:v>
                      </c:pt>
                      <c:pt idx="135">
                        <c:v>-3.6833E-3</c:v>
                      </c:pt>
                      <c:pt idx="136">
                        <c:v>-3.6294999999999999E-3</c:v>
                      </c:pt>
                      <c:pt idx="137">
                        <c:v>-3.5707999999999998E-3</c:v>
                      </c:pt>
                      <c:pt idx="138">
                        <c:v>-3.5071E-3</c:v>
                      </c:pt>
                      <c:pt idx="139">
                        <c:v>-3.4386999999999998E-3</c:v>
                      </c:pt>
                      <c:pt idx="140">
                        <c:v>-3.3658E-3</c:v>
                      </c:pt>
                      <c:pt idx="141">
                        <c:v>-3.2886999999999999E-3</c:v>
                      </c:pt>
                      <c:pt idx="142">
                        <c:v>-3.2077E-3</c:v>
                      </c:pt>
                      <c:pt idx="143">
                        <c:v>-3.1232E-3</c:v>
                      </c:pt>
                      <c:pt idx="144">
                        <c:v>-3.0357000000000001E-3</c:v>
                      </c:pt>
                      <c:pt idx="145">
                        <c:v>-2.9458000000000002E-3</c:v>
                      </c:pt>
                      <c:pt idx="146">
                        <c:v>-2.8538999999999999E-3</c:v>
                      </c:pt>
                      <c:pt idx="147">
                        <c:v>-2.7607E-3</c:v>
                      </c:pt>
                      <c:pt idx="148">
                        <c:v>-2.6668999999999998E-3</c:v>
                      </c:pt>
                      <c:pt idx="149">
                        <c:v>-2.5730000000000002E-3</c:v>
                      </c:pt>
                      <c:pt idx="150">
                        <c:v>-2.4797E-3</c:v>
                      </c:pt>
                      <c:pt idx="151">
                        <c:v>-2.3877999999999998E-3</c:v>
                      </c:pt>
                      <c:pt idx="152">
                        <c:v>-2.2978E-3</c:v>
                      </c:pt>
                      <c:pt idx="153">
                        <c:v>-2.2104E-3</c:v>
                      </c:pt>
                      <c:pt idx="154">
                        <c:v>-2.1262E-3</c:v>
                      </c:pt>
                      <c:pt idx="155">
                        <c:v>-2.0457000000000001E-3</c:v>
                      </c:pt>
                      <c:pt idx="156">
                        <c:v>-1.9694999999999999E-3</c:v>
                      </c:pt>
                      <c:pt idx="157">
                        <c:v>-1.8981E-3</c:v>
                      </c:pt>
                      <c:pt idx="158">
                        <c:v>-1.8320000000000001E-3</c:v>
                      </c:pt>
                      <c:pt idx="159">
                        <c:v>-1.7714E-3</c:v>
                      </c:pt>
                      <c:pt idx="160">
                        <c:v>-1.7167E-3</c:v>
                      </c:pt>
                      <c:pt idx="161">
                        <c:v>-1.6682000000000001E-3</c:v>
                      </c:pt>
                      <c:pt idx="162">
                        <c:v>-1.6260999999999999E-3</c:v>
                      </c:pt>
                      <c:pt idx="163">
                        <c:v>-1.5906E-3</c:v>
                      </c:pt>
                      <c:pt idx="164">
                        <c:v>-1.5617000000000001E-3</c:v>
                      </c:pt>
                      <c:pt idx="165">
                        <c:v>-1.5395999999999999E-3</c:v>
                      </c:pt>
                      <c:pt idx="166">
                        <c:v>-1.5242000000000001E-3</c:v>
                      </c:pt>
                      <c:pt idx="167">
                        <c:v>-1.5156E-3</c:v>
                      </c:pt>
                      <c:pt idx="168">
                        <c:v>-1.5135999999999999E-3</c:v>
                      </c:pt>
                      <c:pt idx="169">
                        <c:v>-1.5181000000000001E-3</c:v>
                      </c:pt>
                      <c:pt idx="170">
                        <c:v>-1.5291E-3</c:v>
                      </c:pt>
                      <c:pt idx="171">
                        <c:v>-1.5462E-3</c:v>
                      </c:pt>
                      <c:pt idx="172">
                        <c:v>-1.5693E-3</c:v>
                      </c:pt>
                      <c:pt idx="173">
                        <c:v>-1.5981999999999999E-3</c:v>
                      </c:pt>
                      <c:pt idx="174">
                        <c:v>-1.6325000000000001E-3</c:v>
                      </c:pt>
                      <c:pt idx="175">
                        <c:v>-1.6719E-3</c:v>
                      </c:pt>
                      <c:pt idx="176">
                        <c:v>-1.7163E-3</c:v>
                      </c:pt>
                      <c:pt idx="177">
                        <c:v>-1.7650000000000001E-3</c:v>
                      </c:pt>
                      <c:pt idx="178">
                        <c:v>-1.8178999999999999E-3</c:v>
                      </c:pt>
                      <c:pt idx="179">
                        <c:v>-1.8745000000000001E-3</c:v>
                      </c:pt>
                      <c:pt idx="180">
                        <c:v>-1.9344E-3</c:v>
                      </c:pt>
                      <c:pt idx="181">
                        <c:v>-1.9972000000000002E-3</c:v>
                      </c:pt>
                      <c:pt idx="182">
                        <c:v>-2.0623999999999998E-3</c:v>
                      </c:pt>
                      <c:pt idx="183">
                        <c:v>-2.1296000000000002E-3</c:v>
                      </c:pt>
                      <c:pt idx="184">
                        <c:v>-2.1982E-3</c:v>
                      </c:pt>
                      <c:pt idx="185">
                        <c:v>-2.2679000000000002E-3</c:v>
                      </c:pt>
                      <c:pt idx="186">
                        <c:v>-2.3381999999999999E-3</c:v>
                      </c:pt>
                      <c:pt idx="187">
                        <c:v>-2.4085000000000001E-3</c:v>
                      </c:pt>
                      <c:pt idx="188">
                        <c:v>-2.4783000000000001E-3</c:v>
                      </c:pt>
                      <c:pt idx="189">
                        <c:v>-2.5471999999999999E-3</c:v>
                      </c:pt>
                      <c:pt idx="190">
                        <c:v>-2.6147000000000002E-3</c:v>
                      </c:pt>
                      <c:pt idx="191">
                        <c:v>-2.6803E-3</c:v>
                      </c:pt>
                      <c:pt idx="192">
                        <c:v>-2.7434E-3</c:v>
                      </c:pt>
                      <c:pt idx="193">
                        <c:v>-2.8035999999999998E-3</c:v>
                      </c:pt>
                      <c:pt idx="194">
                        <c:v>-2.8603999999999999E-3</c:v>
                      </c:pt>
                      <c:pt idx="195">
                        <c:v>-2.9133000000000002E-3</c:v>
                      </c:pt>
                      <c:pt idx="196">
                        <c:v>-2.9618999999999999E-3</c:v>
                      </c:pt>
                      <c:pt idx="197">
                        <c:v>-3.0057999999999999E-3</c:v>
                      </c:pt>
                      <c:pt idx="198">
                        <c:v>-3.0444000000000001E-3</c:v>
                      </c:pt>
                      <c:pt idx="199">
                        <c:v>-3.0772999999999998E-3</c:v>
                      </c:pt>
                      <c:pt idx="200">
                        <c:v>-3.1042000000000001E-3</c:v>
                      </c:pt>
                      <c:pt idx="201">
                        <c:v>-3.1248000000000001E-3</c:v>
                      </c:pt>
                      <c:pt idx="202">
                        <c:v>-3.1384999999999998E-3</c:v>
                      </c:pt>
                      <c:pt idx="203">
                        <c:v>-3.1453000000000002E-3</c:v>
                      </c:pt>
                      <c:pt idx="204">
                        <c:v>-3.1446E-3</c:v>
                      </c:pt>
                      <c:pt idx="205">
                        <c:v>-3.1364000000000001E-3</c:v>
                      </c:pt>
                      <c:pt idx="206">
                        <c:v>-3.1204000000000002E-3</c:v>
                      </c:pt>
                      <c:pt idx="207">
                        <c:v>-3.0964999999999999E-3</c:v>
                      </c:pt>
                      <c:pt idx="208">
                        <c:v>-3.0645999999999998E-3</c:v>
                      </c:pt>
                      <c:pt idx="209">
                        <c:v>-3.0247E-3</c:v>
                      </c:pt>
                      <c:pt idx="210">
                        <c:v>-2.9767999999999999E-3</c:v>
                      </c:pt>
                      <c:pt idx="211">
                        <c:v>-2.921E-3</c:v>
                      </c:pt>
                      <c:pt idx="212">
                        <c:v>-2.8574999999999998E-3</c:v>
                      </c:pt>
                      <c:pt idx="213">
                        <c:v>-2.7867E-3</c:v>
                      </c:pt>
                      <c:pt idx="214">
                        <c:v>-2.7087999999999999E-3</c:v>
                      </c:pt>
                      <c:pt idx="215">
                        <c:v>-2.6243E-3</c:v>
                      </c:pt>
                      <c:pt idx="216">
                        <c:v>-2.5338000000000001E-3</c:v>
                      </c:pt>
                      <c:pt idx="217">
                        <c:v>-2.4377000000000001E-3</c:v>
                      </c:pt>
                      <c:pt idx="218">
                        <c:v>-2.3368E-3</c:v>
                      </c:pt>
                      <c:pt idx="219">
                        <c:v>-2.2315E-3</c:v>
                      </c:pt>
                      <c:pt idx="220">
                        <c:v>-2.1226999999999999E-3</c:v>
                      </c:pt>
                      <c:pt idx="221">
                        <c:v>-2.0111E-3</c:v>
                      </c:pt>
                      <c:pt idx="222">
                        <c:v>-1.8971999999999999E-3</c:v>
                      </c:pt>
                      <c:pt idx="223">
                        <c:v>-1.7819999999999999E-3</c:v>
                      </c:pt>
                      <c:pt idx="224">
                        <c:v>-1.6659999999999999E-3</c:v>
                      </c:pt>
                      <c:pt idx="225">
                        <c:v>-1.5501E-3</c:v>
                      </c:pt>
                      <c:pt idx="226">
                        <c:v>-1.4349E-3</c:v>
                      </c:pt>
                      <c:pt idx="227">
                        <c:v>-1.3213000000000001E-3</c:v>
                      </c:pt>
                      <c:pt idx="228">
                        <c:v>-1.2098E-3</c:v>
                      </c:pt>
                      <c:pt idx="229">
                        <c:v>-1.1012999999999999E-3</c:v>
                      </c:pt>
                      <c:pt idx="230">
                        <c:v>-9.9628E-4</c:v>
                      </c:pt>
                      <c:pt idx="231">
                        <c:v>-8.9554999999999995E-4</c:v>
                      </c:pt>
                      <c:pt idx="232">
                        <c:v>-7.9971000000000003E-4</c:v>
                      </c:pt>
                      <c:pt idx="233">
                        <c:v>-7.0934999999999998E-4</c:v>
                      </c:pt>
                      <c:pt idx="234">
                        <c:v>-6.2503999999999999E-4</c:v>
                      </c:pt>
                      <c:pt idx="235">
                        <c:v>-5.4732999999999995E-4</c:v>
                      </c:pt>
                      <c:pt idx="236">
                        <c:v>-4.7669999999999999E-4</c:v>
                      </c:pt>
                      <c:pt idx="237">
                        <c:v>-4.1361000000000002E-4</c:v>
                      </c:pt>
                      <c:pt idx="238">
                        <c:v>-3.5844000000000002E-4</c:v>
                      </c:pt>
                      <c:pt idx="239">
                        <c:v>-3.1155000000000001E-4</c:v>
                      </c:pt>
                      <c:pt idx="240">
                        <c:v>-2.7324000000000001E-4</c:v>
                      </c:pt>
                      <c:pt idx="241">
                        <c:v>-2.4377000000000001E-4</c:v>
                      </c:pt>
                      <c:pt idx="242">
                        <c:v>-2.2335000000000001E-4</c:v>
                      </c:pt>
                      <c:pt idx="243">
                        <c:v>-2.1215000000000001E-4</c:v>
                      </c:pt>
                      <c:pt idx="244">
                        <c:v>-2.1031000000000001E-4</c:v>
                      </c:pt>
                      <c:pt idx="245">
                        <c:v>-2.1793999999999999E-4</c:v>
                      </c:pt>
                      <c:pt idx="246">
                        <c:v>-2.3514E-4</c:v>
                      </c:pt>
                      <c:pt idx="247">
                        <c:v>-2.6197999999999998E-4</c:v>
                      </c:pt>
                      <c:pt idx="248">
                        <c:v>-2.9850999999999999E-4</c:v>
                      </c:pt>
                      <c:pt idx="249">
                        <c:v>-3.4477999999999999E-4</c:v>
                      </c:pt>
                      <c:pt idx="250">
                        <c:v>-4.0079999999999998E-4</c:v>
                      </c:pt>
                      <c:pt idx="251">
                        <c:v>-4.6654999999999998E-4</c:v>
                      </c:pt>
                      <c:pt idx="252">
                        <c:v>-5.4195000000000003E-4</c:v>
                      </c:pt>
                      <c:pt idx="253">
                        <c:v>-6.2688999999999996E-4</c:v>
                      </c:pt>
                      <c:pt idx="254">
                        <c:v>-7.2115000000000005E-4</c:v>
                      </c:pt>
                      <c:pt idx="255">
                        <c:v>-8.2448000000000005E-4</c:v>
                      </c:pt>
                      <c:pt idx="256">
                        <c:v>-9.3652000000000004E-4</c:v>
                      </c:pt>
                      <c:pt idx="257">
                        <c:v>-1.0568999999999999E-3</c:v>
                      </c:pt>
                      <c:pt idx="258">
                        <c:v>-1.1850999999999999E-3</c:v>
                      </c:pt>
                      <c:pt idx="259">
                        <c:v>-1.3205000000000001E-3</c:v>
                      </c:pt>
                      <c:pt idx="260">
                        <c:v>-1.4626999999999999E-3</c:v>
                      </c:pt>
                      <c:pt idx="261">
                        <c:v>-1.611E-3</c:v>
                      </c:pt>
                      <c:pt idx="262">
                        <c:v>-1.7646999999999999E-3</c:v>
                      </c:pt>
                      <c:pt idx="263">
                        <c:v>-1.9233E-3</c:v>
                      </c:pt>
                      <c:pt idx="264">
                        <c:v>-2.0858999999999999E-3</c:v>
                      </c:pt>
                      <c:pt idx="265">
                        <c:v>-2.2518999999999998E-3</c:v>
                      </c:pt>
                      <c:pt idx="266">
                        <c:v>-2.4204999999999999E-3</c:v>
                      </c:pt>
                      <c:pt idx="267">
                        <c:v>-2.591E-3</c:v>
                      </c:pt>
                      <c:pt idx="268">
                        <c:v>-2.7626999999999999E-3</c:v>
                      </c:pt>
                      <c:pt idx="269">
                        <c:v>-2.9347000000000002E-3</c:v>
                      </c:pt>
                      <c:pt idx="270">
                        <c:v>-3.1063000000000002E-3</c:v>
                      </c:pt>
                      <c:pt idx="271">
                        <c:v>-3.2766000000000002E-3</c:v>
                      </c:pt>
                      <c:pt idx="272">
                        <c:v>-3.4447000000000002E-3</c:v>
                      </c:pt>
                      <c:pt idx="273">
                        <c:v>-3.6099000000000001E-3</c:v>
                      </c:pt>
                      <c:pt idx="274">
                        <c:v>-3.7710999999999999E-3</c:v>
                      </c:pt>
                      <c:pt idx="275">
                        <c:v>-3.9275999999999998E-3</c:v>
                      </c:pt>
                      <c:pt idx="276">
                        <c:v>-4.0783E-3</c:v>
                      </c:pt>
                      <c:pt idx="277">
                        <c:v>-4.2223E-3</c:v>
                      </c:pt>
                      <c:pt idx="278">
                        <c:v>-4.3585999999999998E-3</c:v>
                      </c:pt>
                      <c:pt idx="279">
                        <c:v>-4.4862000000000001E-3</c:v>
                      </c:pt>
                      <c:pt idx="280">
                        <c:v>-4.6039000000000002E-3</c:v>
                      </c:pt>
                      <c:pt idx="281">
                        <c:v>-4.7107E-3</c:v>
                      </c:pt>
                      <c:pt idx="282">
                        <c:v>-4.8056000000000001E-3</c:v>
                      </c:pt>
                      <c:pt idx="283">
                        <c:v>-4.8872999999999998E-3</c:v>
                      </c:pt>
                      <c:pt idx="284">
                        <c:v>-4.9550999999999996E-3</c:v>
                      </c:pt>
                      <c:pt idx="285">
                        <c:v>-5.0077999999999998E-3</c:v>
                      </c:pt>
                      <c:pt idx="286">
                        <c:v>-5.0447000000000001E-3</c:v>
                      </c:pt>
                      <c:pt idx="287">
                        <c:v>-5.0650000000000001E-3</c:v>
                      </c:pt>
                      <c:pt idx="288">
                        <c:v>-5.0682000000000001E-3</c:v>
                      </c:pt>
                      <c:pt idx="289">
                        <c:v>-5.0536000000000001E-3</c:v>
                      </c:pt>
                      <c:pt idx="290">
                        <c:v>-5.0209E-3</c:v>
                      </c:pt>
                      <c:pt idx="291">
                        <c:v>-4.9696999999999996E-3</c:v>
                      </c:pt>
                      <c:pt idx="292">
                        <c:v>-4.8996999999999999E-3</c:v>
                      </c:pt>
                      <c:pt idx="293">
                        <c:v>-4.8107999999999996E-3</c:v>
                      </c:pt>
                      <c:pt idx="294">
                        <c:v>-4.7026999999999998E-3</c:v>
                      </c:pt>
                      <c:pt idx="295">
                        <c:v>-4.5751999999999998E-3</c:v>
                      </c:pt>
                      <c:pt idx="296">
                        <c:v>-4.4283999999999999E-3</c:v>
                      </c:pt>
                      <c:pt idx="297">
                        <c:v>-4.2621999999999998E-3</c:v>
                      </c:pt>
                      <c:pt idx="298">
                        <c:v>-4.0765999999999997E-3</c:v>
                      </c:pt>
                      <c:pt idx="299">
                        <c:v>-3.8716000000000002E-3</c:v>
                      </c:pt>
                      <c:pt idx="300">
                        <c:v>-3.6472000000000002E-3</c:v>
                      </c:pt>
                      <c:pt idx="301">
                        <c:v>-3.4036000000000001E-3</c:v>
                      </c:pt>
                      <c:pt idx="302">
                        <c:v>-3.1410000000000001E-3</c:v>
                      </c:pt>
                      <c:pt idx="303">
                        <c:v>-2.8595000000000001E-3</c:v>
                      </c:pt>
                      <c:pt idx="304">
                        <c:v>-2.5593E-3</c:v>
                      </c:pt>
                      <c:pt idx="305">
                        <c:v>-2.2407999999999998E-3</c:v>
                      </c:pt>
                      <c:pt idx="306">
                        <c:v>-1.9042E-3</c:v>
                      </c:pt>
                      <c:pt idx="307">
                        <c:v>-1.5501E-3</c:v>
                      </c:pt>
                      <c:pt idx="308">
                        <c:v>-1.1787E-3</c:v>
                      </c:pt>
                      <c:pt idx="309">
                        <c:v>-7.9067000000000004E-4</c:v>
                      </c:pt>
                      <c:pt idx="310">
                        <c:v>-3.8650000000000002E-4</c:v>
                      </c:pt>
                      <c:pt idx="311">
                        <c:v>3.3219999999999997E-5</c:v>
                      </c:pt>
                      <c:pt idx="312">
                        <c:v>4.6784000000000002E-4</c:v>
                      </c:pt>
                      <c:pt idx="313">
                        <c:v>9.1668000000000001E-4</c:v>
                      </c:pt>
                      <c:pt idx="314">
                        <c:v>1.3791000000000001E-3</c:v>
                      </c:pt>
                      <c:pt idx="315">
                        <c:v>1.8542000000000001E-3</c:v>
                      </c:pt>
                      <c:pt idx="316">
                        <c:v>2.3414E-3</c:v>
                      </c:pt>
                      <c:pt idx="317">
                        <c:v>2.8398E-3</c:v>
                      </c:pt>
                      <c:pt idx="318">
                        <c:v>3.3487E-3</c:v>
                      </c:pt>
                      <c:pt idx="319">
                        <c:v>3.8671000000000001E-3</c:v>
                      </c:pt>
                      <c:pt idx="320">
                        <c:v>4.3943000000000003E-3</c:v>
                      </c:pt>
                      <c:pt idx="321">
                        <c:v>4.9293999999999996E-3</c:v>
                      </c:pt>
                      <c:pt idx="322">
                        <c:v>5.4714000000000004E-3</c:v>
                      </c:pt>
                      <c:pt idx="323">
                        <c:v>6.0196E-3</c:v>
                      </c:pt>
                      <c:pt idx="324">
                        <c:v>6.5728999999999996E-3</c:v>
                      </c:pt>
                      <c:pt idx="325">
                        <c:v>7.1306E-3</c:v>
                      </c:pt>
                      <c:pt idx="326">
                        <c:v>7.6917000000000001E-3</c:v>
                      </c:pt>
                      <c:pt idx="327">
                        <c:v>8.2553000000000001E-3</c:v>
                      </c:pt>
                      <c:pt idx="328">
                        <c:v>8.8207000000000008E-3</c:v>
                      </c:pt>
                      <c:pt idx="329">
                        <c:v>9.3868000000000007E-3</c:v>
                      </c:pt>
                      <c:pt idx="330">
                        <c:v>9.953E-3</c:v>
                      </c:pt>
                      <c:pt idx="331">
                        <c:v>1.0519000000000001E-2</c:v>
                      </c:pt>
                      <c:pt idx="332">
                        <c:v>1.1083000000000001E-2</c:v>
                      </c:pt>
                      <c:pt idx="333">
                        <c:v>1.1644E-2</c:v>
                      </c:pt>
                      <c:pt idx="334">
                        <c:v>1.2203E-2</c:v>
                      </c:pt>
                      <c:pt idx="335">
                        <c:v>1.2759E-2</c:v>
                      </c:pt>
                      <c:pt idx="336">
                        <c:v>1.3311E-2</c:v>
                      </c:pt>
                      <c:pt idx="337">
                        <c:v>1.3858000000000001E-2</c:v>
                      </c:pt>
                      <c:pt idx="338">
                        <c:v>1.44E-2</c:v>
                      </c:pt>
                      <c:pt idx="339">
                        <c:v>1.4937000000000001E-2</c:v>
                      </c:pt>
                      <c:pt idx="340">
                        <c:v>1.5468000000000001E-2</c:v>
                      </c:pt>
                      <c:pt idx="341">
                        <c:v>1.5991999999999999E-2</c:v>
                      </c:pt>
                      <c:pt idx="342">
                        <c:v>1.6511000000000001E-2</c:v>
                      </c:pt>
                      <c:pt idx="343">
                        <c:v>1.7021999999999999E-2</c:v>
                      </c:pt>
                      <c:pt idx="344">
                        <c:v>1.7526E-2</c:v>
                      </c:pt>
                      <c:pt idx="345">
                        <c:v>1.8023999999999998E-2</c:v>
                      </c:pt>
                      <c:pt idx="346">
                        <c:v>1.8513999999999999E-2</c:v>
                      </c:pt>
                      <c:pt idx="347">
                        <c:v>1.8995999999999999E-2</c:v>
                      </c:pt>
                      <c:pt idx="348">
                        <c:v>1.9470000000000001E-2</c:v>
                      </c:pt>
                      <c:pt idx="349">
                        <c:v>1.9937E-2</c:v>
                      </c:pt>
                      <c:pt idx="350">
                        <c:v>2.0396000000000001E-2</c:v>
                      </c:pt>
                      <c:pt idx="351">
                        <c:v>2.0846E-2</c:v>
                      </c:pt>
                      <c:pt idx="352">
                        <c:v>2.1288999999999999E-2</c:v>
                      </c:pt>
                      <c:pt idx="353">
                        <c:v>2.1722999999999999E-2</c:v>
                      </c:pt>
                      <c:pt idx="354">
                        <c:v>2.2148999999999999E-2</c:v>
                      </c:pt>
                      <c:pt idx="355">
                        <c:v>2.2567E-2</c:v>
                      </c:pt>
                      <c:pt idx="356">
                        <c:v>2.2976E-2</c:v>
                      </c:pt>
                      <c:pt idx="357">
                        <c:v>2.3376999999999998E-2</c:v>
                      </c:pt>
                      <c:pt idx="358">
                        <c:v>2.3769999999999999E-2</c:v>
                      </c:pt>
                      <c:pt idx="359">
                        <c:v>2.4153999999999998E-2</c:v>
                      </c:pt>
                      <c:pt idx="360">
                        <c:v>2.4528999999999999E-2</c:v>
                      </c:pt>
                      <c:pt idx="361">
                        <c:v>2.4896000000000001E-2</c:v>
                      </c:pt>
                      <c:pt idx="362">
                        <c:v>2.5255E-2</c:v>
                      </c:pt>
                      <c:pt idx="363">
                        <c:v>2.5604999999999999E-2</c:v>
                      </c:pt>
                      <c:pt idx="364">
                        <c:v>2.5947000000000001E-2</c:v>
                      </c:pt>
                      <c:pt idx="365">
                        <c:v>2.6280000000000001E-2</c:v>
                      </c:pt>
                      <c:pt idx="366">
                        <c:v>2.6605E-2</c:v>
                      </c:pt>
                      <c:pt idx="367">
                        <c:v>2.6921E-2</c:v>
                      </c:pt>
                      <c:pt idx="368">
                        <c:v>2.7230000000000001E-2</c:v>
                      </c:pt>
                      <c:pt idx="369">
                        <c:v>2.7529000000000001E-2</c:v>
                      </c:pt>
                      <c:pt idx="370">
                        <c:v>2.7820999999999999E-2</c:v>
                      </c:pt>
                      <c:pt idx="371">
                        <c:v>2.8104000000000001E-2</c:v>
                      </c:pt>
                      <c:pt idx="372">
                        <c:v>2.8379999999999999E-2</c:v>
                      </c:pt>
                      <c:pt idx="373">
                        <c:v>2.8646999999999999E-2</c:v>
                      </c:pt>
                      <c:pt idx="374">
                        <c:v>2.8906000000000001E-2</c:v>
                      </c:pt>
                      <c:pt idx="375">
                        <c:v>2.9156999999999999E-2</c:v>
                      </c:pt>
                      <c:pt idx="376">
                        <c:v>2.9399999999999999E-2</c:v>
                      </c:pt>
                      <c:pt idx="377">
                        <c:v>2.9635999999999999E-2</c:v>
                      </c:pt>
                      <c:pt idx="378">
                        <c:v>2.9863000000000001E-2</c:v>
                      </c:pt>
                      <c:pt idx="379">
                        <c:v>3.0082999999999999E-2</c:v>
                      </c:pt>
                      <c:pt idx="380">
                        <c:v>3.0294999999999999E-2</c:v>
                      </c:pt>
                      <c:pt idx="381">
                        <c:v>3.0499999999999999E-2</c:v>
                      </c:pt>
                      <c:pt idx="382">
                        <c:v>3.0696999999999999E-2</c:v>
                      </c:pt>
                      <c:pt idx="383">
                        <c:v>3.0887000000000001E-2</c:v>
                      </c:pt>
                      <c:pt idx="384">
                        <c:v>3.1068999999999999E-2</c:v>
                      </c:pt>
                      <c:pt idx="385">
                        <c:v>3.1244000000000001E-2</c:v>
                      </c:pt>
                      <c:pt idx="386">
                        <c:v>3.1411000000000001E-2</c:v>
                      </c:pt>
                      <c:pt idx="387">
                        <c:v>3.1571000000000002E-2</c:v>
                      </c:pt>
                      <c:pt idx="388">
                        <c:v>3.1724000000000002E-2</c:v>
                      </c:pt>
                      <c:pt idx="389">
                        <c:v>3.1869000000000001E-2</c:v>
                      </c:pt>
                      <c:pt idx="390">
                        <c:v>3.2008000000000002E-2</c:v>
                      </c:pt>
                      <c:pt idx="391">
                        <c:v>3.2139000000000001E-2</c:v>
                      </c:pt>
                      <c:pt idx="392">
                        <c:v>3.2261999999999999E-2</c:v>
                      </c:pt>
                      <c:pt idx="393">
                        <c:v>3.2378999999999998E-2</c:v>
                      </c:pt>
                      <c:pt idx="394">
                        <c:v>3.2488000000000003E-2</c:v>
                      </c:pt>
                      <c:pt idx="395">
                        <c:v>3.2591000000000002E-2</c:v>
                      </c:pt>
                      <c:pt idx="396">
                        <c:v>3.2686E-2</c:v>
                      </c:pt>
                      <c:pt idx="397">
                        <c:v>3.2773999999999998E-2</c:v>
                      </c:pt>
                      <c:pt idx="398">
                        <c:v>3.2854000000000001E-2</c:v>
                      </c:pt>
                      <c:pt idx="399">
                        <c:v>3.2927999999999999E-2</c:v>
                      </c:pt>
                      <c:pt idx="400">
                        <c:v>3.2994000000000002E-2</c:v>
                      </c:pt>
                      <c:pt idx="401">
                        <c:v>3.3052999999999999E-2</c:v>
                      </c:pt>
                      <c:pt idx="402">
                        <c:v>3.3105000000000002E-2</c:v>
                      </c:pt>
                      <c:pt idx="403">
                        <c:v>3.3149999999999999E-2</c:v>
                      </c:pt>
                      <c:pt idx="404">
                        <c:v>3.3187000000000001E-2</c:v>
                      </c:pt>
                      <c:pt idx="405">
                        <c:v>3.3217999999999998E-2</c:v>
                      </c:pt>
                      <c:pt idx="406">
                        <c:v>3.3241E-2</c:v>
                      </c:pt>
                      <c:pt idx="407">
                        <c:v>3.3257000000000002E-2</c:v>
                      </c:pt>
                      <c:pt idx="408">
                        <c:v>3.3265000000000003E-2</c:v>
                      </c:pt>
                      <c:pt idx="409">
                        <c:v>3.3266999999999998E-2</c:v>
                      </c:pt>
                      <c:pt idx="410">
                        <c:v>3.3260999999999999E-2</c:v>
                      </c:pt>
                      <c:pt idx="411">
                        <c:v>3.3248E-2</c:v>
                      </c:pt>
                      <c:pt idx="412">
                        <c:v>3.3227E-2</c:v>
                      </c:pt>
                      <c:pt idx="413">
                        <c:v>3.32E-2</c:v>
                      </c:pt>
                      <c:pt idx="414">
                        <c:v>3.3165E-2</c:v>
                      </c:pt>
                      <c:pt idx="415">
                        <c:v>3.3123E-2</c:v>
                      </c:pt>
                      <c:pt idx="416">
                        <c:v>3.3072999999999998E-2</c:v>
                      </c:pt>
                      <c:pt idx="417">
                        <c:v>3.3016999999999998E-2</c:v>
                      </c:pt>
                      <c:pt idx="418">
                        <c:v>3.2953000000000003E-2</c:v>
                      </c:pt>
                      <c:pt idx="419">
                        <c:v>3.2881000000000001E-2</c:v>
                      </c:pt>
                      <c:pt idx="420">
                        <c:v>3.2802999999999999E-2</c:v>
                      </c:pt>
                      <c:pt idx="421">
                        <c:v>3.2717000000000003E-2</c:v>
                      </c:pt>
                      <c:pt idx="422">
                        <c:v>3.2624E-2</c:v>
                      </c:pt>
                      <c:pt idx="423">
                        <c:v>3.2523999999999997E-2</c:v>
                      </c:pt>
                      <c:pt idx="424">
                        <c:v>3.2416E-2</c:v>
                      </c:pt>
                      <c:pt idx="425">
                        <c:v>3.2301000000000003E-2</c:v>
                      </c:pt>
                      <c:pt idx="426">
                        <c:v>3.2178999999999999E-2</c:v>
                      </c:pt>
                      <c:pt idx="427">
                        <c:v>3.2050000000000002E-2</c:v>
                      </c:pt>
                      <c:pt idx="428">
                        <c:v>3.1913999999999998E-2</c:v>
                      </c:pt>
                      <c:pt idx="429">
                        <c:v>3.1771000000000001E-2</c:v>
                      </c:pt>
                      <c:pt idx="430">
                        <c:v>3.1620000000000002E-2</c:v>
                      </c:pt>
                      <c:pt idx="431">
                        <c:v>3.1462999999999998E-2</c:v>
                      </c:pt>
                      <c:pt idx="432">
                        <c:v>3.1297999999999999E-2</c:v>
                      </c:pt>
                      <c:pt idx="433">
                        <c:v>3.1126999999999998E-2</c:v>
                      </c:pt>
                      <c:pt idx="434">
                        <c:v>3.0949000000000001E-2</c:v>
                      </c:pt>
                      <c:pt idx="435">
                        <c:v>3.0764E-2</c:v>
                      </c:pt>
                      <c:pt idx="436">
                        <c:v>3.0571999999999998E-2</c:v>
                      </c:pt>
                      <c:pt idx="437">
                        <c:v>3.0374000000000002E-2</c:v>
                      </c:pt>
                      <c:pt idx="438">
                        <c:v>3.0169000000000001E-2</c:v>
                      </c:pt>
                      <c:pt idx="439">
                        <c:v>2.9957000000000001E-2</c:v>
                      </c:pt>
                      <c:pt idx="440">
                        <c:v>2.9739000000000002E-2</c:v>
                      </c:pt>
                      <c:pt idx="441">
                        <c:v>2.9513999999999999E-2</c:v>
                      </c:pt>
                      <c:pt idx="442">
                        <c:v>2.9283E-2</c:v>
                      </c:pt>
                      <c:pt idx="443">
                        <c:v>2.9045999999999999E-2</c:v>
                      </c:pt>
                      <c:pt idx="444">
                        <c:v>2.8802999999999999E-2</c:v>
                      </c:pt>
                      <c:pt idx="445">
                        <c:v>2.8552999999999999E-2</c:v>
                      </c:pt>
                      <c:pt idx="446">
                        <c:v>2.8298E-2</c:v>
                      </c:pt>
                      <c:pt idx="447">
                        <c:v>2.8035999999999998E-2</c:v>
                      </c:pt>
                      <c:pt idx="448">
                        <c:v>2.7768999999999999E-2</c:v>
                      </c:pt>
                      <c:pt idx="449">
                        <c:v>2.7494999999999999E-2</c:v>
                      </c:pt>
                      <c:pt idx="450">
                        <c:v>2.7216000000000001E-2</c:v>
                      </c:pt>
                      <c:pt idx="451">
                        <c:v>2.6931E-2</c:v>
                      </c:pt>
                      <c:pt idx="452">
                        <c:v>2.6641000000000001E-2</c:v>
                      </c:pt>
                      <c:pt idx="453">
                        <c:v>2.6345E-2</c:v>
                      </c:pt>
                      <c:pt idx="454">
                        <c:v>2.6044000000000001E-2</c:v>
                      </c:pt>
                      <c:pt idx="455">
                        <c:v>2.5736999999999999E-2</c:v>
                      </c:pt>
                      <c:pt idx="456">
                        <c:v>2.5425E-2</c:v>
                      </c:pt>
                      <c:pt idx="457">
                        <c:v>2.5107999999999998E-2</c:v>
                      </c:pt>
                      <c:pt idx="458">
                        <c:v>2.4785999999999999E-2</c:v>
                      </c:pt>
                      <c:pt idx="459">
                        <c:v>2.4459000000000002E-2</c:v>
                      </c:pt>
                      <c:pt idx="460">
                        <c:v>2.4126999999999999E-2</c:v>
                      </c:pt>
                      <c:pt idx="461">
                        <c:v>2.3789999999999999E-2</c:v>
                      </c:pt>
                      <c:pt idx="462">
                        <c:v>2.3449000000000001E-2</c:v>
                      </c:pt>
                      <c:pt idx="463">
                        <c:v>2.3102999999999999E-2</c:v>
                      </c:pt>
                      <c:pt idx="464">
                        <c:v>2.2752999999999999E-2</c:v>
                      </c:pt>
                      <c:pt idx="465">
                        <c:v>2.2398000000000001E-2</c:v>
                      </c:pt>
                      <c:pt idx="466">
                        <c:v>2.2039E-2</c:v>
                      </c:pt>
                      <c:pt idx="467">
                        <c:v>2.1676999999999998E-2</c:v>
                      </c:pt>
                      <c:pt idx="468">
                        <c:v>2.1309999999999999E-2</c:v>
                      </c:pt>
                      <c:pt idx="469">
                        <c:v>2.0938999999999999E-2</c:v>
                      </c:pt>
                      <c:pt idx="470">
                        <c:v>2.0565E-2</c:v>
                      </c:pt>
                      <c:pt idx="471">
                        <c:v>2.0188000000000001E-2</c:v>
                      </c:pt>
                      <c:pt idx="472">
                        <c:v>1.9807000000000002E-2</c:v>
                      </c:pt>
                      <c:pt idx="473">
                        <c:v>1.9422999999999999E-2</c:v>
                      </c:pt>
                      <c:pt idx="474">
                        <c:v>1.9036999999999998E-2</c:v>
                      </c:pt>
                      <c:pt idx="475">
                        <c:v>1.8647E-2</c:v>
                      </c:pt>
                      <c:pt idx="476">
                        <c:v>1.8255E-2</c:v>
                      </c:pt>
                      <c:pt idx="477">
                        <c:v>1.7860000000000001E-2</c:v>
                      </c:pt>
                      <c:pt idx="478">
                        <c:v>1.7464E-2</c:v>
                      </c:pt>
                      <c:pt idx="479">
                        <c:v>1.7065E-2</c:v>
                      </c:pt>
                      <c:pt idx="480">
                        <c:v>1.6664999999999999E-2</c:v>
                      </c:pt>
                      <c:pt idx="481">
                        <c:v>1.6261999999999999E-2</c:v>
                      </c:pt>
                      <c:pt idx="482">
                        <c:v>1.5859000000000002E-2</c:v>
                      </c:pt>
                      <c:pt idx="483">
                        <c:v>1.5454000000000001E-2</c:v>
                      </c:pt>
                      <c:pt idx="484">
                        <c:v>1.5048000000000001E-2</c:v>
                      </c:pt>
                      <c:pt idx="485">
                        <c:v>1.4642000000000001E-2</c:v>
                      </c:pt>
                      <c:pt idx="486">
                        <c:v>1.4234E-2</c:v>
                      </c:pt>
                      <c:pt idx="487">
                        <c:v>1.3826E-2</c:v>
                      </c:pt>
                      <c:pt idx="488">
                        <c:v>1.3417999999999999E-2</c:v>
                      </c:pt>
                      <c:pt idx="489">
                        <c:v>1.3010000000000001E-2</c:v>
                      </c:pt>
                      <c:pt idx="490">
                        <c:v>1.2602E-2</c:v>
                      </c:pt>
                      <c:pt idx="491">
                        <c:v>1.2194999999999999E-2</c:v>
                      </c:pt>
                      <c:pt idx="492">
                        <c:v>1.1788E-2</c:v>
                      </c:pt>
                      <c:pt idx="493">
                        <c:v>1.1381E-2</c:v>
                      </c:pt>
                      <c:pt idx="494">
                        <c:v>1.0976E-2</c:v>
                      </c:pt>
                      <c:pt idx="495">
                        <c:v>1.0571000000000001E-2</c:v>
                      </c:pt>
                      <c:pt idx="496">
                        <c:v>1.0168E-2</c:v>
                      </c:pt>
                      <c:pt idx="497">
                        <c:v>9.7664999999999991E-3</c:v>
                      </c:pt>
                      <c:pt idx="498">
                        <c:v>9.3662999999999993E-3</c:v>
                      </c:pt>
                      <c:pt idx="499">
                        <c:v>8.9680000000000003E-3</c:v>
                      </c:pt>
                      <c:pt idx="500">
                        <c:v>8.5714999999999993E-3</c:v>
                      </c:pt>
                      <c:pt idx="501">
                        <c:v>8.1772000000000008E-3</c:v>
                      </c:pt>
                      <c:pt idx="502">
                        <c:v>7.7850999999999997E-3</c:v>
                      </c:pt>
                      <c:pt idx="503">
                        <c:v>7.3953999999999999E-3</c:v>
                      </c:pt>
                      <c:pt idx="504">
                        <c:v>7.0083999999999997E-3</c:v>
                      </c:pt>
                      <c:pt idx="505">
                        <c:v>6.6241E-3</c:v>
                      </c:pt>
                      <c:pt idx="506">
                        <c:v>6.2427000000000003E-3</c:v>
                      </c:pt>
                      <c:pt idx="507">
                        <c:v>5.8643000000000002E-3</c:v>
                      </c:pt>
                      <c:pt idx="508">
                        <c:v>5.4891999999999996E-3</c:v>
                      </c:pt>
                      <c:pt idx="509">
                        <c:v>5.1173E-3</c:v>
                      </c:pt>
                      <c:pt idx="510">
                        <c:v>4.7489999999999997E-3</c:v>
                      </c:pt>
                      <c:pt idx="511">
                        <c:v>4.3842000000000004E-3</c:v>
                      </c:pt>
                      <c:pt idx="512">
                        <c:v>4.0232000000000002E-3</c:v>
                      </c:pt>
                      <c:pt idx="513">
                        <c:v>3.666E-3</c:v>
                      </c:pt>
                      <c:pt idx="514">
                        <c:v>3.3127999999999999E-3</c:v>
                      </c:pt>
                      <c:pt idx="515">
                        <c:v>2.9637000000000001E-3</c:v>
                      </c:pt>
                      <c:pt idx="516">
                        <c:v>2.6188000000000001E-3</c:v>
                      </c:pt>
                      <c:pt idx="517">
                        <c:v>2.2782000000000002E-3</c:v>
                      </c:pt>
                      <c:pt idx="518">
                        <c:v>1.9419999999999999E-3</c:v>
                      </c:pt>
                      <c:pt idx="519">
                        <c:v>1.6103000000000001E-3</c:v>
                      </c:pt>
                      <c:pt idx="520">
                        <c:v>1.2830999999999999E-3</c:v>
                      </c:pt>
                      <c:pt idx="521">
                        <c:v>9.6066000000000001E-4</c:v>
                      </c:pt>
                      <c:pt idx="522">
                        <c:v>6.4291999999999995E-4</c:v>
                      </c:pt>
                      <c:pt idx="523">
                        <c:v>3.2997000000000001E-4</c:v>
                      </c:pt>
                      <c:pt idx="524">
                        <c:v>2.1866999999999999E-5</c:v>
                      </c:pt>
                      <c:pt idx="525">
                        <c:v>-2.8132999999999999E-4</c:v>
                      </c:pt>
                      <c:pt idx="526">
                        <c:v>-5.7959000000000005E-4</c:v>
                      </c:pt>
                      <c:pt idx="527">
                        <c:v>-8.7286000000000004E-4</c:v>
                      </c:pt>
                      <c:pt idx="528">
                        <c:v>-1.1611E-3</c:v>
                      </c:pt>
                      <c:pt idx="529">
                        <c:v>-1.4442999999999999E-3</c:v>
                      </c:pt>
                      <c:pt idx="530">
                        <c:v>-1.7225000000000001E-3</c:v>
                      </c:pt>
                      <c:pt idx="531">
                        <c:v>-1.9956000000000002E-3</c:v>
                      </c:pt>
                      <c:pt idx="532">
                        <c:v>-2.2636000000000002E-3</c:v>
                      </c:pt>
                      <c:pt idx="533">
                        <c:v>-2.5265000000000001E-3</c:v>
                      </c:pt>
                      <c:pt idx="534">
                        <c:v>-2.7843E-3</c:v>
                      </c:pt>
                      <c:pt idx="535">
                        <c:v>-3.0371E-3</c:v>
                      </c:pt>
                      <c:pt idx="536">
                        <c:v>-3.2847000000000002E-3</c:v>
                      </c:pt>
                      <c:pt idx="537">
                        <c:v>-3.5271999999999999E-3</c:v>
                      </c:pt>
                      <c:pt idx="538">
                        <c:v>-3.7645999999999999E-3</c:v>
                      </c:pt>
                      <c:pt idx="539">
                        <c:v>-3.9969999999999997E-3</c:v>
                      </c:pt>
                      <c:pt idx="540">
                        <c:v>-4.2242E-3</c:v>
                      </c:pt>
                      <c:pt idx="541">
                        <c:v>-4.4463999999999997E-3</c:v>
                      </c:pt>
                      <c:pt idx="542">
                        <c:v>-4.6635000000000001E-3</c:v>
                      </c:pt>
                      <c:pt idx="543">
                        <c:v>-4.8755999999999999E-3</c:v>
                      </c:pt>
                      <c:pt idx="544">
                        <c:v>-5.0825999999999996E-3</c:v>
                      </c:pt>
                      <c:pt idx="545">
                        <c:v>-5.2846000000000004E-3</c:v>
                      </c:pt>
                      <c:pt idx="546">
                        <c:v>-5.4815999999999997E-3</c:v>
                      </c:pt>
                      <c:pt idx="547">
                        <c:v>-5.6736E-3</c:v>
                      </c:pt>
                      <c:pt idx="548">
                        <c:v>-5.8606999999999999E-3</c:v>
                      </c:pt>
                      <c:pt idx="549">
                        <c:v>-6.0426999999999998E-3</c:v>
                      </c:pt>
                      <c:pt idx="550">
                        <c:v>-6.2199000000000004E-3</c:v>
                      </c:pt>
                      <c:pt idx="551">
                        <c:v>-6.3921000000000004E-3</c:v>
                      </c:pt>
                      <c:pt idx="552">
                        <c:v>-6.5594E-3</c:v>
                      </c:pt>
                      <c:pt idx="553">
                        <c:v>-6.7218E-3</c:v>
                      </c:pt>
                      <c:pt idx="554">
                        <c:v>-6.8793999999999999E-3</c:v>
                      </c:pt>
                      <c:pt idx="555">
                        <c:v>-7.0321999999999997E-3</c:v>
                      </c:pt>
                      <c:pt idx="556">
                        <c:v>-7.1802000000000003E-3</c:v>
                      </c:pt>
                      <c:pt idx="557">
                        <c:v>-7.3233999999999999E-3</c:v>
                      </c:pt>
                      <c:pt idx="558">
                        <c:v>-7.4618999999999996E-3</c:v>
                      </c:pt>
                      <c:pt idx="559">
                        <c:v>-7.5957999999999998E-3</c:v>
                      </c:pt>
                      <c:pt idx="560">
                        <c:v>-7.7250000000000001E-3</c:v>
                      </c:pt>
                      <c:pt idx="561">
                        <c:v>-7.8496E-3</c:v>
                      </c:pt>
                      <c:pt idx="562">
                        <c:v>-7.9696999999999997E-3</c:v>
                      </c:pt>
                      <c:pt idx="563">
                        <c:v>-8.0852000000000007E-3</c:v>
                      </c:pt>
                      <c:pt idx="564">
                        <c:v>-8.1963000000000001E-3</c:v>
                      </c:pt>
                      <c:pt idx="565">
                        <c:v>-8.3029999999999996E-3</c:v>
                      </c:pt>
                      <c:pt idx="566">
                        <c:v>-8.4052999999999992E-3</c:v>
                      </c:pt>
                      <c:pt idx="567">
                        <c:v>-8.5033999999999995E-3</c:v>
                      </c:pt>
                      <c:pt idx="568">
                        <c:v>-8.5971999999999993E-3</c:v>
                      </c:pt>
                      <c:pt idx="569">
                        <c:v>-8.6868999999999991E-3</c:v>
                      </c:pt>
                      <c:pt idx="570">
                        <c:v>-8.7725000000000008E-3</c:v>
                      </c:pt>
                      <c:pt idx="571">
                        <c:v>-8.8540000000000008E-3</c:v>
                      </c:pt>
                      <c:pt idx="572">
                        <c:v>-8.9315999999999996E-3</c:v>
                      </c:pt>
                      <c:pt idx="573">
                        <c:v>-9.0053000000000008E-3</c:v>
                      </c:pt>
                      <c:pt idx="574">
                        <c:v>-9.0752999999999997E-3</c:v>
                      </c:pt>
                      <c:pt idx="575">
                        <c:v>-9.1415000000000003E-3</c:v>
                      </c:pt>
                      <c:pt idx="576">
                        <c:v>-9.2040000000000004E-3</c:v>
                      </c:pt>
                      <c:pt idx="577">
                        <c:v>-9.2630000000000004E-3</c:v>
                      </c:pt>
                      <c:pt idx="578">
                        <c:v>-9.3185000000000004E-3</c:v>
                      </c:pt>
                      <c:pt idx="579">
                        <c:v>-9.3706999999999992E-3</c:v>
                      </c:pt>
                      <c:pt idx="580">
                        <c:v>-9.4195000000000008E-3</c:v>
                      </c:pt>
                      <c:pt idx="581">
                        <c:v>-9.4649999999999995E-3</c:v>
                      </c:pt>
                      <c:pt idx="582">
                        <c:v>-9.5073999999999992E-3</c:v>
                      </c:pt>
                      <c:pt idx="583">
                        <c:v>-9.5467999999999994E-3</c:v>
                      </c:pt>
                      <c:pt idx="584">
                        <c:v>-9.5831000000000006E-3</c:v>
                      </c:pt>
                      <c:pt idx="585">
                        <c:v>-9.6165999999999995E-3</c:v>
                      </c:pt>
                      <c:pt idx="586">
                        <c:v>-9.6471999999999999E-3</c:v>
                      </c:pt>
                      <c:pt idx="587">
                        <c:v>-9.6751000000000007E-3</c:v>
                      </c:pt>
                      <c:pt idx="588">
                        <c:v>-9.7003000000000002E-3</c:v>
                      </c:pt>
                      <c:pt idx="589">
                        <c:v>-9.7228999999999996E-3</c:v>
                      </c:pt>
                      <c:pt idx="590">
                        <c:v>-9.7429999999999999E-3</c:v>
                      </c:pt>
                      <c:pt idx="591">
                        <c:v>-9.7605999999999995E-3</c:v>
                      </c:pt>
                      <c:pt idx="592">
                        <c:v>-9.7759000000000006E-3</c:v>
                      </c:pt>
                      <c:pt idx="593">
                        <c:v>-9.7888999999999997E-3</c:v>
                      </c:pt>
                      <c:pt idx="594">
                        <c:v>-9.7996000000000003E-3</c:v>
                      </c:pt>
                      <c:pt idx="595">
                        <c:v>-9.8081999999999996E-3</c:v>
                      </c:pt>
                      <c:pt idx="596">
                        <c:v>-9.8147000000000009E-3</c:v>
                      </c:pt>
                      <c:pt idx="597">
                        <c:v>-9.8191000000000007E-3</c:v>
                      </c:pt>
                      <c:pt idx="598">
                        <c:v>-9.8215000000000004E-3</c:v>
                      </c:pt>
                      <c:pt idx="599">
                        <c:v>-9.8221000000000003E-3</c:v>
                      </c:pt>
                      <c:pt idx="600">
                        <c:v>-9.8206999999999999E-3</c:v>
                      </c:pt>
                      <c:pt idx="601">
                        <c:v>-9.8175999999999992E-3</c:v>
                      </c:pt>
                      <c:pt idx="602">
                        <c:v>-9.8127000000000006E-3</c:v>
                      </c:pt>
                      <c:pt idx="603">
                        <c:v>-9.8060999999999999E-3</c:v>
                      </c:pt>
                      <c:pt idx="604">
                        <c:v>-9.7978000000000006E-3</c:v>
                      </c:pt>
                      <c:pt idx="605">
                        <c:v>-9.7879999999999998E-3</c:v>
                      </c:pt>
                      <c:pt idx="606">
                        <c:v>-9.7765999999999999E-3</c:v>
                      </c:pt>
                      <c:pt idx="607">
                        <c:v>-9.7636000000000008E-3</c:v>
                      </c:pt>
                      <c:pt idx="608">
                        <c:v>-9.7491999999999995E-3</c:v>
                      </c:pt>
                      <c:pt idx="609">
                        <c:v>-9.7333000000000003E-3</c:v>
                      </c:pt>
                      <c:pt idx="610">
                        <c:v>-9.7161000000000001E-3</c:v>
                      </c:pt>
                      <c:pt idx="611">
                        <c:v>-9.6974000000000001E-3</c:v>
                      </c:pt>
                      <c:pt idx="612">
                        <c:v>-9.6775000000000003E-3</c:v>
                      </c:pt>
                      <c:pt idx="613">
                        <c:v>-9.6562000000000002E-3</c:v>
                      </c:pt>
                      <c:pt idx="614">
                        <c:v>-9.6337000000000002E-3</c:v>
                      </c:pt>
                      <c:pt idx="615">
                        <c:v>-9.6100000000000005E-3</c:v>
                      </c:pt>
                      <c:pt idx="616">
                        <c:v>-9.5850999999999992E-3</c:v>
                      </c:pt>
                      <c:pt idx="617">
                        <c:v>-9.5589999999999998E-3</c:v>
                      </c:pt>
                      <c:pt idx="618">
                        <c:v>-9.5317000000000006E-3</c:v>
                      </c:pt>
                      <c:pt idx="619">
                        <c:v>-9.5034000000000004E-3</c:v>
                      </c:pt>
                    </c:numCache>
                  </c:numRef>
                </c:yVal>
                <c:smooth val="1"/>
                <c:extLst xmlns:c15="http://schemas.microsoft.com/office/drawing/2012/chart">
                  <c:ext xmlns:c16="http://schemas.microsoft.com/office/drawing/2014/chart" uri="{C3380CC4-5D6E-409C-BE32-E72D297353CC}">
                    <c16:uniqueId val="{00000009-00C6-46B2-92E3-3CDC1A8F00F7}"/>
                  </c:ext>
                </c:extLst>
              </c15:ser>
            </c15:filteredScatterSeries>
            <c15:filteredScatterSeries>
              <c15:ser>
                <c:idx val="9"/>
                <c:order val="9"/>
                <c:spPr>
                  <a:ln w="19050"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'INIT-File+Corr'!$A$16:$A$636</c15:sqref>
                        </c15:formulaRef>
                      </c:ext>
                    </c:extLst>
                    <c:numCache>
                      <c:formatCode>0</c:formatCode>
                      <c:ptCount val="62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436</c:v>
                      </c:pt>
                      <c:pt idx="56">
                        <c:v>437</c:v>
                      </c:pt>
                      <c:pt idx="57">
                        <c:v>438</c:v>
                      </c:pt>
                      <c:pt idx="58">
                        <c:v>439</c:v>
                      </c:pt>
                      <c:pt idx="59">
                        <c:v>440</c:v>
                      </c:pt>
                      <c:pt idx="60">
                        <c:v>441</c:v>
                      </c:pt>
                      <c:pt idx="61">
                        <c:v>442</c:v>
                      </c:pt>
                      <c:pt idx="62">
                        <c:v>443</c:v>
                      </c:pt>
                      <c:pt idx="63">
                        <c:v>444</c:v>
                      </c:pt>
                      <c:pt idx="64">
                        <c:v>445</c:v>
                      </c:pt>
                      <c:pt idx="65">
                        <c:v>446</c:v>
                      </c:pt>
                      <c:pt idx="66">
                        <c:v>447</c:v>
                      </c:pt>
                      <c:pt idx="67">
                        <c:v>448</c:v>
                      </c:pt>
                      <c:pt idx="68">
                        <c:v>449</c:v>
                      </c:pt>
                      <c:pt idx="69">
                        <c:v>450</c:v>
                      </c:pt>
                      <c:pt idx="70">
                        <c:v>451</c:v>
                      </c:pt>
                      <c:pt idx="71">
                        <c:v>452</c:v>
                      </c:pt>
                      <c:pt idx="72">
                        <c:v>453</c:v>
                      </c:pt>
                      <c:pt idx="73">
                        <c:v>454</c:v>
                      </c:pt>
                      <c:pt idx="74">
                        <c:v>455</c:v>
                      </c:pt>
                      <c:pt idx="75">
                        <c:v>456</c:v>
                      </c:pt>
                      <c:pt idx="76">
                        <c:v>457</c:v>
                      </c:pt>
                      <c:pt idx="77">
                        <c:v>458</c:v>
                      </c:pt>
                      <c:pt idx="78">
                        <c:v>459</c:v>
                      </c:pt>
                      <c:pt idx="79">
                        <c:v>460</c:v>
                      </c:pt>
                      <c:pt idx="80">
                        <c:v>461</c:v>
                      </c:pt>
                      <c:pt idx="81">
                        <c:v>462</c:v>
                      </c:pt>
                      <c:pt idx="82">
                        <c:v>463</c:v>
                      </c:pt>
                      <c:pt idx="83">
                        <c:v>464</c:v>
                      </c:pt>
                      <c:pt idx="84">
                        <c:v>465</c:v>
                      </c:pt>
                      <c:pt idx="85">
                        <c:v>466</c:v>
                      </c:pt>
                      <c:pt idx="86">
                        <c:v>467</c:v>
                      </c:pt>
                      <c:pt idx="87">
                        <c:v>468</c:v>
                      </c:pt>
                      <c:pt idx="88">
                        <c:v>469</c:v>
                      </c:pt>
                      <c:pt idx="89">
                        <c:v>470</c:v>
                      </c:pt>
                      <c:pt idx="90">
                        <c:v>471</c:v>
                      </c:pt>
                      <c:pt idx="91">
                        <c:v>472</c:v>
                      </c:pt>
                      <c:pt idx="92">
                        <c:v>473</c:v>
                      </c:pt>
                      <c:pt idx="93">
                        <c:v>474</c:v>
                      </c:pt>
                      <c:pt idx="94">
                        <c:v>475</c:v>
                      </c:pt>
                      <c:pt idx="95">
                        <c:v>476</c:v>
                      </c:pt>
                      <c:pt idx="96">
                        <c:v>477</c:v>
                      </c:pt>
                      <c:pt idx="97">
                        <c:v>478</c:v>
                      </c:pt>
                      <c:pt idx="98">
                        <c:v>479</c:v>
                      </c:pt>
                      <c:pt idx="99">
                        <c:v>480</c:v>
                      </c:pt>
                      <c:pt idx="100">
                        <c:v>481</c:v>
                      </c:pt>
                      <c:pt idx="101">
                        <c:v>482</c:v>
                      </c:pt>
                      <c:pt idx="102">
                        <c:v>483</c:v>
                      </c:pt>
                      <c:pt idx="103">
                        <c:v>484</c:v>
                      </c:pt>
                      <c:pt idx="104">
                        <c:v>485</c:v>
                      </c:pt>
                      <c:pt idx="105">
                        <c:v>486</c:v>
                      </c:pt>
                      <c:pt idx="106">
                        <c:v>487</c:v>
                      </c:pt>
                      <c:pt idx="107">
                        <c:v>488</c:v>
                      </c:pt>
                      <c:pt idx="108">
                        <c:v>489</c:v>
                      </c:pt>
                      <c:pt idx="109">
                        <c:v>490</c:v>
                      </c:pt>
                      <c:pt idx="110">
                        <c:v>491</c:v>
                      </c:pt>
                      <c:pt idx="111">
                        <c:v>492</c:v>
                      </c:pt>
                      <c:pt idx="112">
                        <c:v>493</c:v>
                      </c:pt>
                      <c:pt idx="113">
                        <c:v>494</c:v>
                      </c:pt>
                      <c:pt idx="114">
                        <c:v>495</c:v>
                      </c:pt>
                      <c:pt idx="115">
                        <c:v>496</c:v>
                      </c:pt>
                      <c:pt idx="116">
                        <c:v>497</c:v>
                      </c:pt>
                      <c:pt idx="117">
                        <c:v>498</c:v>
                      </c:pt>
                      <c:pt idx="118">
                        <c:v>499</c:v>
                      </c:pt>
                      <c:pt idx="119">
                        <c:v>500</c:v>
                      </c:pt>
                      <c:pt idx="120">
                        <c:v>501</c:v>
                      </c:pt>
                      <c:pt idx="121">
                        <c:v>502</c:v>
                      </c:pt>
                      <c:pt idx="122">
                        <c:v>503</c:v>
                      </c:pt>
                      <c:pt idx="123">
                        <c:v>504</c:v>
                      </c:pt>
                      <c:pt idx="124">
                        <c:v>505</c:v>
                      </c:pt>
                      <c:pt idx="125">
                        <c:v>506</c:v>
                      </c:pt>
                      <c:pt idx="126">
                        <c:v>507</c:v>
                      </c:pt>
                      <c:pt idx="127">
                        <c:v>508</c:v>
                      </c:pt>
                      <c:pt idx="128">
                        <c:v>509</c:v>
                      </c:pt>
                      <c:pt idx="129">
                        <c:v>510</c:v>
                      </c:pt>
                      <c:pt idx="130">
                        <c:v>511</c:v>
                      </c:pt>
                      <c:pt idx="131">
                        <c:v>512</c:v>
                      </c:pt>
                      <c:pt idx="132">
                        <c:v>513</c:v>
                      </c:pt>
                      <c:pt idx="133">
                        <c:v>514</c:v>
                      </c:pt>
                      <c:pt idx="134">
                        <c:v>515</c:v>
                      </c:pt>
                      <c:pt idx="135">
                        <c:v>516</c:v>
                      </c:pt>
                      <c:pt idx="136">
                        <c:v>517</c:v>
                      </c:pt>
                      <c:pt idx="137">
                        <c:v>518</c:v>
                      </c:pt>
                      <c:pt idx="138">
                        <c:v>519</c:v>
                      </c:pt>
                      <c:pt idx="139">
                        <c:v>520</c:v>
                      </c:pt>
                      <c:pt idx="140">
                        <c:v>521</c:v>
                      </c:pt>
                      <c:pt idx="141">
                        <c:v>522</c:v>
                      </c:pt>
                      <c:pt idx="142">
                        <c:v>523</c:v>
                      </c:pt>
                      <c:pt idx="143">
                        <c:v>524</c:v>
                      </c:pt>
                      <c:pt idx="144">
                        <c:v>525</c:v>
                      </c:pt>
                      <c:pt idx="145">
                        <c:v>526</c:v>
                      </c:pt>
                      <c:pt idx="146">
                        <c:v>527</c:v>
                      </c:pt>
                      <c:pt idx="147">
                        <c:v>528</c:v>
                      </c:pt>
                      <c:pt idx="148">
                        <c:v>529</c:v>
                      </c:pt>
                      <c:pt idx="149">
                        <c:v>530</c:v>
                      </c:pt>
                      <c:pt idx="150">
                        <c:v>531</c:v>
                      </c:pt>
                      <c:pt idx="151">
                        <c:v>532</c:v>
                      </c:pt>
                      <c:pt idx="152">
                        <c:v>533</c:v>
                      </c:pt>
                      <c:pt idx="153">
                        <c:v>534</c:v>
                      </c:pt>
                      <c:pt idx="154">
                        <c:v>535</c:v>
                      </c:pt>
                      <c:pt idx="155">
                        <c:v>536</c:v>
                      </c:pt>
                      <c:pt idx="156">
                        <c:v>537</c:v>
                      </c:pt>
                      <c:pt idx="157">
                        <c:v>538</c:v>
                      </c:pt>
                      <c:pt idx="158">
                        <c:v>539</c:v>
                      </c:pt>
                      <c:pt idx="159">
                        <c:v>540</c:v>
                      </c:pt>
                      <c:pt idx="160">
                        <c:v>541</c:v>
                      </c:pt>
                      <c:pt idx="161">
                        <c:v>542</c:v>
                      </c:pt>
                      <c:pt idx="162">
                        <c:v>543</c:v>
                      </c:pt>
                      <c:pt idx="163">
                        <c:v>544</c:v>
                      </c:pt>
                      <c:pt idx="164">
                        <c:v>545</c:v>
                      </c:pt>
                      <c:pt idx="165">
                        <c:v>546</c:v>
                      </c:pt>
                      <c:pt idx="166">
                        <c:v>547</c:v>
                      </c:pt>
                      <c:pt idx="167">
                        <c:v>548</c:v>
                      </c:pt>
                      <c:pt idx="168">
                        <c:v>549</c:v>
                      </c:pt>
                      <c:pt idx="169">
                        <c:v>550</c:v>
                      </c:pt>
                      <c:pt idx="170">
                        <c:v>551</c:v>
                      </c:pt>
                      <c:pt idx="171">
                        <c:v>552</c:v>
                      </c:pt>
                      <c:pt idx="172">
                        <c:v>553</c:v>
                      </c:pt>
                      <c:pt idx="173">
                        <c:v>554</c:v>
                      </c:pt>
                      <c:pt idx="174">
                        <c:v>555</c:v>
                      </c:pt>
                      <c:pt idx="175">
                        <c:v>556</c:v>
                      </c:pt>
                      <c:pt idx="176">
                        <c:v>557</c:v>
                      </c:pt>
                      <c:pt idx="177">
                        <c:v>558</c:v>
                      </c:pt>
                      <c:pt idx="178">
                        <c:v>559</c:v>
                      </c:pt>
                      <c:pt idx="179">
                        <c:v>560</c:v>
                      </c:pt>
                      <c:pt idx="180">
                        <c:v>561</c:v>
                      </c:pt>
                      <c:pt idx="181">
                        <c:v>562</c:v>
                      </c:pt>
                      <c:pt idx="182">
                        <c:v>563</c:v>
                      </c:pt>
                      <c:pt idx="183">
                        <c:v>564</c:v>
                      </c:pt>
                      <c:pt idx="184">
                        <c:v>565</c:v>
                      </c:pt>
                      <c:pt idx="185">
                        <c:v>566</c:v>
                      </c:pt>
                      <c:pt idx="186">
                        <c:v>567</c:v>
                      </c:pt>
                      <c:pt idx="187">
                        <c:v>568</c:v>
                      </c:pt>
                      <c:pt idx="188">
                        <c:v>569</c:v>
                      </c:pt>
                      <c:pt idx="189">
                        <c:v>570</c:v>
                      </c:pt>
                      <c:pt idx="190">
                        <c:v>571</c:v>
                      </c:pt>
                      <c:pt idx="191">
                        <c:v>572</c:v>
                      </c:pt>
                      <c:pt idx="192">
                        <c:v>573</c:v>
                      </c:pt>
                      <c:pt idx="193">
                        <c:v>574</c:v>
                      </c:pt>
                      <c:pt idx="194">
                        <c:v>575</c:v>
                      </c:pt>
                      <c:pt idx="195">
                        <c:v>576</c:v>
                      </c:pt>
                      <c:pt idx="196">
                        <c:v>577</c:v>
                      </c:pt>
                      <c:pt idx="197">
                        <c:v>578</c:v>
                      </c:pt>
                      <c:pt idx="198">
                        <c:v>579</c:v>
                      </c:pt>
                      <c:pt idx="199">
                        <c:v>580</c:v>
                      </c:pt>
                      <c:pt idx="200">
                        <c:v>581</c:v>
                      </c:pt>
                      <c:pt idx="201">
                        <c:v>582</c:v>
                      </c:pt>
                      <c:pt idx="202">
                        <c:v>583</c:v>
                      </c:pt>
                      <c:pt idx="203">
                        <c:v>584</c:v>
                      </c:pt>
                      <c:pt idx="204">
                        <c:v>585</c:v>
                      </c:pt>
                      <c:pt idx="205">
                        <c:v>586</c:v>
                      </c:pt>
                      <c:pt idx="206">
                        <c:v>587</c:v>
                      </c:pt>
                      <c:pt idx="207">
                        <c:v>588</c:v>
                      </c:pt>
                      <c:pt idx="208">
                        <c:v>589</c:v>
                      </c:pt>
                      <c:pt idx="209">
                        <c:v>590</c:v>
                      </c:pt>
                      <c:pt idx="210">
                        <c:v>591</c:v>
                      </c:pt>
                      <c:pt idx="211">
                        <c:v>592</c:v>
                      </c:pt>
                      <c:pt idx="212">
                        <c:v>593</c:v>
                      </c:pt>
                      <c:pt idx="213">
                        <c:v>594</c:v>
                      </c:pt>
                      <c:pt idx="214">
                        <c:v>595</c:v>
                      </c:pt>
                      <c:pt idx="215">
                        <c:v>596</c:v>
                      </c:pt>
                      <c:pt idx="216">
                        <c:v>597</c:v>
                      </c:pt>
                      <c:pt idx="217">
                        <c:v>598</c:v>
                      </c:pt>
                      <c:pt idx="218">
                        <c:v>599</c:v>
                      </c:pt>
                      <c:pt idx="219">
                        <c:v>600</c:v>
                      </c:pt>
                      <c:pt idx="220">
                        <c:v>601</c:v>
                      </c:pt>
                      <c:pt idx="221">
                        <c:v>602</c:v>
                      </c:pt>
                      <c:pt idx="222">
                        <c:v>603</c:v>
                      </c:pt>
                      <c:pt idx="223">
                        <c:v>604</c:v>
                      </c:pt>
                      <c:pt idx="224">
                        <c:v>605</c:v>
                      </c:pt>
                      <c:pt idx="225">
                        <c:v>606</c:v>
                      </c:pt>
                      <c:pt idx="226">
                        <c:v>607</c:v>
                      </c:pt>
                      <c:pt idx="227">
                        <c:v>608</c:v>
                      </c:pt>
                      <c:pt idx="228">
                        <c:v>609</c:v>
                      </c:pt>
                      <c:pt idx="229">
                        <c:v>610</c:v>
                      </c:pt>
                      <c:pt idx="230">
                        <c:v>611</c:v>
                      </c:pt>
                      <c:pt idx="231">
                        <c:v>612</c:v>
                      </c:pt>
                      <c:pt idx="232">
                        <c:v>613</c:v>
                      </c:pt>
                      <c:pt idx="233">
                        <c:v>614</c:v>
                      </c:pt>
                      <c:pt idx="234">
                        <c:v>615</c:v>
                      </c:pt>
                      <c:pt idx="235">
                        <c:v>616</c:v>
                      </c:pt>
                      <c:pt idx="236">
                        <c:v>617</c:v>
                      </c:pt>
                      <c:pt idx="237">
                        <c:v>618</c:v>
                      </c:pt>
                      <c:pt idx="238">
                        <c:v>619</c:v>
                      </c:pt>
                      <c:pt idx="239">
                        <c:v>620</c:v>
                      </c:pt>
                      <c:pt idx="240">
                        <c:v>621</c:v>
                      </c:pt>
                      <c:pt idx="241">
                        <c:v>622</c:v>
                      </c:pt>
                      <c:pt idx="242">
                        <c:v>623</c:v>
                      </c:pt>
                      <c:pt idx="243">
                        <c:v>624</c:v>
                      </c:pt>
                      <c:pt idx="244">
                        <c:v>625</c:v>
                      </c:pt>
                      <c:pt idx="245">
                        <c:v>626</c:v>
                      </c:pt>
                      <c:pt idx="246">
                        <c:v>627</c:v>
                      </c:pt>
                      <c:pt idx="247">
                        <c:v>628</c:v>
                      </c:pt>
                      <c:pt idx="248">
                        <c:v>629</c:v>
                      </c:pt>
                      <c:pt idx="249">
                        <c:v>630</c:v>
                      </c:pt>
                      <c:pt idx="250">
                        <c:v>631</c:v>
                      </c:pt>
                      <c:pt idx="251">
                        <c:v>632</c:v>
                      </c:pt>
                      <c:pt idx="252">
                        <c:v>633</c:v>
                      </c:pt>
                      <c:pt idx="253">
                        <c:v>634</c:v>
                      </c:pt>
                      <c:pt idx="254">
                        <c:v>635</c:v>
                      </c:pt>
                      <c:pt idx="255">
                        <c:v>636</c:v>
                      </c:pt>
                      <c:pt idx="256">
                        <c:v>637</c:v>
                      </c:pt>
                      <c:pt idx="257">
                        <c:v>638</c:v>
                      </c:pt>
                      <c:pt idx="258">
                        <c:v>639</c:v>
                      </c:pt>
                      <c:pt idx="259">
                        <c:v>640</c:v>
                      </c:pt>
                      <c:pt idx="260">
                        <c:v>641</c:v>
                      </c:pt>
                      <c:pt idx="261">
                        <c:v>642</c:v>
                      </c:pt>
                      <c:pt idx="262">
                        <c:v>643</c:v>
                      </c:pt>
                      <c:pt idx="263">
                        <c:v>644</c:v>
                      </c:pt>
                      <c:pt idx="264">
                        <c:v>645</c:v>
                      </c:pt>
                      <c:pt idx="265">
                        <c:v>646</c:v>
                      </c:pt>
                      <c:pt idx="266">
                        <c:v>647</c:v>
                      </c:pt>
                      <c:pt idx="267">
                        <c:v>648</c:v>
                      </c:pt>
                      <c:pt idx="268">
                        <c:v>649</c:v>
                      </c:pt>
                      <c:pt idx="269">
                        <c:v>650</c:v>
                      </c:pt>
                      <c:pt idx="270">
                        <c:v>651</c:v>
                      </c:pt>
                      <c:pt idx="271">
                        <c:v>652</c:v>
                      </c:pt>
                      <c:pt idx="272">
                        <c:v>653</c:v>
                      </c:pt>
                      <c:pt idx="273">
                        <c:v>654</c:v>
                      </c:pt>
                      <c:pt idx="274">
                        <c:v>655</c:v>
                      </c:pt>
                      <c:pt idx="275">
                        <c:v>656</c:v>
                      </c:pt>
                      <c:pt idx="276">
                        <c:v>657</c:v>
                      </c:pt>
                      <c:pt idx="277">
                        <c:v>658</c:v>
                      </c:pt>
                      <c:pt idx="278">
                        <c:v>659</c:v>
                      </c:pt>
                      <c:pt idx="279">
                        <c:v>660</c:v>
                      </c:pt>
                      <c:pt idx="280">
                        <c:v>661</c:v>
                      </c:pt>
                      <c:pt idx="281">
                        <c:v>662</c:v>
                      </c:pt>
                      <c:pt idx="282">
                        <c:v>663</c:v>
                      </c:pt>
                      <c:pt idx="283">
                        <c:v>664</c:v>
                      </c:pt>
                      <c:pt idx="284">
                        <c:v>665</c:v>
                      </c:pt>
                      <c:pt idx="285">
                        <c:v>666</c:v>
                      </c:pt>
                      <c:pt idx="286">
                        <c:v>667</c:v>
                      </c:pt>
                      <c:pt idx="287">
                        <c:v>668</c:v>
                      </c:pt>
                      <c:pt idx="288">
                        <c:v>669</c:v>
                      </c:pt>
                      <c:pt idx="289">
                        <c:v>670</c:v>
                      </c:pt>
                      <c:pt idx="290">
                        <c:v>671</c:v>
                      </c:pt>
                      <c:pt idx="291">
                        <c:v>672</c:v>
                      </c:pt>
                      <c:pt idx="292">
                        <c:v>673</c:v>
                      </c:pt>
                      <c:pt idx="293">
                        <c:v>674</c:v>
                      </c:pt>
                      <c:pt idx="294">
                        <c:v>675</c:v>
                      </c:pt>
                      <c:pt idx="295">
                        <c:v>676</c:v>
                      </c:pt>
                      <c:pt idx="296">
                        <c:v>677</c:v>
                      </c:pt>
                      <c:pt idx="297">
                        <c:v>678</c:v>
                      </c:pt>
                      <c:pt idx="298">
                        <c:v>679</c:v>
                      </c:pt>
                      <c:pt idx="299">
                        <c:v>680</c:v>
                      </c:pt>
                      <c:pt idx="300">
                        <c:v>681</c:v>
                      </c:pt>
                      <c:pt idx="301">
                        <c:v>682</c:v>
                      </c:pt>
                      <c:pt idx="302">
                        <c:v>683</c:v>
                      </c:pt>
                      <c:pt idx="303">
                        <c:v>684</c:v>
                      </c:pt>
                      <c:pt idx="304">
                        <c:v>685</c:v>
                      </c:pt>
                      <c:pt idx="305">
                        <c:v>686</c:v>
                      </c:pt>
                      <c:pt idx="306">
                        <c:v>687</c:v>
                      </c:pt>
                      <c:pt idx="307">
                        <c:v>688</c:v>
                      </c:pt>
                      <c:pt idx="308">
                        <c:v>689</c:v>
                      </c:pt>
                      <c:pt idx="309">
                        <c:v>690</c:v>
                      </c:pt>
                      <c:pt idx="310">
                        <c:v>691</c:v>
                      </c:pt>
                      <c:pt idx="311">
                        <c:v>692</c:v>
                      </c:pt>
                      <c:pt idx="312">
                        <c:v>693</c:v>
                      </c:pt>
                      <c:pt idx="313">
                        <c:v>694</c:v>
                      </c:pt>
                      <c:pt idx="314">
                        <c:v>695</c:v>
                      </c:pt>
                      <c:pt idx="315">
                        <c:v>696</c:v>
                      </c:pt>
                      <c:pt idx="316">
                        <c:v>697</c:v>
                      </c:pt>
                      <c:pt idx="317">
                        <c:v>698</c:v>
                      </c:pt>
                      <c:pt idx="318">
                        <c:v>699</c:v>
                      </c:pt>
                      <c:pt idx="319">
                        <c:v>700</c:v>
                      </c:pt>
                      <c:pt idx="320">
                        <c:v>701</c:v>
                      </c:pt>
                      <c:pt idx="321">
                        <c:v>702</c:v>
                      </c:pt>
                      <c:pt idx="322">
                        <c:v>703</c:v>
                      </c:pt>
                      <c:pt idx="323">
                        <c:v>704</c:v>
                      </c:pt>
                      <c:pt idx="324">
                        <c:v>705</c:v>
                      </c:pt>
                      <c:pt idx="325">
                        <c:v>706</c:v>
                      </c:pt>
                      <c:pt idx="326">
                        <c:v>707</c:v>
                      </c:pt>
                      <c:pt idx="327">
                        <c:v>708</c:v>
                      </c:pt>
                      <c:pt idx="328">
                        <c:v>709</c:v>
                      </c:pt>
                      <c:pt idx="329">
                        <c:v>710</c:v>
                      </c:pt>
                      <c:pt idx="330">
                        <c:v>711</c:v>
                      </c:pt>
                      <c:pt idx="331">
                        <c:v>712</c:v>
                      </c:pt>
                      <c:pt idx="332">
                        <c:v>713</c:v>
                      </c:pt>
                      <c:pt idx="333">
                        <c:v>714</c:v>
                      </c:pt>
                      <c:pt idx="334">
                        <c:v>715</c:v>
                      </c:pt>
                      <c:pt idx="335">
                        <c:v>716</c:v>
                      </c:pt>
                      <c:pt idx="336">
                        <c:v>717</c:v>
                      </c:pt>
                      <c:pt idx="337">
                        <c:v>718</c:v>
                      </c:pt>
                      <c:pt idx="338">
                        <c:v>719</c:v>
                      </c:pt>
                      <c:pt idx="339">
                        <c:v>720</c:v>
                      </c:pt>
                      <c:pt idx="340">
                        <c:v>721</c:v>
                      </c:pt>
                      <c:pt idx="341">
                        <c:v>722</c:v>
                      </c:pt>
                      <c:pt idx="342">
                        <c:v>723</c:v>
                      </c:pt>
                      <c:pt idx="343">
                        <c:v>724</c:v>
                      </c:pt>
                      <c:pt idx="344">
                        <c:v>725</c:v>
                      </c:pt>
                      <c:pt idx="345">
                        <c:v>726</c:v>
                      </c:pt>
                      <c:pt idx="346">
                        <c:v>727</c:v>
                      </c:pt>
                      <c:pt idx="347">
                        <c:v>728</c:v>
                      </c:pt>
                      <c:pt idx="348">
                        <c:v>729</c:v>
                      </c:pt>
                      <c:pt idx="349">
                        <c:v>730</c:v>
                      </c:pt>
                      <c:pt idx="350">
                        <c:v>731</c:v>
                      </c:pt>
                      <c:pt idx="351">
                        <c:v>732</c:v>
                      </c:pt>
                      <c:pt idx="352">
                        <c:v>733</c:v>
                      </c:pt>
                      <c:pt idx="353">
                        <c:v>734</c:v>
                      </c:pt>
                      <c:pt idx="354">
                        <c:v>735</c:v>
                      </c:pt>
                      <c:pt idx="355">
                        <c:v>736</c:v>
                      </c:pt>
                      <c:pt idx="356">
                        <c:v>737</c:v>
                      </c:pt>
                      <c:pt idx="357">
                        <c:v>738</c:v>
                      </c:pt>
                      <c:pt idx="358">
                        <c:v>739</c:v>
                      </c:pt>
                      <c:pt idx="359">
                        <c:v>740</c:v>
                      </c:pt>
                      <c:pt idx="360">
                        <c:v>741</c:v>
                      </c:pt>
                      <c:pt idx="361">
                        <c:v>742</c:v>
                      </c:pt>
                      <c:pt idx="362">
                        <c:v>743</c:v>
                      </c:pt>
                      <c:pt idx="363">
                        <c:v>744</c:v>
                      </c:pt>
                      <c:pt idx="364">
                        <c:v>745</c:v>
                      </c:pt>
                      <c:pt idx="365">
                        <c:v>746</c:v>
                      </c:pt>
                      <c:pt idx="366">
                        <c:v>747</c:v>
                      </c:pt>
                      <c:pt idx="367">
                        <c:v>748</c:v>
                      </c:pt>
                      <c:pt idx="368">
                        <c:v>749</c:v>
                      </c:pt>
                      <c:pt idx="369">
                        <c:v>750</c:v>
                      </c:pt>
                      <c:pt idx="370">
                        <c:v>751</c:v>
                      </c:pt>
                      <c:pt idx="371">
                        <c:v>752</c:v>
                      </c:pt>
                      <c:pt idx="372">
                        <c:v>753</c:v>
                      </c:pt>
                      <c:pt idx="373">
                        <c:v>754</c:v>
                      </c:pt>
                      <c:pt idx="374">
                        <c:v>755</c:v>
                      </c:pt>
                      <c:pt idx="375">
                        <c:v>756</c:v>
                      </c:pt>
                      <c:pt idx="376">
                        <c:v>757</c:v>
                      </c:pt>
                      <c:pt idx="377">
                        <c:v>758</c:v>
                      </c:pt>
                      <c:pt idx="378">
                        <c:v>759</c:v>
                      </c:pt>
                      <c:pt idx="379">
                        <c:v>760</c:v>
                      </c:pt>
                      <c:pt idx="380">
                        <c:v>761</c:v>
                      </c:pt>
                      <c:pt idx="381">
                        <c:v>762</c:v>
                      </c:pt>
                      <c:pt idx="382">
                        <c:v>763</c:v>
                      </c:pt>
                      <c:pt idx="383">
                        <c:v>764</c:v>
                      </c:pt>
                      <c:pt idx="384">
                        <c:v>765</c:v>
                      </c:pt>
                      <c:pt idx="385">
                        <c:v>766</c:v>
                      </c:pt>
                      <c:pt idx="386">
                        <c:v>767</c:v>
                      </c:pt>
                      <c:pt idx="387">
                        <c:v>768</c:v>
                      </c:pt>
                      <c:pt idx="388">
                        <c:v>769</c:v>
                      </c:pt>
                      <c:pt idx="389">
                        <c:v>770</c:v>
                      </c:pt>
                      <c:pt idx="390">
                        <c:v>771</c:v>
                      </c:pt>
                      <c:pt idx="391">
                        <c:v>772</c:v>
                      </c:pt>
                      <c:pt idx="392">
                        <c:v>773</c:v>
                      </c:pt>
                      <c:pt idx="393">
                        <c:v>774</c:v>
                      </c:pt>
                      <c:pt idx="394">
                        <c:v>775</c:v>
                      </c:pt>
                      <c:pt idx="395">
                        <c:v>776</c:v>
                      </c:pt>
                      <c:pt idx="396">
                        <c:v>777</c:v>
                      </c:pt>
                      <c:pt idx="397">
                        <c:v>778</c:v>
                      </c:pt>
                      <c:pt idx="398">
                        <c:v>779</c:v>
                      </c:pt>
                      <c:pt idx="399">
                        <c:v>780</c:v>
                      </c:pt>
                      <c:pt idx="400">
                        <c:v>781</c:v>
                      </c:pt>
                      <c:pt idx="401">
                        <c:v>782</c:v>
                      </c:pt>
                      <c:pt idx="402">
                        <c:v>783</c:v>
                      </c:pt>
                      <c:pt idx="403">
                        <c:v>784</c:v>
                      </c:pt>
                      <c:pt idx="404">
                        <c:v>785</c:v>
                      </c:pt>
                      <c:pt idx="405">
                        <c:v>786</c:v>
                      </c:pt>
                      <c:pt idx="406">
                        <c:v>787</c:v>
                      </c:pt>
                      <c:pt idx="407">
                        <c:v>788</c:v>
                      </c:pt>
                      <c:pt idx="408">
                        <c:v>789</c:v>
                      </c:pt>
                      <c:pt idx="409">
                        <c:v>790</c:v>
                      </c:pt>
                      <c:pt idx="410">
                        <c:v>791</c:v>
                      </c:pt>
                      <c:pt idx="411">
                        <c:v>792</c:v>
                      </c:pt>
                      <c:pt idx="412">
                        <c:v>793</c:v>
                      </c:pt>
                      <c:pt idx="413">
                        <c:v>794</c:v>
                      </c:pt>
                      <c:pt idx="414">
                        <c:v>795</c:v>
                      </c:pt>
                      <c:pt idx="415">
                        <c:v>796</c:v>
                      </c:pt>
                      <c:pt idx="416">
                        <c:v>797</c:v>
                      </c:pt>
                      <c:pt idx="417">
                        <c:v>798</c:v>
                      </c:pt>
                      <c:pt idx="418">
                        <c:v>799</c:v>
                      </c:pt>
                      <c:pt idx="419">
                        <c:v>800</c:v>
                      </c:pt>
                      <c:pt idx="420">
                        <c:v>801</c:v>
                      </c:pt>
                      <c:pt idx="421">
                        <c:v>802</c:v>
                      </c:pt>
                      <c:pt idx="422">
                        <c:v>803</c:v>
                      </c:pt>
                      <c:pt idx="423">
                        <c:v>804</c:v>
                      </c:pt>
                      <c:pt idx="424">
                        <c:v>805</c:v>
                      </c:pt>
                      <c:pt idx="425">
                        <c:v>806</c:v>
                      </c:pt>
                      <c:pt idx="426">
                        <c:v>807</c:v>
                      </c:pt>
                      <c:pt idx="427">
                        <c:v>808</c:v>
                      </c:pt>
                      <c:pt idx="428">
                        <c:v>809</c:v>
                      </c:pt>
                      <c:pt idx="429">
                        <c:v>810</c:v>
                      </c:pt>
                      <c:pt idx="430">
                        <c:v>811</c:v>
                      </c:pt>
                      <c:pt idx="431">
                        <c:v>812</c:v>
                      </c:pt>
                      <c:pt idx="432">
                        <c:v>813</c:v>
                      </c:pt>
                      <c:pt idx="433">
                        <c:v>814</c:v>
                      </c:pt>
                      <c:pt idx="434">
                        <c:v>815</c:v>
                      </c:pt>
                      <c:pt idx="435">
                        <c:v>816</c:v>
                      </c:pt>
                      <c:pt idx="436">
                        <c:v>817</c:v>
                      </c:pt>
                      <c:pt idx="437">
                        <c:v>818</c:v>
                      </c:pt>
                      <c:pt idx="438">
                        <c:v>819</c:v>
                      </c:pt>
                      <c:pt idx="439">
                        <c:v>820</c:v>
                      </c:pt>
                      <c:pt idx="440">
                        <c:v>821</c:v>
                      </c:pt>
                      <c:pt idx="441">
                        <c:v>822</c:v>
                      </c:pt>
                      <c:pt idx="442">
                        <c:v>823</c:v>
                      </c:pt>
                      <c:pt idx="443">
                        <c:v>824</c:v>
                      </c:pt>
                      <c:pt idx="444">
                        <c:v>825</c:v>
                      </c:pt>
                      <c:pt idx="445">
                        <c:v>826</c:v>
                      </c:pt>
                      <c:pt idx="446">
                        <c:v>827</c:v>
                      </c:pt>
                      <c:pt idx="447">
                        <c:v>828</c:v>
                      </c:pt>
                      <c:pt idx="448">
                        <c:v>829</c:v>
                      </c:pt>
                      <c:pt idx="449">
                        <c:v>830</c:v>
                      </c:pt>
                      <c:pt idx="450">
                        <c:v>831</c:v>
                      </c:pt>
                      <c:pt idx="451">
                        <c:v>832</c:v>
                      </c:pt>
                      <c:pt idx="452">
                        <c:v>833</c:v>
                      </c:pt>
                      <c:pt idx="453">
                        <c:v>834</c:v>
                      </c:pt>
                      <c:pt idx="454">
                        <c:v>835</c:v>
                      </c:pt>
                      <c:pt idx="455">
                        <c:v>836</c:v>
                      </c:pt>
                      <c:pt idx="456">
                        <c:v>837</c:v>
                      </c:pt>
                      <c:pt idx="457">
                        <c:v>838</c:v>
                      </c:pt>
                      <c:pt idx="458">
                        <c:v>839</c:v>
                      </c:pt>
                      <c:pt idx="459">
                        <c:v>840</c:v>
                      </c:pt>
                      <c:pt idx="460">
                        <c:v>841</c:v>
                      </c:pt>
                      <c:pt idx="461">
                        <c:v>842</c:v>
                      </c:pt>
                      <c:pt idx="462">
                        <c:v>843</c:v>
                      </c:pt>
                      <c:pt idx="463">
                        <c:v>844</c:v>
                      </c:pt>
                      <c:pt idx="464">
                        <c:v>845</c:v>
                      </c:pt>
                      <c:pt idx="465">
                        <c:v>846</c:v>
                      </c:pt>
                      <c:pt idx="466">
                        <c:v>847</c:v>
                      </c:pt>
                      <c:pt idx="467">
                        <c:v>848</c:v>
                      </c:pt>
                      <c:pt idx="468">
                        <c:v>849</c:v>
                      </c:pt>
                      <c:pt idx="469">
                        <c:v>850</c:v>
                      </c:pt>
                      <c:pt idx="470">
                        <c:v>851</c:v>
                      </c:pt>
                      <c:pt idx="471">
                        <c:v>852</c:v>
                      </c:pt>
                      <c:pt idx="472">
                        <c:v>853</c:v>
                      </c:pt>
                      <c:pt idx="473">
                        <c:v>854</c:v>
                      </c:pt>
                      <c:pt idx="474">
                        <c:v>855</c:v>
                      </c:pt>
                      <c:pt idx="475">
                        <c:v>856</c:v>
                      </c:pt>
                      <c:pt idx="476">
                        <c:v>857</c:v>
                      </c:pt>
                      <c:pt idx="477">
                        <c:v>858</c:v>
                      </c:pt>
                      <c:pt idx="478">
                        <c:v>859</c:v>
                      </c:pt>
                      <c:pt idx="479">
                        <c:v>860</c:v>
                      </c:pt>
                      <c:pt idx="480">
                        <c:v>861</c:v>
                      </c:pt>
                      <c:pt idx="481">
                        <c:v>862</c:v>
                      </c:pt>
                      <c:pt idx="482">
                        <c:v>863</c:v>
                      </c:pt>
                      <c:pt idx="483">
                        <c:v>864</c:v>
                      </c:pt>
                      <c:pt idx="484">
                        <c:v>865</c:v>
                      </c:pt>
                      <c:pt idx="485">
                        <c:v>866</c:v>
                      </c:pt>
                      <c:pt idx="486">
                        <c:v>867</c:v>
                      </c:pt>
                      <c:pt idx="487">
                        <c:v>868</c:v>
                      </c:pt>
                      <c:pt idx="488">
                        <c:v>869</c:v>
                      </c:pt>
                      <c:pt idx="489">
                        <c:v>870</c:v>
                      </c:pt>
                      <c:pt idx="490">
                        <c:v>871</c:v>
                      </c:pt>
                      <c:pt idx="491">
                        <c:v>872</c:v>
                      </c:pt>
                      <c:pt idx="492">
                        <c:v>873</c:v>
                      </c:pt>
                      <c:pt idx="493">
                        <c:v>874</c:v>
                      </c:pt>
                      <c:pt idx="494">
                        <c:v>875</c:v>
                      </c:pt>
                      <c:pt idx="495">
                        <c:v>876</c:v>
                      </c:pt>
                      <c:pt idx="496">
                        <c:v>877</c:v>
                      </c:pt>
                      <c:pt idx="497">
                        <c:v>878</c:v>
                      </c:pt>
                      <c:pt idx="498">
                        <c:v>879</c:v>
                      </c:pt>
                      <c:pt idx="499">
                        <c:v>880</c:v>
                      </c:pt>
                      <c:pt idx="500">
                        <c:v>881</c:v>
                      </c:pt>
                      <c:pt idx="501">
                        <c:v>882</c:v>
                      </c:pt>
                      <c:pt idx="502">
                        <c:v>883</c:v>
                      </c:pt>
                      <c:pt idx="503">
                        <c:v>884</c:v>
                      </c:pt>
                      <c:pt idx="504">
                        <c:v>885</c:v>
                      </c:pt>
                      <c:pt idx="505">
                        <c:v>886</c:v>
                      </c:pt>
                      <c:pt idx="506">
                        <c:v>887</c:v>
                      </c:pt>
                      <c:pt idx="507">
                        <c:v>888</c:v>
                      </c:pt>
                      <c:pt idx="508">
                        <c:v>889</c:v>
                      </c:pt>
                      <c:pt idx="509">
                        <c:v>890</c:v>
                      </c:pt>
                      <c:pt idx="510">
                        <c:v>891</c:v>
                      </c:pt>
                      <c:pt idx="511">
                        <c:v>892</c:v>
                      </c:pt>
                      <c:pt idx="512">
                        <c:v>893</c:v>
                      </c:pt>
                      <c:pt idx="513">
                        <c:v>894</c:v>
                      </c:pt>
                      <c:pt idx="514">
                        <c:v>895</c:v>
                      </c:pt>
                      <c:pt idx="515">
                        <c:v>896</c:v>
                      </c:pt>
                      <c:pt idx="516">
                        <c:v>897</c:v>
                      </c:pt>
                      <c:pt idx="517">
                        <c:v>898</c:v>
                      </c:pt>
                      <c:pt idx="518">
                        <c:v>899</c:v>
                      </c:pt>
                      <c:pt idx="519">
                        <c:v>900</c:v>
                      </c:pt>
                      <c:pt idx="520">
                        <c:v>901</c:v>
                      </c:pt>
                      <c:pt idx="521">
                        <c:v>902</c:v>
                      </c:pt>
                      <c:pt idx="522">
                        <c:v>903</c:v>
                      </c:pt>
                      <c:pt idx="523">
                        <c:v>904</c:v>
                      </c:pt>
                      <c:pt idx="524">
                        <c:v>905</c:v>
                      </c:pt>
                      <c:pt idx="525">
                        <c:v>906</c:v>
                      </c:pt>
                      <c:pt idx="526">
                        <c:v>907</c:v>
                      </c:pt>
                      <c:pt idx="527">
                        <c:v>908</c:v>
                      </c:pt>
                      <c:pt idx="528">
                        <c:v>909</c:v>
                      </c:pt>
                      <c:pt idx="529">
                        <c:v>910</c:v>
                      </c:pt>
                      <c:pt idx="530">
                        <c:v>911</c:v>
                      </c:pt>
                      <c:pt idx="531">
                        <c:v>912</c:v>
                      </c:pt>
                      <c:pt idx="532">
                        <c:v>913</c:v>
                      </c:pt>
                      <c:pt idx="533">
                        <c:v>914</c:v>
                      </c:pt>
                      <c:pt idx="534">
                        <c:v>915</c:v>
                      </c:pt>
                      <c:pt idx="535">
                        <c:v>916</c:v>
                      </c:pt>
                      <c:pt idx="536">
                        <c:v>917</c:v>
                      </c:pt>
                      <c:pt idx="537">
                        <c:v>918</c:v>
                      </c:pt>
                      <c:pt idx="538">
                        <c:v>919</c:v>
                      </c:pt>
                      <c:pt idx="539">
                        <c:v>920</c:v>
                      </c:pt>
                      <c:pt idx="540">
                        <c:v>921</c:v>
                      </c:pt>
                      <c:pt idx="541">
                        <c:v>922</c:v>
                      </c:pt>
                      <c:pt idx="542">
                        <c:v>923</c:v>
                      </c:pt>
                      <c:pt idx="543">
                        <c:v>924</c:v>
                      </c:pt>
                      <c:pt idx="544">
                        <c:v>925</c:v>
                      </c:pt>
                      <c:pt idx="545">
                        <c:v>926</c:v>
                      </c:pt>
                      <c:pt idx="546">
                        <c:v>927</c:v>
                      </c:pt>
                      <c:pt idx="547">
                        <c:v>928</c:v>
                      </c:pt>
                      <c:pt idx="548">
                        <c:v>929</c:v>
                      </c:pt>
                      <c:pt idx="549">
                        <c:v>930</c:v>
                      </c:pt>
                      <c:pt idx="550">
                        <c:v>931</c:v>
                      </c:pt>
                      <c:pt idx="551">
                        <c:v>932</c:v>
                      </c:pt>
                      <c:pt idx="552">
                        <c:v>933</c:v>
                      </c:pt>
                      <c:pt idx="553">
                        <c:v>934</c:v>
                      </c:pt>
                      <c:pt idx="554">
                        <c:v>935</c:v>
                      </c:pt>
                      <c:pt idx="555">
                        <c:v>936</c:v>
                      </c:pt>
                      <c:pt idx="556">
                        <c:v>937</c:v>
                      </c:pt>
                      <c:pt idx="557">
                        <c:v>938</c:v>
                      </c:pt>
                      <c:pt idx="558">
                        <c:v>939</c:v>
                      </c:pt>
                      <c:pt idx="559">
                        <c:v>940</c:v>
                      </c:pt>
                      <c:pt idx="560">
                        <c:v>941</c:v>
                      </c:pt>
                      <c:pt idx="561">
                        <c:v>942</c:v>
                      </c:pt>
                      <c:pt idx="562">
                        <c:v>943</c:v>
                      </c:pt>
                      <c:pt idx="563">
                        <c:v>944</c:v>
                      </c:pt>
                      <c:pt idx="564">
                        <c:v>945</c:v>
                      </c:pt>
                      <c:pt idx="565">
                        <c:v>946</c:v>
                      </c:pt>
                      <c:pt idx="566">
                        <c:v>947</c:v>
                      </c:pt>
                      <c:pt idx="567">
                        <c:v>948</c:v>
                      </c:pt>
                      <c:pt idx="568">
                        <c:v>949</c:v>
                      </c:pt>
                      <c:pt idx="569">
                        <c:v>950</c:v>
                      </c:pt>
                      <c:pt idx="570">
                        <c:v>951</c:v>
                      </c:pt>
                      <c:pt idx="571">
                        <c:v>952</c:v>
                      </c:pt>
                      <c:pt idx="572">
                        <c:v>953</c:v>
                      </c:pt>
                      <c:pt idx="573">
                        <c:v>954</c:v>
                      </c:pt>
                      <c:pt idx="574">
                        <c:v>955</c:v>
                      </c:pt>
                      <c:pt idx="575">
                        <c:v>956</c:v>
                      </c:pt>
                      <c:pt idx="576">
                        <c:v>957</c:v>
                      </c:pt>
                      <c:pt idx="577">
                        <c:v>958</c:v>
                      </c:pt>
                      <c:pt idx="578">
                        <c:v>959</c:v>
                      </c:pt>
                      <c:pt idx="579">
                        <c:v>960</c:v>
                      </c:pt>
                      <c:pt idx="580">
                        <c:v>961</c:v>
                      </c:pt>
                      <c:pt idx="581">
                        <c:v>962</c:v>
                      </c:pt>
                      <c:pt idx="582">
                        <c:v>963</c:v>
                      </c:pt>
                      <c:pt idx="583">
                        <c:v>964</c:v>
                      </c:pt>
                      <c:pt idx="584">
                        <c:v>965</c:v>
                      </c:pt>
                      <c:pt idx="585">
                        <c:v>966</c:v>
                      </c:pt>
                      <c:pt idx="586">
                        <c:v>967</c:v>
                      </c:pt>
                      <c:pt idx="587">
                        <c:v>968</c:v>
                      </c:pt>
                      <c:pt idx="588">
                        <c:v>969</c:v>
                      </c:pt>
                      <c:pt idx="589">
                        <c:v>970</c:v>
                      </c:pt>
                      <c:pt idx="590">
                        <c:v>971</c:v>
                      </c:pt>
                      <c:pt idx="591">
                        <c:v>972</c:v>
                      </c:pt>
                      <c:pt idx="592">
                        <c:v>973</c:v>
                      </c:pt>
                      <c:pt idx="593">
                        <c:v>974</c:v>
                      </c:pt>
                      <c:pt idx="594">
                        <c:v>975</c:v>
                      </c:pt>
                      <c:pt idx="595">
                        <c:v>976</c:v>
                      </c:pt>
                      <c:pt idx="596">
                        <c:v>977</c:v>
                      </c:pt>
                      <c:pt idx="597">
                        <c:v>978</c:v>
                      </c:pt>
                      <c:pt idx="598">
                        <c:v>979</c:v>
                      </c:pt>
                      <c:pt idx="599">
                        <c:v>980</c:v>
                      </c:pt>
                      <c:pt idx="600">
                        <c:v>981</c:v>
                      </c:pt>
                      <c:pt idx="601">
                        <c:v>982</c:v>
                      </c:pt>
                      <c:pt idx="602">
                        <c:v>983</c:v>
                      </c:pt>
                      <c:pt idx="603">
                        <c:v>984</c:v>
                      </c:pt>
                      <c:pt idx="604">
                        <c:v>985</c:v>
                      </c:pt>
                      <c:pt idx="605">
                        <c:v>986</c:v>
                      </c:pt>
                      <c:pt idx="606">
                        <c:v>987</c:v>
                      </c:pt>
                      <c:pt idx="607">
                        <c:v>988</c:v>
                      </c:pt>
                      <c:pt idx="608">
                        <c:v>989</c:v>
                      </c:pt>
                      <c:pt idx="609">
                        <c:v>990</c:v>
                      </c:pt>
                      <c:pt idx="610">
                        <c:v>991</c:v>
                      </c:pt>
                      <c:pt idx="611">
                        <c:v>992</c:v>
                      </c:pt>
                      <c:pt idx="612">
                        <c:v>993</c:v>
                      </c:pt>
                      <c:pt idx="613">
                        <c:v>994</c:v>
                      </c:pt>
                      <c:pt idx="614">
                        <c:v>995</c:v>
                      </c:pt>
                      <c:pt idx="615">
                        <c:v>996</c:v>
                      </c:pt>
                      <c:pt idx="616">
                        <c:v>997</c:v>
                      </c:pt>
                      <c:pt idx="617">
                        <c:v>998</c:v>
                      </c:pt>
                      <c:pt idx="618">
                        <c:v>999</c:v>
                      </c:pt>
                      <c:pt idx="619">
                        <c:v>1000</c:v>
                      </c:pt>
                    </c:numCache>
                  </c:numRef>
                </c:xVal>
                <c:yVal>
                  <c:numRef>
                    <c:extLst xmlns:c15="http://schemas.microsoft.com/office/drawing/2012/chart">
                      <c:ext xmlns:c15="http://schemas.microsoft.com/office/drawing/2012/chart" uri="{02D57815-91ED-43cb-92C2-25804820EDAC}">
                        <c15:formulaRef>
                          <c15:sqref>'INIT-File+Corr'!$K$16:$K$636</c15:sqref>
                        </c15:formulaRef>
                      </c:ext>
                    </c:extLst>
                    <c:numCache>
                      <c:formatCode>0.000000</c:formatCode>
                      <c:ptCount val="620"/>
                      <c:pt idx="0">
                        <c:v>-2.4839000000000003E-4</c:v>
                      </c:pt>
                      <c:pt idx="1">
                        <c:v>-2.5090000000000003E-4</c:v>
                      </c:pt>
                      <c:pt idx="2">
                        <c:v>-2.5343000000000002E-4</c:v>
                      </c:pt>
                      <c:pt idx="3">
                        <c:v>-2.5598999999999999E-4</c:v>
                      </c:pt>
                      <c:pt idx="4">
                        <c:v>-2.5858000000000001E-4</c:v>
                      </c:pt>
                      <c:pt idx="5">
                        <c:v>-2.6119000000000001E-4</c:v>
                      </c:pt>
                      <c:pt idx="6">
                        <c:v>-2.6383E-4</c:v>
                      </c:pt>
                      <c:pt idx="7">
                        <c:v>-2.6648999999999998E-4</c:v>
                      </c:pt>
                      <c:pt idx="8">
                        <c:v>-2.6917999999999999E-4</c:v>
                      </c:pt>
                      <c:pt idx="9">
                        <c:v>-2.719E-4</c:v>
                      </c:pt>
                      <c:pt idx="10">
                        <c:v>-2.7464999999999998E-4</c:v>
                      </c:pt>
                      <c:pt idx="11">
                        <c:v>-2.7742000000000001E-4</c:v>
                      </c:pt>
                      <c:pt idx="12">
                        <c:v>-2.8022000000000002E-4</c:v>
                      </c:pt>
                      <c:pt idx="13">
                        <c:v>-2.8301999999999998E-4</c:v>
                      </c:pt>
                      <c:pt idx="14">
                        <c:v>-2.8579000000000001E-4</c:v>
                      </c:pt>
                      <c:pt idx="15">
                        <c:v>-2.8847999999999998E-4</c:v>
                      </c:pt>
                      <c:pt idx="16">
                        <c:v>-2.9105999999999999E-4</c:v>
                      </c:pt>
                      <c:pt idx="17">
                        <c:v>-2.9346E-4</c:v>
                      </c:pt>
                      <c:pt idx="18">
                        <c:v>-2.9563000000000001E-4</c:v>
                      </c:pt>
                      <c:pt idx="19">
                        <c:v>-2.9751000000000002E-4</c:v>
                      </c:pt>
                      <c:pt idx="20">
                        <c:v>-2.9904999999999998E-4</c:v>
                      </c:pt>
                      <c:pt idx="21">
                        <c:v>-3.0019999999999998E-4</c:v>
                      </c:pt>
                      <c:pt idx="22">
                        <c:v>-3.0090999999999999E-4</c:v>
                      </c:pt>
                      <c:pt idx="23">
                        <c:v>-3.0117000000000002E-4</c:v>
                      </c:pt>
                      <c:pt idx="24">
                        <c:v>-3.0095000000000002E-4</c:v>
                      </c:pt>
                      <c:pt idx="25">
                        <c:v>-3.0024000000000001E-4</c:v>
                      </c:pt>
                      <c:pt idx="26">
                        <c:v>-2.9902999999999999E-4</c:v>
                      </c:pt>
                      <c:pt idx="27">
                        <c:v>-2.9732000000000001E-4</c:v>
                      </c:pt>
                      <c:pt idx="28">
                        <c:v>-2.9513E-4</c:v>
                      </c:pt>
                      <c:pt idx="29">
                        <c:v>-2.9244999999999998E-4</c:v>
                      </c:pt>
                      <c:pt idx="30">
                        <c:v>-2.8930999999999998E-4</c:v>
                      </c:pt>
                      <c:pt idx="31">
                        <c:v>-2.8572E-4</c:v>
                      </c:pt>
                      <c:pt idx="32">
                        <c:v>-2.8169000000000002E-4</c:v>
                      </c:pt>
                      <c:pt idx="33">
                        <c:v>-2.7724999999999999E-4</c:v>
                      </c:pt>
                      <c:pt idx="34">
                        <c:v>-2.7240000000000001E-4</c:v>
                      </c:pt>
                      <c:pt idx="35">
                        <c:v>-2.6716000000000001E-4</c:v>
                      </c:pt>
                      <c:pt idx="36">
                        <c:v>-2.6154999999999999E-4</c:v>
                      </c:pt>
                      <c:pt idx="37">
                        <c:v>-2.5556999999999999E-4</c:v>
                      </c:pt>
                      <c:pt idx="38">
                        <c:v>-2.4924000000000002E-4</c:v>
                      </c:pt>
                      <c:pt idx="39">
                        <c:v>-2.4258E-4</c:v>
                      </c:pt>
                      <c:pt idx="40">
                        <c:v>-2.3559000000000001E-4</c:v>
                      </c:pt>
                      <c:pt idx="41">
                        <c:v>-2.2829E-4</c:v>
                      </c:pt>
                      <c:pt idx="42">
                        <c:v>-2.2069E-4</c:v>
                      </c:pt>
                      <c:pt idx="43">
                        <c:v>-2.1280999999999999E-4</c:v>
                      </c:pt>
                      <c:pt idx="44">
                        <c:v>-2.0467E-4</c:v>
                      </c:pt>
                      <c:pt idx="45">
                        <c:v>-1.963E-4</c:v>
                      </c:pt>
                      <c:pt idx="46">
                        <c:v>-1.8771E-4</c:v>
                      </c:pt>
                      <c:pt idx="47">
                        <c:v>-1.7893999999999999E-4</c:v>
                      </c:pt>
                      <c:pt idx="48">
                        <c:v>-1.7003999999999999E-4</c:v>
                      </c:pt>
                      <c:pt idx="49">
                        <c:v>-1.6102999999999999E-4</c:v>
                      </c:pt>
                      <c:pt idx="50">
                        <c:v>-1.5196E-4</c:v>
                      </c:pt>
                      <c:pt idx="51">
                        <c:v>-1.4289000000000001E-4</c:v>
                      </c:pt>
                      <c:pt idx="52">
                        <c:v>-1.3386E-4</c:v>
                      </c:pt>
                      <c:pt idx="53">
                        <c:v>-1.2491999999999999E-4</c:v>
                      </c:pt>
                      <c:pt idx="54">
                        <c:v>-1.1613E-4</c:v>
                      </c:pt>
                      <c:pt idx="55">
                        <c:v>-9.9225E-5</c:v>
                      </c:pt>
                      <c:pt idx="56">
                        <c:v>-9.1210000000000003E-5</c:v>
                      </c:pt>
                      <c:pt idx="57">
                        <c:v>-8.3558000000000002E-5</c:v>
                      </c:pt>
                      <c:pt idx="58">
                        <c:v>-7.6318999999999999E-5</c:v>
                      </c:pt>
                      <c:pt idx="59">
                        <c:v>-6.9541000000000004E-5</c:v>
                      </c:pt>
                      <c:pt idx="60">
                        <c:v>-6.3268000000000005E-5</c:v>
                      </c:pt>
                      <c:pt idx="61">
                        <c:v>-5.7543000000000001E-5</c:v>
                      </c:pt>
                      <c:pt idx="62">
                        <c:v>-5.2403E-5</c:v>
                      </c:pt>
                      <c:pt idx="63">
                        <c:v>-4.7880000000000002E-5</c:v>
                      </c:pt>
                      <c:pt idx="64">
                        <c:v>-4.4001000000000001E-5</c:v>
                      </c:pt>
                      <c:pt idx="65">
                        <c:v>-4.0788000000000003E-5</c:v>
                      </c:pt>
                      <c:pt idx="66">
                        <c:v>-3.8253000000000001E-5</c:v>
                      </c:pt>
                      <c:pt idx="67">
                        <c:v>-3.6403999999999999E-5</c:v>
                      </c:pt>
                      <c:pt idx="68">
                        <c:v>-3.5238999999999999E-5</c:v>
                      </c:pt>
                      <c:pt idx="69">
                        <c:v>-3.4746999999999998E-5</c:v>
                      </c:pt>
                      <c:pt idx="70">
                        <c:v>-3.4910999999999998E-5</c:v>
                      </c:pt>
                      <c:pt idx="71">
                        <c:v>-3.5704000000000002E-5</c:v>
                      </c:pt>
                      <c:pt idx="72">
                        <c:v>-3.7095000000000003E-5</c:v>
                      </c:pt>
                      <c:pt idx="73">
                        <c:v>-3.9045000000000003E-5</c:v>
                      </c:pt>
                      <c:pt idx="74">
                        <c:v>-4.1508999999999998E-5</c:v>
                      </c:pt>
                      <c:pt idx="75">
                        <c:v>-4.4441999999999999E-5</c:v>
                      </c:pt>
                      <c:pt idx="76">
                        <c:v>-4.7794999999999999E-5</c:v>
                      </c:pt>
                      <c:pt idx="77">
                        <c:v>-5.1518999999999999E-5</c:v>
                      </c:pt>
                      <c:pt idx="78">
                        <c:v>-5.5563999999999999E-5</c:v>
                      </c:pt>
                      <c:pt idx="79">
                        <c:v>-5.9886000000000002E-5</c:v>
                      </c:pt>
                      <c:pt idx="80">
                        <c:v>-6.444E-5</c:v>
                      </c:pt>
                      <c:pt idx="81">
                        <c:v>-6.9190000000000007E-5</c:v>
                      </c:pt>
                      <c:pt idx="82">
                        <c:v>-7.4101000000000001E-5</c:v>
                      </c:pt>
                      <c:pt idx="83">
                        <c:v>-7.9147999999999995E-5</c:v>
                      </c:pt>
                      <c:pt idx="84">
                        <c:v>-8.4309999999999997E-5</c:v>
                      </c:pt>
                      <c:pt idx="85">
                        <c:v>-8.9575999999999998E-5</c:v>
                      </c:pt>
                      <c:pt idx="86">
                        <c:v>-9.4938999999999993E-5</c:v>
                      </c:pt>
                      <c:pt idx="87">
                        <c:v>-1.004E-4</c:v>
                      </c:pt>
                      <c:pt idx="88">
                        <c:v>-1.0597E-4</c:v>
                      </c:pt>
                      <c:pt idx="89">
                        <c:v>-1.1166E-4</c:v>
                      </c:pt>
                      <c:pt idx="90">
                        <c:v>-1.1749E-4</c:v>
                      </c:pt>
                      <c:pt idx="91">
                        <c:v>-1.2348E-4</c:v>
                      </c:pt>
                      <c:pt idx="92">
                        <c:v>-1.2965000000000001E-4</c:v>
                      </c:pt>
                      <c:pt idx="93">
                        <c:v>-1.3603000000000001E-4</c:v>
                      </c:pt>
                      <c:pt idx="94">
                        <c:v>-1.4263000000000001E-4</c:v>
                      </c:pt>
                      <c:pt idx="95">
                        <c:v>-1.4949000000000001E-4</c:v>
                      </c:pt>
                      <c:pt idx="96">
                        <c:v>-1.5661000000000001E-4</c:v>
                      </c:pt>
                      <c:pt idx="97">
                        <c:v>-1.6401E-4</c:v>
                      </c:pt>
                      <c:pt idx="98">
                        <c:v>-1.7169E-4</c:v>
                      </c:pt>
                      <c:pt idx="99">
                        <c:v>-1.7965E-4</c:v>
                      </c:pt>
                      <c:pt idx="100">
                        <c:v>-1.8788E-4</c:v>
                      </c:pt>
                      <c:pt idx="101">
                        <c:v>-1.9637999999999999E-4</c:v>
                      </c:pt>
                      <c:pt idx="102">
                        <c:v>-2.0510999999999999E-4</c:v>
                      </c:pt>
                      <c:pt idx="103">
                        <c:v>-2.1405999999999999E-4</c:v>
                      </c:pt>
                      <c:pt idx="104">
                        <c:v>-2.2317999999999999E-4</c:v>
                      </c:pt>
                      <c:pt idx="105">
                        <c:v>-2.3243999999999999E-4</c:v>
                      </c:pt>
                      <c:pt idx="106">
                        <c:v>-2.4179E-4</c:v>
                      </c:pt>
                      <c:pt idx="107">
                        <c:v>-2.5117999999999999E-4</c:v>
                      </c:pt>
                      <c:pt idx="108">
                        <c:v>-2.6056000000000001E-4</c:v>
                      </c:pt>
                      <c:pt idx="109">
                        <c:v>-2.6987000000000002E-4</c:v>
                      </c:pt>
                      <c:pt idx="110">
                        <c:v>-2.7905999999999997E-4</c:v>
                      </c:pt>
                      <c:pt idx="111">
                        <c:v>-2.8805999999999998E-4</c:v>
                      </c:pt>
                      <c:pt idx="112">
                        <c:v>-2.9681E-4</c:v>
                      </c:pt>
                      <c:pt idx="113">
                        <c:v>-3.0527000000000001E-4</c:v>
                      </c:pt>
                      <c:pt idx="114">
                        <c:v>-3.1335999999999999E-4</c:v>
                      </c:pt>
                      <c:pt idx="115">
                        <c:v>-3.2103999999999998E-4</c:v>
                      </c:pt>
                      <c:pt idx="116">
                        <c:v>-3.2824999999999998E-4</c:v>
                      </c:pt>
                      <c:pt idx="117">
                        <c:v>-3.3494999999999998E-4</c:v>
                      </c:pt>
                      <c:pt idx="118">
                        <c:v>-3.4109E-4</c:v>
                      </c:pt>
                      <c:pt idx="119">
                        <c:v>-3.4664E-4</c:v>
                      </c:pt>
                      <c:pt idx="120">
                        <c:v>-3.5156E-4</c:v>
                      </c:pt>
                      <c:pt idx="121">
                        <c:v>-3.5582000000000002E-4</c:v>
                      </c:pt>
                      <c:pt idx="122">
                        <c:v>-3.5940000000000001E-4</c:v>
                      </c:pt>
                      <c:pt idx="123">
                        <c:v>-3.6226999999999999E-4</c:v>
                      </c:pt>
                      <c:pt idx="124">
                        <c:v>-3.6443000000000001E-4</c:v>
                      </c:pt>
                      <c:pt idx="125">
                        <c:v>-3.6583999999999998E-4</c:v>
                      </c:pt>
                      <c:pt idx="126">
                        <c:v>-3.6651000000000001E-4</c:v>
                      </c:pt>
                      <c:pt idx="127">
                        <c:v>-3.6641000000000001E-4</c:v>
                      </c:pt>
                      <c:pt idx="128">
                        <c:v>-3.6552999999999998E-4</c:v>
                      </c:pt>
                      <c:pt idx="129">
                        <c:v>-3.6384999999999998E-4</c:v>
                      </c:pt>
                      <c:pt idx="130">
                        <c:v>-3.6134999999999997E-4</c:v>
                      </c:pt>
                      <c:pt idx="131">
                        <c:v>-3.5802000000000002E-4</c:v>
                      </c:pt>
                      <c:pt idx="132">
                        <c:v>-3.5382000000000002E-4</c:v>
                      </c:pt>
                      <c:pt idx="133">
                        <c:v>-3.4874E-4</c:v>
                      </c:pt>
                      <c:pt idx="134">
                        <c:v>-3.4274000000000002E-4</c:v>
                      </c:pt>
                      <c:pt idx="135">
                        <c:v>-3.3579999999999998E-4</c:v>
                      </c:pt>
                      <c:pt idx="136">
                        <c:v>-3.279E-4</c:v>
                      </c:pt>
                      <c:pt idx="137">
                        <c:v>-3.1901999999999999E-4</c:v>
                      </c:pt>
                      <c:pt idx="138">
                        <c:v>-3.0913000000000002E-4</c:v>
                      </c:pt>
                      <c:pt idx="139">
                        <c:v>-2.9823000000000002E-4</c:v>
                      </c:pt>
                      <c:pt idx="140">
                        <c:v>-2.8632000000000001E-4</c:v>
                      </c:pt>
                      <c:pt idx="141">
                        <c:v>-2.7341000000000003E-4</c:v>
                      </c:pt>
                      <c:pt idx="142">
                        <c:v>-2.5952000000000001E-4</c:v>
                      </c:pt>
                      <c:pt idx="143">
                        <c:v>-2.4468E-4</c:v>
                      </c:pt>
                      <c:pt idx="144">
                        <c:v>-2.2893999999999999E-4</c:v>
                      </c:pt>
                      <c:pt idx="145">
                        <c:v>-2.1236000000000001E-4</c:v>
                      </c:pt>
                      <c:pt idx="146">
                        <c:v>-1.9500999999999999E-4</c:v>
                      </c:pt>
                      <c:pt idx="147">
                        <c:v>-1.7699E-4</c:v>
                      </c:pt>
                      <c:pt idx="148">
                        <c:v>-1.5838000000000001E-4</c:v>
                      </c:pt>
                      <c:pt idx="149">
                        <c:v>-1.3929E-4</c:v>
                      </c:pt>
                      <c:pt idx="150">
                        <c:v>-1.1985E-4</c:v>
                      </c:pt>
                      <c:pt idx="151">
                        <c:v>-1.0016E-4</c:v>
                      </c:pt>
                      <c:pt idx="152">
                        <c:v>-8.0374E-5</c:v>
                      </c:pt>
                      <c:pt idx="153">
                        <c:v>-6.0608E-5</c:v>
                      </c:pt>
                      <c:pt idx="154">
                        <c:v>-4.0995999999999998E-5</c:v>
                      </c:pt>
                      <c:pt idx="155">
                        <c:v>-2.1673000000000001E-5</c:v>
                      </c:pt>
                      <c:pt idx="156">
                        <c:v>-2.7674E-6</c:v>
                      </c:pt>
                      <c:pt idx="157">
                        <c:v>1.5593000000000001E-5</c:v>
                      </c:pt>
                      <c:pt idx="158">
                        <c:v>3.3284000000000002E-5</c:v>
                      </c:pt>
                      <c:pt idx="159">
                        <c:v>5.0191000000000001E-5</c:v>
                      </c:pt>
                      <c:pt idx="160">
                        <c:v>6.6199999999999996E-5</c:v>
                      </c:pt>
                      <c:pt idx="161">
                        <c:v>8.1207999999999999E-5</c:v>
                      </c:pt>
                      <c:pt idx="162">
                        <c:v>9.5115E-5</c:v>
                      </c:pt>
                      <c:pt idx="163">
                        <c:v>1.0783E-4</c:v>
                      </c:pt>
                      <c:pt idx="164">
                        <c:v>1.1927E-4</c:v>
                      </c:pt>
                      <c:pt idx="165">
                        <c:v>1.2936999999999999E-4</c:v>
                      </c:pt>
                      <c:pt idx="166">
                        <c:v>1.3804E-4</c:v>
                      </c:pt>
                      <c:pt idx="167">
                        <c:v>1.4522999999999999E-4</c:v>
                      </c:pt>
                      <c:pt idx="168">
                        <c:v>1.5087999999999999E-4</c:v>
                      </c:pt>
                      <c:pt idx="169">
                        <c:v>1.5495999999999999E-4</c:v>
                      </c:pt>
                      <c:pt idx="170">
                        <c:v>1.5741E-4</c:v>
                      </c:pt>
                      <c:pt idx="171">
                        <c:v>1.5820999999999999E-4</c:v>
                      </c:pt>
                      <c:pt idx="172">
                        <c:v>1.5734000000000001E-4</c:v>
                      </c:pt>
                      <c:pt idx="173">
                        <c:v>1.5477000000000001E-4</c:v>
                      </c:pt>
                      <c:pt idx="174">
                        <c:v>1.5049E-4</c:v>
                      </c:pt>
                      <c:pt idx="175">
                        <c:v>1.4451000000000001E-4</c:v>
                      </c:pt>
                      <c:pt idx="176">
                        <c:v>1.3683E-4</c:v>
                      </c:pt>
                      <c:pt idx="177">
                        <c:v>1.2746E-4</c:v>
                      </c:pt>
                      <c:pt idx="178">
                        <c:v>1.1642999999999999E-4</c:v>
                      </c:pt>
                      <c:pt idx="179">
                        <c:v>1.0375E-4</c:v>
                      </c:pt>
                      <c:pt idx="180">
                        <c:v>8.9464999999999998E-5</c:v>
                      </c:pt>
                      <c:pt idx="181">
                        <c:v>7.3616999999999997E-5</c:v>
                      </c:pt>
                      <c:pt idx="182">
                        <c:v>5.6252999999999998E-5</c:v>
                      </c:pt>
                      <c:pt idx="183">
                        <c:v>3.7429999999999999E-5</c:v>
                      </c:pt>
                      <c:pt idx="184">
                        <c:v>1.7212000000000001E-5</c:v>
                      </c:pt>
                      <c:pt idx="185">
                        <c:v>-4.3327E-6</c:v>
                      </c:pt>
                      <c:pt idx="186">
                        <c:v>-2.7127E-5</c:v>
                      </c:pt>
                      <c:pt idx="187">
                        <c:v>-5.1088999999999998E-5</c:v>
                      </c:pt>
                      <c:pt idx="188">
                        <c:v>-7.6130999999999993E-5</c:v>
                      </c:pt>
                      <c:pt idx="189">
                        <c:v>-1.0216E-4</c:v>
                      </c:pt>
                      <c:pt idx="190">
                        <c:v>-1.2907000000000001E-4</c:v>
                      </c:pt>
                      <c:pt idx="191">
                        <c:v>-1.5674999999999999E-4</c:v>
                      </c:pt>
                      <c:pt idx="192">
                        <c:v>-1.8510999999999999E-4</c:v>
                      </c:pt>
                      <c:pt idx="193">
                        <c:v>-2.1401999999999999E-4</c:v>
                      </c:pt>
                      <c:pt idx="194">
                        <c:v>-2.4336E-4</c:v>
                      </c:pt>
                      <c:pt idx="195">
                        <c:v>-2.7302000000000001E-4</c:v>
                      </c:pt>
                      <c:pt idx="196">
                        <c:v>-3.0286000000000001E-4</c:v>
                      </c:pt>
                      <c:pt idx="197">
                        <c:v>-3.3274999999999998E-4</c:v>
                      </c:pt>
                      <c:pt idx="198">
                        <c:v>-3.6256E-4</c:v>
                      </c:pt>
                      <c:pt idx="199">
                        <c:v>-3.9216000000000001E-4</c:v>
                      </c:pt>
                      <c:pt idx="200">
                        <c:v>-4.2140999999999999E-4</c:v>
                      </c:pt>
                      <c:pt idx="201">
                        <c:v>-4.5018E-4</c:v>
                      </c:pt>
                      <c:pt idx="202">
                        <c:v>-4.7833000000000001E-4</c:v>
                      </c:pt>
                      <c:pt idx="203">
                        <c:v>-5.0571999999999998E-4</c:v>
                      </c:pt>
                      <c:pt idx="204">
                        <c:v>-5.3222999999999996E-4</c:v>
                      </c:pt>
                      <c:pt idx="205">
                        <c:v>-5.5772999999999999E-4</c:v>
                      </c:pt>
                      <c:pt idx="206">
                        <c:v>-5.8208999999999995E-4</c:v>
                      </c:pt>
                      <c:pt idx="207">
                        <c:v>-6.0519999999999997E-4</c:v>
                      </c:pt>
                      <c:pt idx="208">
                        <c:v>-6.2695999999999997E-4</c:v>
                      </c:pt>
                      <c:pt idx="209">
                        <c:v>-6.4725000000000004E-4</c:v>
                      </c:pt>
                      <c:pt idx="210">
                        <c:v>-6.6598999999999998E-4</c:v>
                      </c:pt>
                      <c:pt idx="211">
                        <c:v>-6.8311999999999995E-4</c:v>
                      </c:pt>
                      <c:pt idx="212">
                        <c:v>-6.9857000000000003E-4</c:v>
                      </c:pt>
                      <c:pt idx="213">
                        <c:v>-7.1228999999999997E-4</c:v>
                      </c:pt>
                      <c:pt idx="214">
                        <c:v>-7.2426000000000001E-4</c:v>
                      </c:pt>
                      <c:pt idx="215">
                        <c:v>-7.3446000000000004E-4</c:v>
                      </c:pt>
                      <c:pt idx="216">
                        <c:v>-7.4288999999999996E-4</c:v>
                      </c:pt>
                      <c:pt idx="217">
                        <c:v>-7.4954999999999998E-4</c:v>
                      </c:pt>
                      <c:pt idx="218">
                        <c:v>-7.5445999999999998E-4</c:v>
                      </c:pt>
                      <c:pt idx="219">
                        <c:v>-7.5763999999999996E-4</c:v>
                      </c:pt>
                      <c:pt idx="220">
                        <c:v>-7.5911999999999996E-4</c:v>
                      </c:pt>
                      <c:pt idx="221">
                        <c:v>-7.5891999999999995E-4</c:v>
                      </c:pt>
                      <c:pt idx="222">
                        <c:v>-7.5708000000000004E-4</c:v>
                      </c:pt>
                      <c:pt idx="223">
                        <c:v>-7.5361999999999998E-4</c:v>
                      </c:pt>
                      <c:pt idx="224">
                        <c:v>-7.4857000000000005E-4</c:v>
                      </c:pt>
                      <c:pt idx="225">
                        <c:v>-7.4197E-4</c:v>
                      </c:pt>
                      <c:pt idx="226">
                        <c:v>-7.3384000000000003E-4</c:v>
                      </c:pt>
                      <c:pt idx="227">
                        <c:v>-7.2422000000000003E-4</c:v>
                      </c:pt>
                      <c:pt idx="228">
                        <c:v>-7.1312999999999997E-4</c:v>
                      </c:pt>
                      <c:pt idx="229">
                        <c:v>-7.0060000000000001E-4</c:v>
                      </c:pt>
                      <c:pt idx="230">
                        <c:v>-6.8665999999999996E-4</c:v>
                      </c:pt>
                      <c:pt idx="231">
                        <c:v>-6.7135000000000003E-4</c:v>
                      </c:pt>
                      <c:pt idx="232">
                        <c:v>-6.5468000000000004E-4</c:v>
                      </c:pt>
                      <c:pt idx="233">
                        <c:v>-6.3670000000000003E-4</c:v>
                      </c:pt>
                      <c:pt idx="234">
                        <c:v>-6.1742000000000003E-4</c:v>
                      </c:pt>
                      <c:pt idx="235">
                        <c:v>-5.9688999999999999E-4</c:v>
                      </c:pt>
                      <c:pt idx="236">
                        <c:v>-5.7512999999999998E-4</c:v>
                      </c:pt>
                      <c:pt idx="237">
                        <c:v>-5.5219000000000004E-4</c:v>
                      </c:pt>
                      <c:pt idx="238">
                        <c:v>-5.2809999999999999E-4</c:v>
                      </c:pt>
                      <c:pt idx="239">
                        <c:v>-5.0288999999999998E-4</c:v>
                      </c:pt>
                      <c:pt idx="240">
                        <c:v>-4.7661999999999997E-4</c:v>
                      </c:pt>
                      <c:pt idx="241">
                        <c:v>-4.4931000000000002E-4</c:v>
                      </c:pt>
                      <c:pt idx="242">
                        <c:v>-4.2101999999999998E-4</c:v>
                      </c:pt>
                      <c:pt idx="243">
                        <c:v>-3.9177999999999999E-4</c:v>
                      </c:pt>
                      <c:pt idx="244">
                        <c:v>-3.6163999999999999E-4</c:v>
                      </c:pt>
                      <c:pt idx="245">
                        <c:v>-3.3062E-4</c:v>
                      </c:pt>
                      <c:pt idx="246">
                        <c:v>-2.9877000000000001E-4</c:v>
                      </c:pt>
                      <c:pt idx="247">
                        <c:v>-2.6610000000000002E-4</c:v>
                      </c:pt>
                      <c:pt idx="248">
                        <c:v>-2.3264E-4</c:v>
                      </c:pt>
                      <c:pt idx="249">
                        <c:v>-1.9840999999999999E-4</c:v>
                      </c:pt>
                      <c:pt idx="250">
                        <c:v>-1.6343E-4</c:v>
                      </c:pt>
                      <c:pt idx="251">
                        <c:v>-1.2769999999999999E-4</c:v>
                      </c:pt>
                      <c:pt idx="252">
                        <c:v>-9.1240000000000001E-5</c:v>
                      </c:pt>
                      <c:pt idx="253">
                        <c:v>-5.4082999999999997E-5</c:v>
                      </c:pt>
                      <c:pt idx="254">
                        <c:v>-1.626E-5</c:v>
                      </c:pt>
                      <c:pt idx="255">
                        <c:v>2.2184E-5</c:v>
                      </c:pt>
                      <c:pt idx="256">
                        <c:v>6.1191000000000004E-5</c:v>
                      </c:pt>
                      <c:pt idx="257">
                        <c:v>1.0069E-4</c:v>
                      </c:pt>
                      <c:pt idx="258">
                        <c:v>1.4061E-4</c:v>
                      </c:pt>
                      <c:pt idx="259">
                        <c:v>1.8084000000000001E-4</c:v>
                      </c:pt>
                      <c:pt idx="260">
                        <c:v>2.2131000000000001E-4</c:v>
                      </c:pt>
                      <c:pt idx="261">
                        <c:v>2.6188999999999997E-4</c:v>
                      </c:pt>
                      <c:pt idx="262">
                        <c:v>3.0248999999999999E-4</c:v>
                      </c:pt>
                      <c:pt idx="263">
                        <c:v>3.4299999999999999E-4</c:v>
                      </c:pt>
                      <c:pt idx="264">
                        <c:v>3.8329E-4</c:v>
                      </c:pt>
                      <c:pt idx="265">
                        <c:v>4.2325000000000002E-4</c:v>
                      </c:pt>
                      <c:pt idx="266">
                        <c:v>4.6275E-4</c:v>
                      </c:pt>
                      <c:pt idx="267">
                        <c:v>5.0166999999999996E-4</c:v>
                      </c:pt>
                      <c:pt idx="268">
                        <c:v>5.3989000000000001E-4</c:v>
                      </c:pt>
                      <c:pt idx="269">
                        <c:v>5.7726999999999995E-4</c:v>
                      </c:pt>
                      <c:pt idx="270">
                        <c:v>6.1368000000000002E-4</c:v>
                      </c:pt>
                      <c:pt idx="271">
                        <c:v>6.4899000000000001E-4</c:v>
                      </c:pt>
                      <c:pt idx="272">
                        <c:v>6.8303999999999999E-4</c:v>
                      </c:pt>
                      <c:pt idx="273">
                        <c:v>7.1571000000000004E-4</c:v>
                      </c:pt>
                      <c:pt idx="274">
                        <c:v>7.4682999999999998E-4</c:v>
                      </c:pt>
                      <c:pt idx="275">
                        <c:v>7.7625999999999997E-4</c:v>
                      </c:pt>
                      <c:pt idx="276">
                        <c:v>8.0385000000000005E-4</c:v>
                      </c:pt>
                      <c:pt idx="277">
                        <c:v>8.2941000000000004E-4</c:v>
                      </c:pt>
                      <c:pt idx="278">
                        <c:v>8.5280000000000002E-4</c:v>
                      </c:pt>
                      <c:pt idx="279">
                        <c:v>8.7383000000000003E-4</c:v>
                      </c:pt>
                      <c:pt idx="280">
                        <c:v>8.9232000000000005E-4</c:v>
                      </c:pt>
                      <c:pt idx="281">
                        <c:v>9.0808999999999996E-4</c:v>
                      </c:pt>
                      <c:pt idx="282">
                        <c:v>9.2095000000000002E-4</c:v>
                      </c:pt>
                      <c:pt idx="283">
                        <c:v>9.3072999999999995E-4</c:v>
                      </c:pt>
                      <c:pt idx="284">
                        <c:v>9.3725000000000004E-4</c:v>
                      </c:pt>
                      <c:pt idx="285">
                        <c:v>9.4034999999999995E-4</c:v>
                      </c:pt>
                      <c:pt idx="286">
                        <c:v>9.3990000000000002E-4</c:v>
                      </c:pt>
                      <c:pt idx="287">
                        <c:v>9.3574999999999995E-4</c:v>
                      </c:pt>
                      <c:pt idx="288">
                        <c:v>9.2781999999999999E-4</c:v>
                      </c:pt>
                      <c:pt idx="289">
                        <c:v>9.1600999999999998E-4</c:v>
                      </c:pt>
                      <c:pt idx="290">
                        <c:v>9.0025999999999995E-4</c:v>
                      </c:pt>
                      <c:pt idx="291">
                        <c:v>8.8049000000000005E-4</c:v>
                      </c:pt>
                      <c:pt idx="292">
                        <c:v>8.5667999999999996E-4</c:v>
                      </c:pt>
                      <c:pt idx="293">
                        <c:v>8.2879000000000004E-4</c:v>
                      </c:pt>
                      <c:pt idx="294">
                        <c:v>7.9679000000000002E-4</c:v>
                      </c:pt>
                      <c:pt idx="295">
                        <c:v>7.6066000000000003E-4</c:v>
                      </c:pt>
                      <c:pt idx="296">
                        <c:v>7.2041E-4</c:v>
                      </c:pt>
                      <c:pt idx="297">
                        <c:v>6.7604000000000004E-4</c:v>
                      </c:pt>
                      <c:pt idx="298">
                        <c:v>6.2754E-4</c:v>
                      </c:pt>
                      <c:pt idx="299">
                        <c:v>5.7494999999999996E-4</c:v>
                      </c:pt>
                      <c:pt idx="300">
                        <c:v>5.1827999999999998E-4</c:v>
                      </c:pt>
                      <c:pt idx="301">
                        <c:v>4.5757000000000003E-4</c:v>
                      </c:pt>
                      <c:pt idx="302">
                        <c:v>3.9284999999999998E-4</c:v>
                      </c:pt>
                      <c:pt idx="303">
                        <c:v>3.2419000000000003E-4</c:v>
                      </c:pt>
                      <c:pt idx="304">
                        <c:v>2.5164000000000002E-4</c:v>
                      </c:pt>
                      <c:pt idx="305">
                        <c:v>1.7527999999999999E-4</c:v>
                      </c:pt>
                      <c:pt idx="306">
                        <c:v>9.5174999999999996E-5</c:v>
                      </c:pt>
                      <c:pt idx="307">
                        <c:v>1.1433999999999999E-5</c:v>
                      </c:pt>
                      <c:pt idx="308">
                        <c:v>-7.5840999999999994E-5</c:v>
                      </c:pt>
                      <c:pt idx="309">
                        <c:v>-1.6652999999999999E-4</c:v>
                      </c:pt>
                      <c:pt idx="310">
                        <c:v>-2.6050999999999998E-4</c:v>
                      </c:pt>
                      <c:pt idx="311">
                        <c:v>-3.5763E-4</c:v>
                      </c:pt>
                      <c:pt idx="312">
                        <c:v>-4.5774999999999999E-4</c:v>
                      </c:pt>
                      <c:pt idx="313">
                        <c:v>-5.6072000000000001E-4</c:v>
                      </c:pt>
                      <c:pt idx="314">
                        <c:v>-6.6635999999999996E-4</c:v>
                      </c:pt>
                      <c:pt idx="315">
                        <c:v>-7.7450999999999996E-4</c:v>
                      </c:pt>
                      <c:pt idx="316">
                        <c:v>-8.8499E-4</c:v>
                      </c:pt>
                      <c:pt idx="317">
                        <c:v>-9.9762000000000006E-4</c:v>
                      </c:pt>
                      <c:pt idx="318">
                        <c:v>-1.1122E-3</c:v>
                      </c:pt>
                      <c:pt idx="319">
                        <c:v>-1.2286E-3</c:v>
                      </c:pt>
                      <c:pt idx="320">
                        <c:v>-1.3465E-3</c:v>
                      </c:pt>
                      <c:pt idx="321">
                        <c:v>-1.4658E-3</c:v>
                      </c:pt>
                      <c:pt idx="322">
                        <c:v>-1.5862999999999999E-3</c:v>
                      </c:pt>
                      <c:pt idx="323">
                        <c:v>-1.7078E-3</c:v>
                      </c:pt>
                      <c:pt idx="324">
                        <c:v>-1.83E-3</c:v>
                      </c:pt>
                      <c:pt idx="325">
                        <c:v>-1.9528E-3</c:v>
                      </c:pt>
                      <c:pt idx="326">
                        <c:v>-2.0758999999999999E-3</c:v>
                      </c:pt>
                      <c:pt idx="327">
                        <c:v>-2.1990999999999998E-3</c:v>
                      </c:pt>
                      <c:pt idx="328">
                        <c:v>-2.3222999999999998E-3</c:v>
                      </c:pt>
                      <c:pt idx="329">
                        <c:v>-2.4453000000000001E-3</c:v>
                      </c:pt>
                      <c:pt idx="330">
                        <c:v>-2.5679000000000001E-3</c:v>
                      </c:pt>
                      <c:pt idx="331">
                        <c:v>-2.6898E-3</c:v>
                      </c:pt>
                      <c:pt idx="332">
                        <c:v>-2.8110000000000001E-3</c:v>
                      </c:pt>
                      <c:pt idx="333">
                        <c:v>-2.9312000000000001E-3</c:v>
                      </c:pt>
                      <c:pt idx="334">
                        <c:v>-3.0504E-3</c:v>
                      </c:pt>
                      <c:pt idx="335">
                        <c:v>-3.1683000000000002E-3</c:v>
                      </c:pt>
                      <c:pt idx="336">
                        <c:v>-3.2848999999999999E-3</c:v>
                      </c:pt>
                      <c:pt idx="337">
                        <c:v>-3.3999999999999998E-3</c:v>
                      </c:pt>
                      <c:pt idx="338">
                        <c:v>-3.5135000000000001E-3</c:v>
                      </c:pt>
                      <c:pt idx="339">
                        <c:v>-3.6254E-3</c:v>
                      </c:pt>
                      <c:pt idx="340">
                        <c:v>-3.7355000000000001E-3</c:v>
                      </c:pt>
                      <c:pt idx="341">
                        <c:v>-3.8438000000000001E-3</c:v>
                      </c:pt>
                      <c:pt idx="342">
                        <c:v>-3.9500999999999998E-3</c:v>
                      </c:pt>
                      <c:pt idx="343">
                        <c:v>-4.0544999999999999E-3</c:v>
                      </c:pt>
                      <c:pt idx="344">
                        <c:v>-4.1568999999999998E-3</c:v>
                      </c:pt>
                      <c:pt idx="345">
                        <c:v>-4.2570999999999998E-3</c:v>
                      </c:pt>
                      <c:pt idx="346">
                        <c:v>-4.3553000000000003E-3</c:v>
                      </c:pt>
                      <c:pt idx="347">
                        <c:v>-4.4513E-3</c:v>
                      </c:pt>
                      <c:pt idx="348">
                        <c:v>-4.5450999999999998E-3</c:v>
                      </c:pt>
                      <c:pt idx="349">
                        <c:v>-4.6366999999999997E-3</c:v>
                      </c:pt>
                      <c:pt idx="350">
                        <c:v>-4.7260999999999996E-3</c:v>
                      </c:pt>
                      <c:pt idx="351">
                        <c:v>-4.8132000000000001E-3</c:v>
                      </c:pt>
                      <c:pt idx="352">
                        <c:v>-4.8979999999999996E-3</c:v>
                      </c:pt>
                      <c:pt idx="353">
                        <c:v>-4.9804999999999997E-3</c:v>
                      </c:pt>
                      <c:pt idx="354">
                        <c:v>-5.0606999999999996E-3</c:v>
                      </c:pt>
                      <c:pt idx="355">
                        <c:v>-5.1384999999999998E-3</c:v>
                      </c:pt>
                      <c:pt idx="356">
                        <c:v>-5.2141000000000002E-3</c:v>
                      </c:pt>
                      <c:pt idx="357">
                        <c:v>-5.2873E-3</c:v>
                      </c:pt>
                      <c:pt idx="358">
                        <c:v>-5.3581000000000002E-3</c:v>
                      </c:pt>
                      <c:pt idx="359">
                        <c:v>-5.4264999999999999E-3</c:v>
                      </c:pt>
                      <c:pt idx="360">
                        <c:v>-5.4926000000000003E-3</c:v>
                      </c:pt>
                      <c:pt idx="361">
                        <c:v>-5.5563000000000001E-3</c:v>
                      </c:pt>
                      <c:pt idx="362">
                        <c:v>-5.6176999999999998E-3</c:v>
                      </c:pt>
                      <c:pt idx="363">
                        <c:v>-5.6766000000000004E-3</c:v>
                      </c:pt>
                      <c:pt idx="364">
                        <c:v>-5.7330999999999997E-3</c:v>
                      </c:pt>
                      <c:pt idx="365">
                        <c:v>-5.7873000000000004E-3</c:v>
                      </c:pt>
                      <c:pt idx="366">
                        <c:v>-5.8390999999999998E-3</c:v>
                      </c:pt>
                      <c:pt idx="367">
                        <c:v>-5.8884999999999996E-3</c:v>
                      </c:pt>
                      <c:pt idx="368">
                        <c:v>-5.9354000000000004E-3</c:v>
                      </c:pt>
                      <c:pt idx="369">
                        <c:v>-5.9800000000000001E-3</c:v>
                      </c:pt>
                      <c:pt idx="370">
                        <c:v>-6.0223000000000004E-3</c:v>
                      </c:pt>
                      <c:pt idx="371">
                        <c:v>-6.0621E-3</c:v>
                      </c:pt>
                      <c:pt idx="372">
                        <c:v>-6.0996000000000002E-3</c:v>
                      </c:pt>
                      <c:pt idx="373">
                        <c:v>-6.1345999999999996E-3</c:v>
                      </c:pt>
                      <c:pt idx="374">
                        <c:v>-6.1674E-3</c:v>
                      </c:pt>
                      <c:pt idx="375">
                        <c:v>-6.1977000000000004E-3</c:v>
                      </c:pt>
                      <c:pt idx="376">
                        <c:v>-6.2256999999999998E-3</c:v>
                      </c:pt>
                      <c:pt idx="377">
                        <c:v>-6.2513999999999998E-3</c:v>
                      </c:pt>
                      <c:pt idx="378">
                        <c:v>-6.2747000000000002E-3</c:v>
                      </c:pt>
                      <c:pt idx="379">
                        <c:v>-6.2956000000000002E-3</c:v>
                      </c:pt>
                      <c:pt idx="380">
                        <c:v>-6.3143000000000001E-3</c:v>
                      </c:pt>
                      <c:pt idx="381">
                        <c:v>-6.3305999999999996E-3</c:v>
                      </c:pt>
                      <c:pt idx="382">
                        <c:v>-6.3445000000000003E-3</c:v>
                      </c:pt>
                      <c:pt idx="383">
                        <c:v>-6.3562000000000002E-3</c:v>
                      </c:pt>
                      <c:pt idx="384">
                        <c:v>-6.3655999999999999E-3</c:v>
                      </c:pt>
                      <c:pt idx="385">
                        <c:v>-6.3726E-3</c:v>
                      </c:pt>
                      <c:pt idx="386">
                        <c:v>-6.3772999999999998E-3</c:v>
                      </c:pt>
                      <c:pt idx="387">
                        <c:v>-6.3797999999999997E-3</c:v>
                      </c:pt>
                      <c:pt idx="388">
                        <c:v>-6.3799E-3</c:v>
                      </c:pt>
                      <c:pt idx="389">
                        <c:v>-6.3778000000000003E-3</c:v>
                      </c:pt>
                      <c:pt idx="390">
                        <c:v>-6.3733000000000001E-3</c:v>
                      </c:pt>
                      <c:pt idx="391">
                        <c:v>-6.3666E-3</c:v>
                      </c:pt>
                      <c:pt idx="392">
                        <c:v>-6.3575999999999997E-3</c:v>
                      </c:pt>
                      <c:pt idx="393">
                        <c:v>-6.3463E-3</c:v>
                      </c:pt>
                      <c:pt idx="394">
                        <c:v>-6.3328000000000004E-3</c:v>
                      </c:pt>
                      <c:pt idx="395">
                        <c:v>-6.3169000000000003E-3</c:v>
                      </c:pt>
                      <c:pt idx="396">
                        <c:v>-6.2988000000000002E-3</c:v>
                      </c:pt>
                      <c:pt idx="397">
                        <c:v>-6.2784E-3</c:v>
                      </c:pt>
                      <c:pt idx="398">
                        <c:v>-6.2557999999999997E-3</c:v>
                      </c:pt>
                      <c:pt idx="399">
                        <c:v>-6.2307999999999999E-3</c:v>
                      </c:pt>
                      <c:pt idx="400">
                        <c:v>-6.2036000000000001E-3</c:v>
                      </c:pt>
                      <c:pt idx="401">
                        <c:v>-6.1741000000000001E-3</c:v>
                      </c:pt>
                      <c:pt idx="402">
                        <c:v>-6.1424000000000001E-3</c:v>
                      </c:pt>
                      <c:pt idx="403">
                        <c:v>-6.1082999999999997E-3</c:v>
                      </c:pt>
                      <c:pt idx="404">
                        <c:v>-6.0720000000000001E-3</c:v>
                      </c:pt>
                      <c:pt idx="405">
                        <c:v>-6.0334000000000004E-3</c:v>
                      </c:pt>
                      <c:pt idx="406">
                        <c:v>-5.9925999999999998E-3</c:v>
                      </c:pt>
                      <c:pt idx="407">
                        <c:v>-5.9493999999999997E-3</c:v>
                      </c:pt>
                      <c:pt idx="408">
                        <c:v>-5.9040000000000004E-3</c:v>
                      </c:pt>
                      <c:pt idx="409">
                        <c:v>-5.8563E-3</c:v>
                      </c:pt>
                      <c:pt idx="410">
                        <c:v>-5.8063000000000003E-3</c:v>
                      </c:pt>
                      <c:pt idx="411">
                        <c:v>-5.7540999999999998E-3</c:v>
                      </c:pt>
                      <c:pt idx="412">
                        <c:v>-5.6994999999999997E-3</c:v>
                      </c:pt>
                      <c:pt idx="413">
                        <c:v>-5.6426999999999996E-3</c:v>
                      </c:pt>
                      <c:pt idx="414">
                        <c:v>-5.5836000000000002E-3</c:v>
                      </c:pt>
                      <c:pt idx="415">
                        <c:v>-5.5221999999999997E-3</c:v>
                      </c:pt>
                      <c:pt idx="416">
                        <c:v>-5.4584999999999998E-3</c:v>
                      </c:pt>
                      <c:pt idx="417">
                        <c:v>-5.3924999999999997E-3</c:v>
                      </c:pt>
                      <c:pt idx="418">
                        <c:v>-5.3242999999999997E-3</c:v>
                      </c:pt>
                      <c:pt idx="419">
                        <c:v>-5.2537E-3</c:v>
                      </c:pt>
                      <c:pt idx="420">
                        <c:v>-5.1808999999999996E-3</c:v>
                      </c:pt>
                      <c:pt idx="421">
                        <c:v>-5.1057999999999997E-3</c:v>
                      </c:pt>
                      <c:pt idx="422">
                        <c:v>-5.0285E-3</c:v>
                      </c:pt>
                      <c:pt idx="423">
                        <c:v>-4.9489E-3</c:v>
                      </c:pt>
                      <c:pt idx="424">
                        <c:v>-4.8669999999999998E-3</c:v>
                      </c:pt>
                      <c:pt idx="425">
                        <c:v>-4.7828000000000002E-3</c:v>
                      </c:pt>
                      <c:pt idx="426">
                        <c:v>-4.6963999999999999E-3</c:v>
                      </c:pt>
                      <c:pt idx="427">
                        <c:v>-4.6077000000000002E-3</c:v>
                      </c:pt>
                      <c:pt idx="428">
                        <c:v>-4.5167999999999996E-3</c:v>
                      </c:pt>
                      <c:pt idx="429">
                        <c:v>-4.4237E-3</c:v>
                      </c:pt>
                      <c:pt idx="430">
                        <c:v>-4.3283000000000002E-3</c:v>
                      </c:pt>
                      <c:pt idx="431">
                        <c:v>-4.2307000000000004E-3</c:v>
                      </c:pt>
                      <c:pt idx="432">
                        <c:v>-4.1308999999999998E-3</c:v>
                      </c:pt>
                      <c:pt idx="433">
                        <c:v>-4.0289999999999996E-3</c:v>
                      </c:pt>
                      <c:pt idx="434">
                        <c:v>-3.9249000000000003E-3</c:v>
                      </c:pt>
                      <c:pt idx="435">
                        <c:v>-3.8186000000000001E-3</c:v>
                      </c:pt>
                      <c:pt idx="436">
                        <c:v>-3.7101999999999999E-3</c:v>
                      </c:pt>
                      <c:pt idx="437">
                        <c:v>-3.5996000000000001E-3</c:v>
                      </c:pt>
                      <c:pt idx="438">
                        <c:v>-3.4870000000000001E-3</c:v>
                      </c:pt>
                      <c:pt idx="439">
                        <c:v>-3.3723E-3</c:v>
                      </c:pt>
                      <c:pt idx="440">
                        <c:v>-3.2555000000000001E-3</c:v>
                      </c:pt>
                      <c:pt idx="441">
                        <c:v>-3.1367000000000001E-3</c:v>
                      </c:pt>
                      <c:pt idx="442">
                        <c:v>-3.0157999999999999E-3</c:v>
                      </c:pt>
                      <c:pt idx="443">
                        <c:v>-2.8930000000000002E-3</c:v>
                      </c:pt>
                      <c:pt idx="444">
                        <c:v>-2.7680999999999999E-3</c:v>
                      </c:pt>
                      <c:pt idx="445">
                        <c:v>-2.6413000000000001E-3</c:v>
                      </c:pt>
                      <c:pt idx="446">
                        <c:v>-2.5125999999999998E-3</c:v>
                      </c:pt>
                      <c:pt idx="447">
                        <c:v>-2.3819000000000002E-3</c:v>
                      </c:pt>
                      <c:pt idx="448">
                        <c:v>-2.2493999999999999E-3</c:v>
                      </c:pt>
                      <c:pt idx="449">
                        <c:v>-2.1150000000000001E-3</c:v>
                      </c:pt>
                      <c:pt idx="450">
                        <c:v>-1.9788000000000002E-3</c:v>
                      </c:pt>
                      <c:pt idx="451">
                        <c:v>-1.8407E-3</c:v>
                      </c:pt>
                      <c:pt idx="452">
                        <c:v>-1.7009E-3</c:v>
                      </c:pt>
                      <c:pt idx="453">
                        <c:v>-1.5593E-3</c:v>
                      </c:pt>
                      <c:pt idx="454">
                        <c:v>-1.4159999999999999E-3</c:v>
                      </c:pt>
                      <c:pt idx="455">
                        <c:v>-1.271E-3</c:v>
                      </c:pt>
                      <c:pt idx="456">
                        <c:v>-1.1244E-3</c:v>
                      </c:pt>
                      <c:pt idx="457">
                        <c:v>-9.7614000000000002E-4</c:v>
                      </c:pt>
                      <c:pt idx="458">
                        <c:v>-8.2629999999999997E-4</c:v>
                      </c:pt>
                      <c:pt idx="459">
                        <c:v>-6.7489999999999998E-4</c:v>
                      </c:pt>
                      <c:pt idx="460">
                        <c:v>-5.22E-4</c:v>
                      </c:pt>
                      <c:pt idx="461">
                        <c:v>-3.6764000000000002E-4</c:v>
                      </c:pt>
                      <c:pt idx="462">
                        <c:v>-2.1185E-4</c:v>
                      </c:pt>
                      <c:pt idx="463">
                        <c:v>-5.4676999999999998E-5</c:v>
                      </c:pt>
                      <c:pt idx="464">
                        <c:v>1.0382000000000001E-4</c:v>
                      </c:pt>
                      <c:pt idx="465">
                        <c:v>2.6360000000000001E-4</c:v>
                      </c:pt>
                      <c:pt idx="466">
                        <c:v>4.2460000000000002E-4</c:v>
                      </c:pt>
                      <c:pt idx="467">
                        <c:v>5.8677999999999996E-4</c:v>
                      </c:pt>
                      <c:pt idx="468">
                        <c:v>7.5007000000000003E-4</c:v>
                      </c:pt>
                      <c:pt idx="469">
                        <c:v>9.1441000000000005E-4</c:v>
                      </c:pt>
                      <c:pt idx="470">
                        <c:v>1.0797000000000001E-3</c:v>
                      </c:pt>
                      <c:pt idx="471">
                        <c:v>1.2459999999999999E-3</c:v>
                      </c:pt>
                      <c:pt idx="472">
                        <c:v>1.4131E-3</c:v>
                      </c:pt>
                      <c:pt idx="473">
                        <c:v>1.5809000000000001E-3</c:v>
                      </c:pt>
                      <c:pt idx="474">
                        <c:v>1.7495E-3</c:v>
                      </c:pt>
                      <c:pt idx="475">
                        <c:v>1.9187E-3</c:v>
                      </c:pt>
                      <c:pt idx="476">
                        <c:v>2.0883999999999998E-3</c:v>
                      </c:pt>
                      <c:pt idx="477">
                        <c:v>2.2585999999999999E-3</c:v>
                      </c:pt>
                      <c:pt idx="478">
                        <c:v>2.4291999999999998E-3</c:v>
                      </c:pt>
                      <c:pt idx="479">
                        <c:v>2.6001000000000002E-3</c:v>
                      </c:pt>
                      <c:pt idx="480">
                        <c:v>2.7710999999999999E-3</c:v>
                      </c:pt>
                      <c:pt idx="481">
                        <c:v>2.9423000000000001E-3</c:v>
                      </c:pt>
                      <c:pt idx="482">
                        <c:v>3.1134999999999999E-3</c:v>
                      </c:pt>
                      <c:pt idx="483">
                        <c:v>3.2847000000000002E-3</c:v>
                      </c:pt>
                      <c:pt idx="484">
                        <c:v>3.4556999999999999E-3</c:v>
                      </c:pt>
                      <c:pt idx="485">
                        <c:v>3.6264999999999999E-3</c:v>
                      </c:pt>
                      <c:pt idx="486">
                        <c:v>3.7969000000000002E-3</c:v>
                      </c:pt>
                      <c:pt idx="487">
                        <c:v>3.967E-3</c:v>
                      </c:pt>
                      <c:pt idx="488">
                        <c:v>4.1365999999999998E-3</c:v>
                      </c:pt>
                      <c:pt idx="489">
                        <c:v>4.3055000000000003E-3</c:v>
                      </c:pt>
                      <c:pt idx="490">
                        <c:v>4.4738E-3</c:v>
                      </c:pt>
                      <c:pt idx="491">
                        <c:v>4.6414000000000004E-3</c:v>
                      </c:pt>
                      <c:pt idx="492">
                        <c:v>4.8081E-3</c:v>
                      </c:pt>
                      <c:pt idx="493">
                        <c:v>4.9738999999999998E-3</c:v>
                      </c:pt>
                      <c:pt idx="494">
                        <c:v>5.1387000000000004E-3</c:v>
                      </c:pt>
                      <c:pt idx="495">
                        <c:v>5.3023999999999996E-3</c:v>
                      </c:pt>
                      <c:pt idx="496">
                        <c:v>5.4649E-3</c:v>
                      </c:pt>
                      <c:pt idx="497">
                        <c:v>5.6261999999999996E-3</c:v>
                      </c:pt>
                      <c:pt idx="498">
                        <c:v>5.7860999999999998E-3</c:v>
                      </c:pt>
                      <c:pt idx="499">
                        <c:v>5.9446999999999998E-3</c:v>
                      </c:pt>
                      <c:pt idx="500">
                        <c:v>6.1016999999999998E-3</c:v>
                      </c:pt>
                      <c:pt idx="501">
                        <c:v>6.2572000000000001E-3</c:v>
                      </c:pt>
                      <c:pt idx="502">
                        <c:v>6.4111000000000003E-3</c:v>
                      </c:pt>
                      <c:pt idx="503">
                        <c:v>6.5633000000000002E-3</c:v>
                      </c:pt>
                      <c:pt idx="504">
                        <c:v>6.7137000000000004E-3</c:v>
                      </c:pt>
                      <c:pt idx="505">
                        <c:v>6.8623E-3</c:v>
                      </c:pt>
                      <c:pt idx="506">
                        <c:v>7.0089999999999996E-3</c:v>
                      </c:pt>
                      <c:pt idx="507">
                        <c:v>7.1536999999999998E-3</c:v>
                      </c:pt>
                      <c:pt idx="508">
                        <c:v>7.2963999999999998E-3</c:v>
                      </c:pt>
                      <c:pt idx="509">
                        <c:v>7.4368999999999998E-3</c:v>
                      </c:pt>
                      <c:pt idx="510">
                        <c:v>7.5754000000000004E-3</c:v>
                      </c:pt>
                      <c:pt idx="511">
                        <c:v>7.7115999999999999E-3</c:v>
                      </c:pt>
                      <c:pt idx="512">
                        <c:v>7.8455E-3</c:v>
                      </c:pt>
                      <c:pt idx="513">
                        <c:v>7.9772000000000003E-3</c:v>
                      </c:pt>
                      <c:pt idx="514">
                        <c:v>8.1063999999999997E-3</c:v>
                      </c:pt>
                      <c:pt idx="515">
                        <c:v>8.2333000000000007E-3</c:v>
                      </c:pt>
                      <c:pt idx="516">
                        <c:v>8.3576999999999992E-3</c:v>
                      </c:pt>
                      <c:pt idx="517">
                        <c:v>8.4796000000000003E-3</c:v>
                      </c:pt>
                      <c:pt idx="518">
                        <c:v>8.5988999999999996E-3</c:v>
                      </c:pt>
                      <c:pt idx="519">
                        <c:v>8.7156999999999998E-3</c:v>
                      </c:pt>
                      <c:pt idx="520">
                        <c:v>8.8298000000000005E-3</c:v>
                      </c:pt>
                      <c:pt idx="521">
                        <c:v>8.9414000000000004E-3</c:v>
                      </c:pt>
                      <c:pt idx="522">
                        <c:v>9.0501999999999996E-3</c:v>
                      </c:pt>
                      <c:pt idx="523">
                        <c:v>9.1564000000000003E-3</c:v>
                      </c:pt>
                      <c:pt idx="524">
                        <c:v>9.2598999999999997E-3</c:v>
                      </c:pt>
                      <c:pt idx="525">
                        <c:v>9.3606999999999996E-3</c:v>
                      </c:pt>
                      <c:pt idx="526">
                        <c:v>9.4587000000000004E-3</c:v>
                      </c:pt>
                      <c:pt idx="527">
                        <c:v>9.554E-3</c:v>
                      </c:pt>
                      <c:pt idx="528">
                        <c:v>9.6466999999999994E-3</c:v>
                      </c:pt>
                      <c:pt idx="529">
                        <c:v>9.7365000000000004E-3</c:v>
                      </c:pt>
                      <c:pt idx="530">
                        <c:v>9.8236999999999994E-3</c:v>
                      </c:pt>
                      <c:pt idx="531">
                        <c:v>9.9082000000000007E-3</c:v>
                      </c:pt>
                      <c:pt idx="532">
                        <c:v>9.9898999999999995E-3</c:v>
                      </c:pt>
                      <c:pt idx="533">
                        <c:v>1.0069E-2</c:v>
                      </c:pt>
                      <c:pt idx="534">
                        <c:v>1.0145E-2</c:v>
                      </c:pt>
                      <c:pt idx="535">
                        <c:v>1.0219000000000001E-2</c:v>
                      </c:pt>
                      <c:pt idx="536">
                        <c:v>1.0290000000000001E-2</c:v>
                      </c:pt>
                      <c:pt idx="537">
                        <c:v>1.0357999999999999E-2</c:v>
                      </c:pt>
                      <c:pt idx="538">
                        <c:v>1.0423999999999999E-2</c:v>
                      </c:pt>
                      <c:pt idx="539">
                        <c:v>1.0487E-2</c:v>
                      </c:pt>
                      <c:pt idx="540">
                        <c:v>1.0548E-2</c:v>
                      </c:pt>
                      <c:pt idx="541">
                        <c:v>1.0606000000000001E-2</c:v>
                      </c:pt>
                      <c:pt idx="542">
                        <c:v>1.0661E-2</c:v>
                      </c:pt>
                      <c:pt idx="543">
                        <c:v>1.0714E-2</c:v>
                      </c:pt>
                      <c:pt idx="544">
                        <c:v>1.0763999999999999E-2</c:v>
                      </c:pt>
                      <c:pt idx="545">
                        <c:v>1.0812E-2</c:v>
                      </c:pt>
                      <c:pt idx="546">
                        <c:v>1.0858E-2</c:v>
                      </c:pt>
                      <c:pt idx="547">
                        <c:v>1.09E-2</c:v>
                      </c:pt>
                      <c:pt idx="548">
                        <c:v>1.0940999999999999E-2</c:v>
                      </c:pt>
                      <c:pt idx="549">
                        <c:v>1.0978999999999999E-2</c:v>
                      </c:pt>
                      <c:pt idx="550">
                        <c:v>1.1015E-2</c:v>
                      </c:pt>
                      <c:pt idx="551">
                        <c:v>1.1048000000000001E-2</c:v>
                      </c:pt>
                      <c:pt idx="552">
                        <c:v>1.1079E-2</c:v>
                      </c:pt>
                      <c:pt idx="553">
                        <c:v>1.1107000000000001E-2</c:v>
                      </c:pt>
                      <c:pt idx="554">
                        <c:v>1.1133000000000001E-2</c:v>
                      </c:pt>
                      <c:pt idx="555">
                        <c:v>1.1157E-2</c:v>
                      </c:pt>
                      <c:pt idx="556">
                        <c:v>1.1179E-2</c:v>
                      </c:pt>
                      <c:pt idx="557">
                        <c:v>1.1198E-2</c:v>
                      </c:pt>
                      <c:pt idx="558">
                        <c:v>1.1216E-2</c:v>
                      </c:pt>
                      <c:pt idx="559">
                        <c:v>1.1231E-2</c:v>
                      </c:pt>
                      <c:pt idx="560">
                        <c:v>1.1244000000000001E-2</c:v>
                      </c:pt>
                      <c:pt idx="561">
                        <c:v>1.1254E-2</c:v>
                      </c:pt>
                      <c:pt idx="562">
                        <c:v>1.1263E-2</c:v>
                      </c:pt>
                      <c:pt idx="563">
                        <c:v>1.1269E-2</c:v>
                      </c:pt>
                      <c:pt idx="564">
                        <c:v>1.1273999999999999E-2</c:v>
                      </c:pt>
                      <c:pt idx="565">
                        <c:v>1.1276E-2</c:v>
                      </c:pt>
                      <c:pt idx="566">
                        <c:v>1.1277000000000001E-2</c:v>
                      </c:pt>
                      <c:pt idx="567">
                        <c:v>1.1275E-2</c:v>
                      </c:pt>
                      <c:pt idx="568">
                        <c:v>1.1272000000000001E-2</c:v>
                      </c:pt>
                      <c:pt idx="569">
                        <c:v>1.1266999999999999E-2</c:v>
                      </c:pt>
                      <c:pt idx="570">
                        <c:v>1.1259999999999999E-2</c:v>
                      </c:pt>
                      <c:pt idx="571">
                        <c:v>1.1251000000000001E-2</c:v>
                      </c:pt>
                      <c:pt idx="572">
                        <c:v>1.124E-2</c:v>
                      </c:pt>
                      <c:pt idx="573">
                        <c:v>1.1228E-2</c:v>
                      </c:pt>
                      <c:pt idx="574">
                        <c:v>1.1214E-2</c:v>
                      </c:pt>
                      <c:pt idx="575">
                        <c:v>1.1198E-2</c:v>
                      </c:pt>
                      <c:pt idx="576">
                        <c:v>1.1181E-2</c:v>
                      </c:pt>
                      <c:pt idx="577">
                        <c:v>1.1162E-2</c:v>
                      </c:pt>
                      <c:pt idx="578">
                        <c:v>1.1142000000000001E-2</c:v>
                      </c:pt>
                      <c:pt idx="579">
                        <c:v>1.112E-2</c:v>
                      </c:pt>
                      <c:pt idx="580">
                        <c:v>1.1096999999999999E-2</c:v>
                      </c:pt>
                      <c:pt idx="581">
                        <c:v>1.1073E-2</c:v>
                      </c:pt>
                      <c:pt idx="582">
                        <c:v>1.1047E-2</c:v>
                      </c:pt>
                      <c:pt idx="583">
                        <c:v>1.1018999999999999E-2</c:v>
                      </c:pt>
                      <c:pt idx="584">
                        <c:v>1.0991000000000001E-2</c:v>
                      </c:pt>
                      <c:pt idx="585">
                        <c:v>1.0961E-2</c:v>
                      </c:pt>
                      <c:pt idx="586">
                        <c:v>1.093E-2</c:v>
                      </c:pt>
                      <c:pt idx="587">
                        <c:v>1.0898E-2</c:v>
                      </c:pt>
                      <c:pt idx="588">
                        <c:v>1.0865E-2</c:v>
                      </c:pt>
                      <c:pt idx="589">
                        <c:v>1.0831E-2</c:v>
                      </c:pt>
                      <c:pt idx="590">
                        <c:v>1.0796E-2</c:v>
                      </c:pt>
                      <c:pt idx="591">
                        <c:v>1.0758999999999999E-2</c:v>
                      </c:pt>
                      <c:pt idx="592">
                        <c:v>1.0722000000000001E-2</c:v>
                      </c:pt>
                      <c:pt idx="593">
                        <c:v>1.0684000000000001E-2</c:v>
                      </c:pt>
                      <c:pt idx="594">
                        <c:v>1.0645E-2</c:v>
                      </c:pt>
                      <c:pt idx="595">
                        <c:v>1.0605E-2</c:v>
                      </c:pt>
                      <c:pt idx="596">
                        <c:v>1.0564E-2</c:v>
                      </c:pt>
                      <c:pt idx="597">
                        <c:v>1.0522999999999999E-2</c:v>
                      </c:pt>
                      <c:pt idx="598">
                        <c:v>1.0481000000000001E-2</c:v>
                      </c:pt>
                      <c:pt idx="599">
                        <c:v>1.0437999999999999E-2</c:v>
                      </c:pt>
                      <c:pt idx="600">
                        <c:v>1.0394E-2</c:v>
                      </c:pt>
                      <c:pt idx="601">
                        <c:v>1.0349000000000001E-2</c:v>
                      </c:pt>
                      <c:pt idx="602">
                        <c:v>1.0304000000000001E-2</c:v>
                      </c:pt>
                      <c:pt idx="603">
                        <c:v>1.0259000000000001E-2</c:v>
                      </c:pt>
                      <c:pt idx="604">
                        <c:v>1.0212000000000001E-2</c:v>
                      </c:pt>
                      <c:pt idx="605">
                        <c:v>1.0166E-2</c:v>
                      </c:pt>
                      <c:pt idx="606">
                        <c:v>1.0118E-2</c:v>
                      </c:pt>
                      <c:pt idx="607">
                        <c:v>1.0070000000000001E-2</c:v>
                      </c:pt>
                      <c:pt idx="608">
                        <c:v>1.0022E-2</c:v>
                      </c:pt>
                      <c:pt idx="609">
                        <c:v>9.9725999999999999E-3</c:v>
                      </c:pt>
                      <c:pt idx="610">
                        <c:v>9.9231000000000007E-3</c:v>
                      </c:pt>
                      <c:pt idx="611">
                        <c:v>9.8732000000000004E-3</c:v>
                      </c:pt>
                      <c:pt idx="612">
                        <c:v>9.8227999999999996E-3</c:v>
                      </c:pt>
                      <c:pt idx="613">
                        <c:v>9.7719999999999994E-3</c:v>
                      </c:pt>
                      <c:pt idx="614">
                        <c:v>9.7207999999999999E-3</c:v>
                      </c:pt>
                      <c:pt idx="615">
                        <c:v>9.6690999999999999E-3</c:v>
                      </c:pt>
                      <c:pt idx="616">
                        <c:v>9.6171E-3</c:v>
                      </c:pt>
                      <c:pt idx="617">
                        <c:v>9.5647000000000006E-3</c:v>
                      </c:pt>
                      <c:pt idx="618">
                        <c:v>9.5119999999999996E-3</c:v>
                      </c:pt>
                      <c:pt idx="619">
                        <c:v>9.4588999999999993E-3</c:v>
                      </c:pt>
                    </c:numCache>
                  </c:numRef>
                </c:yVal>
                <c:smooth val="1"/>
                <c:extLst xmlns:c15="http://schemas.microsoft.com/office/drawing/2012/chart">
                  <c:ext xmlns:c16="http://schemas.microsoft.com/office/drawing/2014/chart" uri="{C3380CC4-5D6E-409C-BE32-E72D297353CC}">
                    <c16:uniqueId val="{0000000A-00C6-46B2-92E3-3CDC1A8F00F7}"/>
                  </c:ext>
                </c:extLst>
              </c15:ser>
            </c15:filteredScatterSeries>
          </c:ext>
        </c:extLst>
      </c:scatterChart>
      <c:valAx>
        <c:axId val="499203744"/>
        <c:scaling>
          <c:orientation val="minMax"/>
          <c:max val="1000"/>
          <c:min val="38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9208736"/>
        <c:crosses val="autoZero"/>
        <c:crossBetween val="midCat"/>
      </c:valAx>
      <c:valAx>
        <c:axId val="49920873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9203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Typical</a:t>
            </a:r>
            <a:r>
              <a:rPr lang="en-US" baseline="0"/>
              <a:t> filter curves AS7341 based on measured results</a:t>
            </a:r>
            <a:endParaRPr lang="en-US"/>
          </a:p>
        </c:rich>
      </c:tx>
      <c:layout>
        <c:manualLayout>
          <c:xMode val="edge"/>
          <c:yMode val="edge"/>
          <c:x val="0.25327137158253099"/>
          <c:y val="3.34168755221386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smoothMarker"/>
        <c:varyColors val="0"/>
        <c:ser>
          <c:idx val="0"/>
          <c:order val="0"/>
          <c:tx>
            <c:strRef>
              <c:f>'Typical AS7341 filters'!$B$4</c:f>
              <c:strCache>
                <c:ptCount val="1"/>
                <c:pt idx="0">
                  <c:v>F1 - 512x</c:v>
                </c:pt>
              </c:strCache>
            </c:strRef>
          </c:tx>
          <c:spPr>
            <a:ln w="19050" cap="rnd">
              <a:solidFill>
                <a:schemeClr val="accent1"/>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filters'!$B$5:$B$405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13.88459349464593</c:v>
                </c:pt>
                <c:pt idx="49">
                  <c:v>116.80440957173187</c:v>
                </c:pt>
                <c:pt idx="50">
                  <c:v>223.50931089927838</c:v>
                </c:pt>
                <c:pt idx="51">
                  <c:v>352.56263682558023</c:v>
                </c:pt>
                <c:pt idx="52">
                  <c:v>478.01066228011103</c:v>
                </c:pt>
                <c:pt idx="53">
                  <c:v>651.72889977946784</c:v>
                </c:pt>
                <c:pt idx="54">
                  <c:v>770.02866361728172</c:v>
                </c:pt>
                <c:pt idx="55">
                  <c:v>897.9907509904059</c:v>
                </c:pt>
                <c:pt idx="56">
                  <c:v>949.5999861762474</c:v>
                </c:pt>
                <c:pt idx="57">
                  <c:v>985.37579976292955</c:v>
                </c:pt>
                <c:pt idx="58">
                  <c:v>1000.3642090058928</c:v>
                </c:pt>
                <c:pt idx="59">
                  <c:v>1007.7935753597873</c:v>
                </c:pt>
                <c:pt idx="60">
                  <c:v>989.6785312843042</c:v>
                </c:pt>
                <c:pt idx="61">
                  <c:v>942.89686066529964</c:v>
                </c:pt>
                <c:pt idx="62">
                  <c:v>878.531287038914</c:v>
                </c:pt>
                <c:pt idx="63">
                  <c:v>803.90261186243231</c:v>
                </c:pt>
                <c:pt idx="64">
                  <c:v>679.07816307196026</c:v>
                </c:pt>
                <c:pt idx="65">
                  <c:v>560.70466638930907</c:v>
                </c:pt>
                <c:pt idx="66">
                  <c:v>411.61867366950321</c:v>
                </c:pt>
                <c:pt idx="67">
                  <c:v>276.8475923256994</c:v>
                </c:pt>
                <c:pt idx="68">
                  <c:v>165.21766044541417</c:v>
                </c:pt>
                <c:pt idx="69">
                  <c:v>88.153335312259799</c:v>
                </c:pt>
                <c:pt idx="70">
                  <c:v>38.947187738654563</c:v>
                </c:pt>
                <c:pt idx="71">
                  <c:v>3.663108823064904</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7.1726117440663169</c:v>
                </c:pt>
                <c:pt idx="120">
                  <c:v>10.384481744528841</c:v>
                </c:pt>
                <c:pt idx="121">
                  <c:v>12.497261035328881</c:v>
                </c:pt>
                <c:pt idx="122">
                  <c:v>15.182591308621966</c:v>
                </c:pt>
                <c:pt idx="123">
                  <c:v>14.587890249538999</c:v>
                </c:pt>
                <c:pt idx="124">
                  <c:v>19.890259044853916</c:v>
                </c:pt>
                <c:pt idx="125">
                  <c:v>24.027116392461789</c:v>
                </c:pt>
                <c:pt idx="126">
                  <c:v>25.20514360645268</c:v>
                </c:pt>
                <c:pt idx="127">
                  <c:v>27.873639626674045</c:v>
                </c:pt>
                <c:pt idx="128">
                  <c:v>33.844375657317713</c:v>
                </c:pt>
                <c:pt idx="129">
                  <c:v>33.118266554407661</c:v>
                </c:pt>
                <c:pt idx="130">
                  <c:v>33.001417603329429</c:v>
                </c:pt>
                <c:pt idx="131">
                  <c:v>34.471768330312109</c:v>
                </c:pt>
                <c:pt idx="132">
                  <c:v>41.848198494239234</c:v>
                </c:pt>
                <c:pt idx="133">
                  <c:v>45.131152301435137</c:v>
                </c:pt>
                <c:pt idx="134">
                  <c:v>48.330375094159812</c:v>
                </c:pt>
                <c:pt idx="135">
                  <c:v>50.028378298708077</c:v>
                </c:pt>
                <c:pt idx="136">
                  <c:v>51.852984996131262</c:v>
                </c:pt>
                <c:pt idx="137">
                  <c:v>54.80322229269742</c:v>
                </c:pt>
                <c:pt idx="138">
                  <c:v>52.921276051983924</c:v>
                </c:pt>
                <c:pt idx="139">
                  <c:v>51.722343122573037</c:v>
                </c:pt>
                <c:pt idx="140">
                  <c:v>52.154737642368637</c:v>
                </c:pt>
                <c:pt idx="141">
                  <c:v>51.234487054955736</c:v>
                </c:pt>
                <c:pt idx="142">
                  <c:v>47.572179362985722</c:v>
                </c:pt>
                <c:pt idx="143">
                  <c:v>49.189518897125183</c:v>
                </c:pt>
                <c:pt idx="144">
                  <c:v>45.235971408117273</c:v>
                </c:pt>
                <c:pt idx="145">
                  <c:v>44.126759714324329</c:v>
                </c:pt>
                <c:pt idx="146">
                  <c:v>45.326704268334666</c:v>
                </c:pt>
                <c:pt idx="147">
                  <c:v>45.6060168843483</c:v>
                </c:pt>
                <c:pt idx="148">
                  <c:v>48.159492133602441</c:v>
                </c:pt>
                <c:pt idx="149">
                  <c:v>44.266975199982518</c:v>
                </c:pt>
                <c:pt idx="150">
                  <c:v>46.467157808492487</c:v>
                </c:pt>
                <c:pt idx="151">
                  <c:v>46.680154869005904</c:v>
                </c:pt>
                <c:pt idx="152">
                  <c:v>45.718249399473279</c:v>
                </c:pt>
                <c:pt idx="153">
                  <c:v>43.425660343305651</c:v>
                </c:pt>
                <c:pt idx="154">
                  <c:v>45.281208767088948</c:v>
                </c:pt>
                <c:pt idx="155">
                  <c:v>45.326079111342239</c:v>
                </c:pt>
                <c:pt idx="156">
                  <c:v>49.597466772518487</c:v>
                </c:pt>
                <c:pt idx="157">
                  <c:v>48.876942620984032</c:v>
                </c:pt>
                <c:pt idx="158">
                  <c:v>52.441952319257112</c:v>
                </c:pt>
                <c:pt idx="159">
                  <c:v>52.837473534320075</c:v>
                </c:pt>
                <c:pt idx="160">
                  <c:v>55.013619553593344</c:v>
                </c:pt>
                <c:pt idx="161">
                  <c:v>57.339675169248835</c:v>
                </c:pt>
                <c:pt idx="162">
                  <c:v>58.75561621797857</c:v>
                </c:pt>
                <c:pt idx="163">
                  <c:v>59.524330878399816</c:v>
                </c:pt>
                <c:pt idx="164">
                  <c:v>60.80149136242224</c:v>
                </c:pt>
                <c:pt idx="165">
                  <c:v>64.371414435106004</c:v>
                </c:pt>
                <c:pt idx="166">
                  <c:v>67.338637509701471</c:v>
                </c:pt>
                <c:pt idx="167">
                  <c:v>69.390897650805684</c:v>
                </c:pt>
                <c:pt idx="168">
                  <c:v>71.397072448472414</c:v>
                </c:pt>
                <c:pt idx="169">
                  <c:v>73.344321227189354</c:v>
                </c:pt>
                <c:pt idx="170">
                  <c:v>76.186873636068256</c:v>
                </c:pt>
                <c:pt idx="171">
                  <c:v>77.796670945112098</c:v>
                </c:pt>
                <c:pt idx="172">
                  <c:v>79.121207496537252</c:v>
                </c:pt>
                <c:pt idx="173">
                  <c:v>78.330615321277719</c:v>
                </c:pt>
                <c:pt idx="174">
                  <c:v>76.203360730102943</c:v>
                </c:pt>
                <c:pt idx="175">
                  <c:v>74.842575209957261</c:v>
                </c:pt>
                <c:pt idx="176">
                  <c:v>75.834364353626071</c:v>
                </c:pt>
                <c:pt idx="177">
                  <c:v>76.114415250382535</c:v>
                </c:pt>
                <c:pt idx="178">
                  <c:v>73.376394537157239</c:v>
                </c:pt>
                <c:pt idx="179">
                  <c:v>73.496602937666054</c:v>
                </c:pt>
                <c:pt idx="180">
                  <c:v>72.403984025931408</c:v>
                </c:pt>
                <c:pt idx="181">
                  <c:v>74.040769548094445</c:v>
                </c:pt>
                <c:pt idx="182">
                  <c:v>76.127762869671272</c:v>
                </c:pt>
                <c:pt idx="183">
                  <c:v>78.584912926376376</c:v>
                </c:pt>
                <c:pt idx="184">
                  <c:v>80.804151459600604</c:v>
                </c:pt>
                <c:pt idx="185">
                  <c:v>82.37533033307578</c:v>
                </c:pt>
                <c:pt idx="186">
                  <c:v>84.594632574860981</c:v>
                </c:pt>
                <c:pt idx="187">
                  <c:v>87.580066401071051</c:v>
                </c:pt>
                <c:pt idx="188">
                  <c:v>90.946819343536561</c:v>
                </c:pt>
                <c:pt idx="189">
                  <c:v>93.851967219691346</c:v>
                </c:pt>
                <c:pt idx="190">
                  <c:v>95.602608505809158</c:v>
                </c:pt>
                <c:pt idx="191">
                  <c:v>94.878882101947511</c:v>
                </c:pt>
                <c:pt idx="192">
                  <c:v>93.848567782399385</c:v>
                </c:pt>
                <c:pt idx="193">
                  <c:v>94.215323149984783</c:v>
                </c:pt>
                <c:pt idx="194">
                  <c:v>93.830718977820609</c:v>
                </c:pt>
                <c:pt idx="195">
                  <c:v>94.580550541175285</c:v>
                </c:pt>
                <c:pt idx="196">
                  <c:v>92.394263819859546</c:v>
                </c:pt>
                <c:pt idx="197">
                  <c:v>86.947634041154458</c:v>
                </c:pt>
                <c:pt idx="198">
                  <c:v>83.234659381634259</c:v>
                </c:pt>
                <c:pt idx="199">
                  <c:v>80.098902040178942</c:v>
                </c:pt>
                <c:pt idx="200">
                  <c:v>78.845337087479891</c:v>
                </c:pt>
                <c:pt idx="201">
                  <c:v>76.735957083701649</c:v>
                </c:pt>
                <c:pt idx="202">
                  <c:v>75.918507618710038</c:v>
                </c:pt>
                <c:pt idx="203">
                  <c:v>74.954703025245934</c:v>
                </c:pt>
                <c:pt idx="204">
                  <c:v>73.287030163943555</c:v>
                </c:pt>
                <c:pt idx="205">
                  <c:v>72.360885599260115</c:v>
                </c:pt>
                <c:pt idx="206">
                  <c:v>72.909359068862145</c:v>
                </c:pt>
                <c:pt idx="207">
                  <c:v>74.191941816988688</c:v>
                </c:pt>
                <c:pt idx="208">
                  <c:v>77.990751141568211</c:v>
                </c:pt>
                <c:pt idx="209">
                  <c:v>81.28834376947529</c:v>
                </c:pt>
                <c:pt idx="210">
                  <c:v>85.468838102887077</c:v>
                </c:pt>
                <c:pt idx="211">
                  <c:v>88.049289288145729</c:v>
                </c:pt>
                <c:pt idx="212">
                  <c:v>91.042040745950459</c:v>
                </c:pt>
                <c:pt idx="213">
                  <c:v>94.056793054361933</c:v>
                </c:pt>
                <c:pt idx="214">
                  <c:v>96.576296147338667</c:v>
                </c:pt>
                <c:pt idx="215">
                  <c:v>100.86954067317471</c:v>
                </c:pt>
                <c:pt idx="216">
                  <c:v>105.40442442512777</c:v>
                </c:pt>
                <c:pt idx="217">
                  <c:v>109.62680742806378</c:v>
                </c:pt>
                <c:pt idx="218">
                  <c:v>114.25631558651943</c:v>
                </c:pt>
                <c:pt idx="219">
                  <c:v>115.74242260336473</c:v>
                </c:pt>
                <c:pt idx="220">
                  <c:v>118.69488245875955</c:v>
                </c:pt>
                <c:pt idx="221">
                  <c:v>121.51170258864676</c:v>
                </c:pt>
                <c:pt idx="222">
                  <c:v>125.29411591126187</c:v>
                </c:pt>
                <c:pt idx="223">
                  <c:v>129.50832684202561</c:v>
                </c:pt>
                <c:pt idx="224">
                  <c:v>132.5328493432402</c:v>
                </c:pt>
                <c:pt idx="225">
                  <c:v>134.8941424626843</c:v>
                </c:pt>
                <c:pt idx="226">
                  <c:v>134.93103871905117</c:v>
                </c:pt>
                <c:pt idx="227">
                  <c:v>132.44466967669251</c:v>
                </c:pt>
                <c:pt idx="228">
                  <c:v>126.66580517063875</c:v>
                </c:pt>
                <c:pt idx="229">
                  <c:v>118.17256941142621</c:v>
                </c:pt>
                <c:pt idx="230">
                  <c:v>113.42713718626727</c:v>
                </c:pt>
                <c:pt idx="231">
                  <c:v>112.0716560079469</c:v>
                </c:pt>
                <c:pt idx="232">
                  <c:v>115.38500398939581</c:v>
                </c:pt>
                <c:pt idx="233">
                  <c:v>117.62481926493682</c:v>
                </c:pt>
                <c:pt idx="234">
                  <c:v>121.38208864903112</c:v>
                </c:pt>
                <c:pt idx="235">
                  <c:v>125.91864346865829</c:v>
                </c:pt>
                <c:pt idx="236">
                  <c:v>130.88857209517576</c:v>
                </c:pt>
                <c:pt idx="237">
                  <c:v>135.40546810016383</c:v>
                </c:pt>
                <c:pt idx="238">
                  <c:v>138.71080653871689</c:v>
                </c:pt>
                <c:pt idx="239">
                  <c:v>139.33257838289143</c:v>
                </c:pt>
                <c:pt idx="240">
                  <c:v>139.39537880291775</c:v>
                </c:pt>
                <c:pt idx="241">
                  <c:v>140.31652176908253</c:v>
                </c:pt>
                <c:pt idx="242">
                  <c:v>142.92812213495549</c:v>
                </c:pt>
                <c:pt idx="243">
                  <c:v>146.78740143185516</c:v>
                </c:pt>
                <c:pt idx="244">
                  <c:v>147.50149719832086</c:v>
                </c:pt>
                <c:pt idx="245">
                  <c:v>148.02706942893474</c:v>
                </c:pt>
                <c:pt idx="246">
                  <c:v>144.06532388556155</c:v>
                </c:pt>
                <c:pt idx="247">
                  <c:v>133.63525317018153</c:v>
                </c:pt>
                <c:pt idx="248">
                  <c:v>117.85329926833037</c:v>
                </c:pt>
                <c:pt idx="249">
                  <c:v>103.09165857682231</c:v>
                </c:pt>
                <c:pt idx="250">
                  <c:v>96.963045981527955</c:v>
                </c:pt>
                <c:pt idx="251">
                  <c:v>94.152877233305844</c:v>
                </c:pt>
                <c:pt idx="252">
                  <c:v>94.876223017845788</c:v>
                </c:pt>
                <c:pt idx="253">
                  <c:v>95.145117774966323</c:v>
                </c:pt>
                <c:pt idx="254">
                  <c:v>96.442671995918658</c:v>
                </c:pt>
                <c:pt idx="255">
                  <c:v>98.788821417220817</c:v>
                </c:pt>
                <c:pt idx="256">
                  <c:v>98.924729757577154</c:v>
                </c:pt>
                <c:pt idx="257">
                  <c:v>100.0788972322063</c:v>
                </c:pt>
                <c:pt idx="258">
                  <c:v>100.0768289709487</c:v>
                </c:pt>
                <c:pt idx="259">
                  <c:v>98.244376545127068</c:v>
                </c:pt>
                <c:pt idx="260">
                  <c:v>98.25950994820991</c:v>
                </c:pt>
                <c:pt idx="261">
                  <c:v>100.39945283037204</c:v>
                </c:pt>
                <c:pt idx="262">
                  <c:v>101.55400670177099</c:v>
                </c:pt>
                <c:pt idx="263">
                  <c:v>102.38288404066721</c:v>
                </c:pt>
                <c:pt idx="264">
                  <c:v>104.84572707533067</c:v>
                </c:pt>
                <c:pt idx="265">
                  <c:v>105.24135191531197</c:v>
                </c:pt>
                <c:pt idx="266">
                  <c:v>107.44557096399893</c:v>
                </c:pt>
                <c:pt idx="267">
                  <c:v>108.03738038521692</c:v>
                </c:pt>
                <c:pt idx="268">
                  <c:v>107.20828932686376</c:v>
                </c:pt>
                <c:pt idx="269">
                  <c:v>107.77054349718998</c:v>
                </c:pt>
                <c:pt idx="270">
                  <c:v>105.05768155621713</c:v>
                </c:pt>
                <c:pt idx="271">
                  <c:v>103.51225180742817</c:v>
                </c:pt>
                <c:pt idx="272">
                  <c:v>100.66675052600885</c:v>
                </c:pt>
                <c:pt idx="273">
                  <c:v>99.815711629103589</c:v>
                </c:pt>
                <c:pt idx="274">
                  <c:v>99.658544558892189</c:v>
                </c:pt>
                <c:pt idx="275">
                  <c:v>100.24393243737643</c:v>
                </c:pt>
                <c:pt idx="276">
                  <c:v>100.27153570644245</c:v>
                </c:pt>
                <c:pt idx="277">
                  <c:v>100.3277049812573</c:v>
                </c:pt>
                <c:pt idx="278">
                  <c:v>100.65822709103679</c:v>
                </c:pt>
                <c:pt idx="279">
                  <c:v>99.473266447305889</c:v>
                </c:pt>
                <c:pt idx="280">
                  <c:v>97.458969110857538</c:v>
                </c:pt>
                <c:pt idx="281">
                  <c:v>91.458756480321171</c:v>
                </c:pt>
                <c:pt idx="282">
                  <c:v>85.725584829925211</c:v>
                </c:pt>
                <c:pt idx="283">
                  <c:v>79.806835502879522</c:v>
                </c:pt>
                <c:pt idx="284">
                  <c:v>76.932361935926451</c:v>
                </c:pt>
                <c:pt idx="285">
                  <c:v>75.571337280267116</c:v>
                </c:pt>
                <c:pt idx="286">
                  <c:v>74.66154390081185</c:v>
                </c:pt>
                <c:pt idx="287">
                  <c:v>74.101841412521324</c:v>
                </c:pt>
                <c:pt idx="288">
                  <c:v>73.0520561785426</c:v>
                </c:pt>
                <c:pt idx="289">
                  <c:v>71.732144304936043</c:v>
                </c:pt>
                <c:pt idx="290">
                  <c:v>70.604063105983769</c:v>
                </c:pt>
                <c:pt idx="291">
                  <c:v>67.439333986265481</c:v>
                </c:pt>
                <c:pt idx="292">
                  <c:v>64.67958444966672</c:v>
                </c:pt>
                <c:pt idx="293">
                  <c:v>64.070326304998105</c:v>
                </c:pt>
                <c:pt idx="294">
                  <c:v>63.819585672183599</c:v>
                </c:pt>
                <c:pt idx="295">
                  <c:v>63.830036418334103</c:v>
                </c:pt>
                <c:pt idx="296">
                  <c:v>64.207059253950248</c:v>
                </c:pt>
                <c:pt idx="297">
                  <c:v>65.733987879908</c:v>
                </c:pt>
                <c:pt idx="298">
                  <c:v>65.836748047254716</c:v>
                </c:pt>
                <c:pt idx="299">
                  <c:v>65.62832559516319</c:v>
                </c:pt>
                <c:pt idx="300">
                  <c:v>66.955418097287108</c:v>
                </c:pt>
                <c:pt idx="301">
                  <c:v>67.0441484467066</c:v>
                </c:pt>
                <c:pt idx="302">
                  <c:v>66.783354822420065</c:v>
                </c:pt>
                <c:pt idx="303">
                  <c:v>66.32107390509627</c:v>
                </c:pt>
                <c:pt idx="304">
                  <c:v>65.177748076399411</c:v>
                </c:pt>
                <c:pt idx="305">
                  <c:v>63.162844091677051</c:v>
                </c:pt>
                <c:pt idx="306">
                  <c:v>60.58682055879207</c:v>
                </c:pt>
                <c:pt idx="307">
                  <c:v>58.194967698443229</c:v>
                </c:pt>
                <c:pt idx="308">
                  <c:v>56.861226566929126</c:v>
                </c:pt>
                <c:pt idx="309">
                  <c:v>56.075784821189856</c:v>
                </c:pt>
                <c:pt idx="310">
                  <c:v>56.287178476861207</c:v>
                </c:pt>
                <c:pt idx="311">
                  <c:v>56.023228023823094</c:v>
                </c:pt>
                <c:pt idx="312">
                  <c:v>56.653911015031547</c:v>
                </c:pt>
                <c:pt idx="313">
                  <c:v>57.287102444060721</c:v>
                </c:pt>
                <c:pt idx="314">
                  <c:v>57.575000499704771</c:v>
                </c:pt>
                <c:pt idx="315">
                  <c:v>58.348315542289171</c:v>
                </c:pt>
                <c:pt idx="316">
                  <c:v>59.178150911187252</c:v>
                </c:pt>
                <c:pt idx="317">
                  <c:v>60.035331829368104</c:v>
                </c:pt>
                <c:pt idx="318">
                  <c:v>60.879942041557399</c:v>
                </c:pt>
                <c:pt idx="319">
                  <c:v>61.738434685563199</c:v>
                </c:pt>
                <c:pt idx="320">
                  <c:v>62.181530877439634</c:v>
                </c:pt>
                <c:pt idx="321">
                  <c:v>61.861106126688277</c:v>
                </c:pt>
                <c:pt idx="322">
                  <c:v>60.888962861025007</c:v>
                </c:pt>
                <c:pt idx="323">
                  <c:v>58.486227456157373</c:v>
                </c:pt>
                <c:pt idx="324">
                  <c:v>55.290678468864641</c:v>
                </c:pt>
                <c:pt idx="325">
                  <c:v>53.363987777638016</c:v>
                </c:pt>
                <c:pt idx="326">
                  <c:v>51.432327696303801</c:v>
                </c:pt>
                <c:pt idx="327">
                  <c:v>50.383733744168374</c:v>
                </c:pt>
                <c:pt idx="328">
                  <c:v>49.344119801419119</c:v>
                </c:pt>
                <c:pt idx="329">
                  <c:v>49.124271160377525</c:v>
                </c:pt>
                <c:pt idx="330">
                  <c:v>48.602204847806917</c:v>
                </c:pt>
                <c:pt idx="331">
                  <c:v>48.670274009802412</c:v>
                </c:pt>
                <c:pt idx="332">
                  <c:v>49.608510149445969</c:v>
                </c:pt>
                <c:pt idx="333">
                  <c:v>49.4323327484733</c:v>
                </c:pt>
                <c:pt idx="334">
                  <c:v>49.964707543843474</c:v>
                </c:pt>
                <c:pt idx="335">
                  <c:v>50.885813207369303</c:v>
                </c:pt>
                <c:pt idx="336">
                  <c:v>50.956189162688354</c:v>
                </c:pt>
                <c:pt idx="337">
                  <c:v>51.901378398480894</c:v>
                </c:pt>
                <c:pt idx="338">
                  <c:v>51.975137277064874</c:v>
                </c:pt>
                <c:pt idx="339">
                  <c:v>52.444425393624329</c:v>
                </c:pt>
                <c:pt idx="340">
                  <c:v>52.97771001387224</c:v>
                </c:pt>
                <c:pt idx="341">
                  <c:v>52.149884566387776</c:v>
                </c:pt>
                <c:pt idx="342">
                  <c:v>52.17230148071917</c:v>
                </c:pt>
                <c:pt idx="343">
                  <c:v>52.128130008848984</c:v>
                </c:pt>
                <c:pt idx="344">
                  <c:v>50.892887833820559</c:v>
                </c:pt>
                <c:pt idx="345">
                  <c:v>50.643359923306924</c:v>
                </c:pt>
                <c:pt idx="346">
                  <c:v>50.256072895894953</c:v>
                </c:pt>
                <c:pt idx="347">
                  <c:v>50.029723341088022</c:v>
                </c:pt>
                <c:pt idx="348">
                  <c:v>50.316225535715439</c:v>
                </c:pt>
                <c:pt idx="349">
                  <c:v>49.587015313568784</c:v>
                </c:pt>
                <c:pt idx="350">
                  <c:v>49.667594855455967</c:v>
                </c:pt>
                <c:pt idx="351">
                  <c:v>49.312788067333898</c:v>
                </c:pt>
                <c:pt idx="352">
                  <c:v>49.393989819105286</c:v>
                </c:pt>
                <c:pt idx="353">
                  <c:v>48.908417898501085</c:v>
                </c:pt>
                <c:pt idx="354">
                  <c:v>48.516537866212502</c:v>
                </c:pt>
                <c:pt idx="355">
                  <c:v>48.338563679558995</c:v>
                </c:pt>
                <c:pt idx="356">
                  <c:v>47.934607181874647</c:v>
                </c:pt>
                <c:pt idx="357">
                  <c:v>47.477778180166887</c:v>
                </c:pt>
                <c:pt idx="358">
                  <c:v>47.149173357203196</c:v>
                </c:pt>
                <c:pt idx="359">
                  <c:v>47.218398461502638</c:v>
                </c:pt>
                <c:pt idx="360">
                  <c:v>46.6040859690712</c:v>
                </c:pt>
                <c:pt idx="361">
                  <c:v>45.991682205938211</c:v>
                </c:pt>
                <c:pt idx="362">
                  <c:v>45.38705412724277</c:v>
                </c:pt>
                <c:pt idx="363">
                  <c:v>44.889723169425586</c:v>
                </c:pt>
                <c:pt idx="364">
                  <c:v>43.851602985888213</c:v>
                </c:pt>
                <c:pt idx="365">
                  <c:v>42.669713363880803</c:v>
                </c:pt>
                <c:pt idx="366">
                  <c:v>41.870676603391793</c:v>
                </c:pt>
                <c:pt idx="367">
                  <c:v>41.326775539361577</c:v>
                </c:pt>
                <c:pt idx="368">
                  <c:v>40.753448599602208</c:v>
                </c:pt>
                <c:pt idx="369">
                  <c:v>40.199310667531222</c:v>
                </c:pt>
                <c:pt idx="370">
                  <c:v>39.585416469385237</c:v>
                </c:pt>
                <c:pt idx="371">
                  <c:v>39.22170494517556</c:v>
                </c:pt>
                <c:pt idx="372">
                  <c:v>38.719473728688769</c:v>
                </c:pt>
                <c:pt idx="373">
                  <c:v>38.530022320869108</c:v>
                </c:pt>
                <c:pt idx="374">
                  <c:v>37.812210984546155</c:v>
                </c:pt>
                <c:pt idx="375">
                  <c:v>37.13830542331921</c:v>
                </c:pt>
                <c:pt idx="376">
                  <c:v>36.519919700914002</c:v>
                </c:pt>
                <c:pt idx="377">
                  <c:v>35.816819096608725</c:v>
                </c:pt>
                <c:pt idx="378">
                  <c:v>34.934346899820547</c:v>
                </c:pt>
                <c:pt idx="379">
                  <c:v>34.224029546911666</c:v>
                </c:pt>
                <c:pt idx="380">
                  <c:v>33.668401513435242</c:v>
                </c:pt>
                <c:pt idx="381">
                  <c:v>32.929630757637391</c:v>
                </c:pt>
                <c:pt idx="382">
                  <c:v>32.150712961621615</c:v>
                </c:pt>
                <c:pt idx="383">
                  <c:v>31.498882843835155</c:v>
                </c:pt>
                <c:pt idx="384">
                  <c:v>30.842863514653786</c:v>
                </c:pt>
                <c:pt idx="385">
                  <c:v>30.20614216458727</c:v>
                </c:pt>
                <c:pt idx="386">
                  <c:v>29.141138594195887</c:v>
                </c:pt>
                <c:pt idx="387">
                  <c:v>26.982880774244684</c:v>
                </c:pt>
                <c:pt idx="388">
                  <c:v>25.625952876486792</c:v>
                </c:pt>
                <c:pt idx="389">
                  <c:v>24.664817859310567</c:v>
                </c:pt>
                <c:pt idx="390">
                  <c:v>23.499167304856901</c:v>
                </c:pt>
                <c:pt idx="391">
                  <c:v>22.126469070124077</c:v>
                </c:pt>
                <c:pt idx="392">
                  <c:v>21.640345913566257</c:v>
                </c:pt>
                <c:pt idx="393">
                  <c:v>20.316314558139091</c:v>
                </c:pt>
                <c:pt idx="394">
                  <c:v>19.749779611763159</c:v>
                </c:pt>
                <c:pt idx="395">
                  <c:v>19.254539070046771</c:v>
                </c:pt>
                <c:pt idx="396">
                  <c:v>18.669643985495174</c:v>
                </c:pt>
                <c:pt idx="397">
                  <c:v>18.120513957835758</c:v>
                </c:pt>
                <c:pt idx="398">
                  <c:v>17.679268748397543</c:v>
                </c:pt>
                <c:pt idx="399">
                  <c:v>17.109698884284011</c:v>
                </c:pt>
                <c:pt idx="400">
                  <c:v>16.580754119867308</c:v>
                </c:pt>
              </c:numCache>
            </c:numRef>
          </c:yVal>
          <c:smooth val="1"/>
          <c:extLst>
            <c:ext xmlns:c16="http://schemas.microsoft.com/office/drawing/2014/chart" uri="{C3380CC4-5D6E-409C-BE32-E72D297353CC}">
              <c16:uniqueId val="{00000000-6E90-4472-9EC1-0343BAA5C61F}"/>
            </c:ext>
          </c:extLst>
        </c:ser>
        <c:ser>
          <c:idx val="1"/>
          <c:order val="1"/>
          <c:tx>
            <c:strRef>
              <c:f>'Typical AS7341 filters'!$C$4</c:f>
              <c:strCache>
                <c:ptCount val="1"/>
                <c:pt idx="0">
                  <c:v>F2 - 512x</c:v>
                </c:pt>
              </c:strCache>
            </c:strRef>
          </c:tx>
          <c:spPr>
            <a:ln w="19050" cap="rnd">
              <a:solidFill>
                <a:schemeClr val="accent2"/>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filters'!$C$5:$C$405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33.81857635435528</c:v>
                </c:pt>
                <c:pt idx="60">
                  <c:v>96.984087698239165</c:v>
                </c:pt>
                <c:pt idx="61">
                  <c:v>182.98226748070886</c:v>
                </c:pt>
                <c:pt idx="62">
                  <c:v>308.95717510698648</c:v>
                </c:pt>
                <c:pt idx="63">
                  <c:v>452.32372022950153</c:v>
                </c:pt>
                <c:pt idx="64">
                  <c:v>636.76171967578466</c:v>
                </c:pt>
                <c:pt idx="65">
                  <c:v>836.10377814942899</c:v>
                </c:pt>
                <c:pt idx="66">
                  <c:v>1059.2840748935557</c:v>
                </c:pt>
                <c:pt idx="67">
                  <c:v>1266.9622454349717</c:v>
                </c:pt>
                <c:pt idx="68">
                  <c:v>1431.8863905269227</c:v>
                </c:pt>
                <c:pt idx="69">
                  <c:v>1573.6308154677868</c:v>
                </c:pt>
                <c:pt idx="70">
                  <c:v>1680.2929567248109</c:v>
                </c:pt>
                <c:pt idx="71">
                  <c:v>1747.3029086019594</c:v>
                </c:pt>
                <c:pt idx="72">
                  <c:v>1771.472074963541</c:v>
                </c:pt>
                <c:pt idx="73">
                  <c:v>1766.7142899301195</c:v>
                </c:pt>
                <c:pt idx="74">
                  <c:v>1745.6423418318113</c:v>
                </c:pt>
                <c:pt idx="75">
                  <c:v>1692.2270389696314</c:v>
                </c:pt>
                <c:pt idx="76">
                  <c:v>1587.3431290702238</c:v>
                </c:pt>
                <c:pt idx="77">
                  <c:v>1481.2521150989523</c:v>
                </c:pt>
                <c:pt idx="78">
                  <c:v>1320.0377304495671</c:v>
                </c:pt>
                <c:pt idx="79">
                  <c:v>1122.0702013435571</c:v>
                </c:pt>
                <c:pt idx="80">
                  <c:v>915.77344087338395</c:v>
                </c:pt>
                <c:pt idx="81">
                  <c:v>694.01443198948368</c:v>
                </c:pt>
                <c:pt idx="82">
                  <c:v>476.04965181831449</c:v>
                </c:pt>
                <c:pt idx="83">
                  <c:v>319.80634530279434</c:v>
                </c:pt>
                <c:pt idx="84">
                  <c:v>191.49202644370064</c:v>
                </c:pt>
                <c:pt idx="85">
                  <c:v>112.52949407977556</c:v>
                </c:pt>
                <c:pt idx="86">
                  <c:v>66.187989143593455</c:v>
                </c:pt>
                <c:pt idx="87">
                  <c:v>39.141524207143995</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6.6652058855087359</c:v>
                </c:pt>
                <c:pt idx="122">
                  <c:v>3.1963350123414664</c:v>
                </c:pt>
                <c:pt idx="123">
                  <c:v>11.516755460162367</c:v>
                </c:pt>
                <c:pt idx="124">
                  <c:v>14.733525218410309</c:v>
                </c:pt>
                <c:pt idx="125">
                  <c:v>19.080357135190244</c:v>
                </c:pt>
                <c:pt idx="126">
                  <c:v>19.755382826679128</c:v>
                </c:pt>
                <c:pt idx="127">
                  <c:v>17.918768331433313</c:v>
                </c:pt>
                <c:pt idx="128">
                  <c:v>20.176454718785557</c:v>
                </c:pt>
                <c:pt idx="129">
                  <c:v>19.743581984358418</c:v>
                </c:pt>
                <c:pt idx="130">
                  <c:v>18.68004769999779</c:v>
                </c:pt>
                <c:pt idx="131">
                  <c:v>13.909660905213659</c:v>
                </c:pt>
                <c:pt idx="132">
                  <c:v>15.111849456253058</c:v>
                </c:pt>
                <c:pt idx="133">
                  <c:v>13.929367994270105</c:v>
                </c:pt>
                <c:pt idx="134">
                  <c:v>12.351095857396396</c:v>
                </c:pt>
                <c:pt idx="135">
                  <c:v>16.154997158957819</c:v>
                </c:pt>
                <c:pt idx="136">
                  <c:v>12.709064950032172</c:v>
                </c:pt>
                <c:pt idx="137">
                  <c:v>13.949911129050252</c:v>
                </c:pt>
                <c:pt idx="138">
                  <c:v>15.680378089476717</c:v>
                </c:pt>
                <c:pt idx="139">
                  <c:v>16.918523451308939</c:v>
                </c:pt>
                <c:pt idx="140">
                  <c:v>16.268450273766362</c:v>
                </c:pt>
                <c:pt idx="141">
                  <c:v>19.924522743593901</c:v>
                </c:pt>
                <c:pt idx="142">
                  <c:v>18.840467074449787</c:v>
                </c:pt>
                <c:pt idx="143">
                  <c:v>21.081222384482221</c:v>
                </c:pt>
                <c:pt idx="144">
                  <c:v>22.384810593707517</c:v>
                </c:pt>
                <c:pt idx="145">
                  <c:v>24.618086998517779</c:v>
                </c:pt>
                <c:pt idx="146">
                  <c:v>21.738317353180911</c:v>
                </c:pt>
                <c:pt idx="147">
                  <c:v>22.572675023566333</c:v>
                </c:pt>
                <c:pt idx="148">
                  <c:v>16.970487704221814</c:v>
                </c:pt>
                <c:pt idx="149">
                  <c:v>14.147177641231529</c:v>
                </c:pt>
                <c:pt idx="150">
                  <c:v>14.869490498717594</c:v>
                </c:pt>
                <c:pt idx="151">
                  <c:v>13.128793556907912</c:v>
                </c:pt>
                <c:pt idx="152">
                  <c:v>12.501083820168477</c:v>
                </c:pt>
                <c:pt idx="153">
                  <c:v>16.109519159613384</c:v>
                </c:pt>
                <c:pt idx="154">
                  <c:v>16.465894097123254</c:v>
                </c:pt>
                <c:pt idx="155">
                  <c:v>21.152170251959713</c:v>
                </c:pt>
                <c:pt idx="156">
                  <c:v>25.291423453535916</c:v>
                </c:pt>
                <c:pt idx="157">
                  <c:v>29.261853805983861</c:v>
                </c:pt>
                <c:pt idx="158">
                  <c:v>31.402366658237792</c:v>
                </c:pt>
                <c:pt idx="159">
                  <c:v>37.784937469310286</c:v>
                </c:pt>
                <c:pt idx="160">
                  <c:v>42.387542934735855</c:v>
                </c:pt>
                <c:pt idx="161">
                  <c:v>43.519343205378604</c:v>
                </c:pt>
                <c:pt idx="162">
                  <c:v>49.251031241540858</c:v>
                </c:pt>
                <c:pt idx="163">
                  <c:v>51.625367539086099</c:v>
                </c:pt>
                <c:pt idx="164">
                  <c:v>52.510378903910116</c:v>
                </c:pt>
                <c:pt idx="165">
                  <c:v>55.986902470869502</c:v>
                </c:pt>
                <c:pt idx="166">
                  <c:v>60.180593364969425</c:v>
                </c:pt>
                <c:pt idx="167">
                  <c:v>62.893622589868812</c:v>
                </c:pt>
                <c:pt idx="168">
                  <c:v>65.532312925919328</c:v>
                </c:pt>
                <c:pt idx="169">
                  <c:v>68.087561002715034</c:v>
                </c:pt>
                <c:pt idx="170">
                  <c:v>71.517355574502787</c:v>
                </c:pt>
                <c:pt idx="171">
                  <c:v>74.897416127281829</c:v>
                </c:pt>
                <c:pt idx="172">
                  <c:v>77.220397706830653</c:v>
                </c:pt>
                <c:pt idx="173">
                  <c:v>78.096792588975404</c:v>
                </c:pt>
                <c:pt idx="174">
                  <c:v>75.282474195600187</c:v>
                </c:pt>
                <c:pt idx="175">
                  <c:v>76.203349304683755</c:v>
                </c:pt>
                <c:pt idx="176">
                  <c:v>75.386963973958657</c:v>
                </c:pt>
                <c:pt idx="177">
                  <c:v>71.701985380795151</c:v>
                </c:pt>
                <c:pt idx="178">
                  <c:v>65.102498417240398</c:v>
                </c:pt>
                <c:pt idx="179">
                  <c:v>60.602462071408858</c:v>
                </c:pt>
                <c:pt idx="180">
                  <c:v>59.664280091749937</c:v>
                </c:pt>
                <c:pt idx="181">
                  <c:v>59.568211194500911</c:v>
                </c:pt>
                <c:pt idx="182">
                  <c:v>62.437211508912945</c:v>
                </c:pt>
                <c:pt idx="183">
                  <c:v>61.965127163879025</c:v>
                </c:pt>
                <c:pt idx="184">
                  <c:v>63.953034446668809</c:v>
                </c:pt>
                <c:pt idx="185">
                  <c:v>64.292940747766465</c:v>
                </c:pt>
                <c:pt idx="186">
                  <c:v>65.685244116950869</c:v>
                </c:pt>
                <c:pt idx="187">
                  <c:v>66.671311809824346</c:v>
                </c:pt>
                <c:pt idx="188">
                  <c:v>69.628102551180675</c:v>
                </c:pt>
                <c:pt idx="189">
                  <c:v>71.746338577036767</c:v>
                </c:pt>
                <c:pt idx="190">
                  <c:v>72.711843088925278</c:v>
                </c:pt>
                <c:pt idx="191">
                  <c:v>73.115919205323749</c:v>
                </c:pt>
                <c:pt idx="192">
                  <c:v>74.510075027238301</c:v>
                </c:pt>
                <c:pt idx="193">
                  <c:v>76.502842397787646</c:v>
                </c:pt>
                <c:pt idx="194">
                  <c:v>78.660482975418475</c:v>
                </c:pt>
                <c:pt idx="195">
                  <c:v>81.361615327743309</c:v>
                </c:pt>
                <c:pt idx="196">
                  <c:v>83.321480398670928</c:v>
                </c:pt>
                <c:pt idx="197">
                  <c:v>84.184467705100829</c:v>
                </c:pt>
                <c:pt idx="198">
                  <c:v>85.618030685513645</c:v>
                </c:pt>
                <c:pt idx="199">
                  <c:v>87.579665100879026</c:v>
                </c:pt>
                <c:pt idx="200">
                  <c:v>89.200600253347062</c:v>
                </c:pt>
                <c:pt idx="201">
                  <c:v>92.300325737471312</c:v>
                </c:pt>
                <c:pt idx="202">
                  <c:v>93.049762307017531</c:v>
                </c:pt>
                <c:pt idx="203">
                  <c:v>94.547179355585982</c:v>
                </c:pt>
                <c:pt idx="204">
                  <c:v>91.922363017366862</c:v>
                </c:pt>
                <c:pt idx="205">
                  <c:v>89.870433225747746</c:v>
                </c:pt>
                <c:pt idx="206">
                  <c:v>88.061670855789487</c:v>
                </c:pt>
                <c:pt idx="207">
                  <c:v>87.002061267404002</c:v>
                </c:pt>
                <c:pt idx="208">
                  <c:v>87.93945743753136</c:v>
                </c:pt>
                <c:pt idx="209">
                  <c:v>89.452675239771921</c:v>
                </c:pt>
                <c:pt idx="210">
                  <c:v>92.916330219736167</c:v>
                </c:pt>
                <c:pt idx="211">
                  <c:v>94.604266559094214</c:v>
                </c:pt>
                <c:pt idx="212">
                  <c:v>94.761657196660479</c:v>
                </c:pt>
                <c:pt idx="213">
                  <c:v>94.588187365403499</c:v>
                </c:pt>
                <c:pt idx="214">
                  <c:v>96.044683507995501</c:v>
                </c:pt>
                <c:pt idx="215">
                  <c:v>97.855863711058774</c:v>
                </c:pt>
                <c:pt idx="216">
                  <c:v>101.67800537979497</c:v>
                </c:pt>
                <c:pt idx="217">
                  <c:v>106.42861855658056</c:v>
                </c:pt>
                <c:pt idx="218">
                  <c:v>109.80708211352413</c:v>
                </c:pt>
                <c:pt idx="219">
                  <c:v>112.88898845597822</c:v>
                </c:pt>
                <c:pt idx="220">
                  <c:v>113.51091921884385</c:v>
                </c:pt>
                <c:pt idx="221">
                  <c:v>115.23897457890837</c:v>
                </c:pt>
                <c:pt idx="222">
                  <c:v>118.10363580157684</c:v>
                </c:pt>
                <c:pt idx="223">
                  <c:v>121.9326308429099</c:v>
                </c:pt>
                <c:pt idx="224">
                  <c:v>125.652728748919</c:v>
                </c:pt>
                <c:pt idx="225">
                  <c:v>129.62199942842844</c:v>
                </c:pt>
                <c:pt idx="226">
                  <c:v>132.92259294650782</c:v>
                </c:pt>
                <c:pt idx="227">
                  <c:v>133.72875927189591</c:v>
                </c:pt>
                <c:pt idx="228">
                  <c:v>134.22519092318052</c:v>
                </c:pt>
                <c:pt idx="229">
                  <c:v>132.64267995160083</c:v>
                </c:pt>
                <c:pt idx="230">
                  <c:v>132.6742461322072</c:v>
                </c:pt>
                <c:pt idx="231">
                  <c:v>131.25170451937404</c:v>
                </c:pt>
                <c:pt idx="232">
                  <c:v>133.92226692539708</c:v>
                </c:pt>
                <c:pt idx="233">
                  <c:v>136.84829296357537</c:v>
                </c:pt>
                <c:pt idx="234">
                  <c:v>141.70831518425592</c:v>
                </c:pt>
                <c:pt idx="235">
                  <c:v>145.64783184623607</c:v>
                </c:pt>
                <c:pt idx="236">
                  <c:v>148.61306623306413</c:v>
                </c:pt>
                <c:pt idx="237">
                  <c:v>152.82033321709241</c:v>
                </c:pt>
                <c:pt idx="238">
                  <c:v>154.82169341715144</c:v>
                </c:pt>
                <c:pt idx="239">
                  <c:v>153.54213311882373</c:v>
                </c:pt>
                <c:pt idx="240">
                  <c:v>151.49085263930181</c:v>
                </c:pt>
                <c:pt idx="241">
                  <c:v>152.07600299688917</c:v>
                </c:pt>
                <c:pt idx="242">
                  <c:v>152.14929130495261</c:v>
                </c:pt>
                <c:pt idx="243">
                  <c:v>153.23959490138728</c:v>
                </c:pt>
                <c:pt idx="244">
                  <c:v>155.82001354650677</c:v>
                </c:pt>
                <c:pt idx="245">
                  <c:v>156.80660596058192</c:v>
                </c:pt>
                <c:pt idx="246">
                  <c:v>156.60167874578875</c:v>
                </c:pt>
                <c:pt idx="247">
                  <c:v>149.77077909475452</c:v>
                </c:pt>
                <c:pt idx="248">
                  <c:v>138.46721557144824</c:v>
                </c:pt>
                <c:pt idx="249">
                  <c:v>122.78803236995503</c:v>
                </c:pt>
                <c:pt idx="250">
                  <c:v>110.87513518757326</c:v>
                </c:pt>
                <c:pt idx="251">
                  <c:v>107.93651917061415</c:v>
                </c:pt>
                <c:pt idx="252">
                  <c:v>107.88172774613476</c:v>
                </c:pt>
                <c:pt idx="253">
                  <c:v>108.00256612293475</c:v>
                </c:pt>
                <c:pt idx="254">
                  <c:v>111.7271133167004</c:v>
                </c:pt>
                <c:pt idx="255">
                  <c:v>113.70442027452549</c:v>
                </c:pt>
                <c:pt idx="256">
                  <c:v>117.14770629186766</c:v>
                </c:pt>
                <c:pt idx="257">
                  <c:v>119.65955103850752</c:v>
                </c:pt>
                <c:pt idx="258">
                  <c:v>122.09809199069993</c:v>
                </c:pt>
                <c:pt idx="259">
                  <c:v>123.7879144468601</c:v>
                </c:pt>
                <c:pt idx="260">
                  <c:v>127.95571739922445</c:v>
                </c:pt>
                <c:pt idx="261">
                  <c:v>129.86450963928556</c:v>
                </c:pt>
                <c:pt idx="262">
                  <c:v>134.67891875900102</c:v>
                </c:pt>
                <c:pt idx="263">
                  <c:v>138.90161974944021</c:v>
                </c:pt>
                <c:pt idx="264">
                  <c:v>144.05456302705556</c:v>
                </c:pt>
                <c:pt idx="265">
                  <c:v>148.37305351994803</c:v>
                </c:pt>
                <c:pt idx="266">
                  <c:v>154.1983343774755</c:v>
                </c:pt>
                <c:pt idx="267">
                  <c:v>155.98296339640785</c:v>
                </c:pt>
                <c:pt idx="268">
                  <c:v>160.28379351038015</c:v>
                </c:pt>
                <c:pt idx="269">
                  <c:v>161.44614492769705</c:v>
                </c:pt>
                <c:pt idx="270">
                  <c:v>159.0398894704789</c:v>
                </c:pt>
                <c:pt idx="271">
                  <c:v>156.08990351913772</c:v>
                </c:pt>
                <c:pt idx="272">
                  <c:v>151.40604010565039</c:v>
                </c:pt>
                <c:pt idx="273">
                  <c:v>146.71707010542937</c:v>
                </c:pt>
                <c:pt idx="274">
                  <c:v>144.74217185934342</c:v>
                </c:pt>
                <c:pt idx="275">
                  <c:v>143.93000416105798</c:v>
                </c:pt>
                <c:pt idx="276">
                  <c:v>141.76320565393587</c:v>
                </c:pt>
                <c:pt idx="277">
                  <c:v>140.57215161215711</c:v>
                </c:pt>
                <c:pt idx="278">
                  <c:v>139.47293089551408</c:v>
                </c:pt>
                <c:pt idx="279">
                  <c:v>138.53249400643151</c:v>
                </c:pt>
                <c:pt idx="280">
                  <c:v>135.79760769490812</c:v>
                </c:pt>
                <c:pt idx="281">
                  <c:v>129.09755241645334</c:v>
                </c:pt>
                <c:pt idx="282">
                  <c:v>121.08523249619215</c:v>
                </c:pt>
                <c:pt idx="283">
                  <c:v>109.90348109506714</c:v>
                </c:pt>
                <c:pt idx="284">
                  <c:v>101.6369350575925</c:v>
                </c:pt>
                <c:pt idx="285">
                  <c:v>97.186364932472557</c:v>
                </c:pt>
                <c:pt idx="286">
                  <c:v>94.401483013180027</c:v>
                </c:pt>
                <c:pt idx="287">
                  <c:v>92.354294981500274</c:v>
                </c:pt>
                <c:pt idx="288">
                  <c:v>90.168855952594413</c:v>
                </c:pt>
                <c:pt idx="289">
                  <c:v>87.755817458648252</c:v>
                </c:pt>
                <c:pt idx="290">
                  <c:v>85.869806480250531</c:v>
                </c:pt>
                <c:pt idx="291">
                  <c:v>82.681486230496063</c:v>
                </c:pt>
                <c:pt idx="292">
                  <c:v>79.475567820505518</c:v>
                </c:pt>
                <c:pt idx="293">
                  <c:v>76.359677686775768</c:v>
                </c:pt>
                <c:pt idx="294">
                  <c:v>74.771675586265943</c:v>
                </c:pt>
                <c:pt idx="295">
                  <c:v>74.026950949893688</c:v>
                </c:pt>
                <c:pt idx="296">
                  <c:v>73.935401565154834</c:v>
                </c:pt>
                <c:pt idx="297">
                  <c:v>74.379850889257597</c:v>
                </c:pt>
                <c:pt idx="298">
                  <c:v>75.313249660117123</c:v>
                </c:pt>
                <c:pt idx="299">
                  <c:v>74.951906906653164</c:v>
                </c:pt>
                <c:pt idx="300">
                  <c:v>76.452640522434208</c:v>
                </c:pt>
                <c:pt idx="301">
                  <c:v>77.287004459397906</c:v>
                </c:pt>
                <c:pt idx="302">
                  <c:v>78.199312911722643</c:v>
                </c:pt>
                <c:pt idx="303">
                  <c:v>78.196131057022299</c:v>
                </c:pt>
                <c:pt idx="304">
                  <c:v>78.939941504693209</c:v>
                </c:pt>
                <c:pt idx="305">
                  <c:v>78.52093289479032</c:v>
                </c:pt>
                <c:pt idx="306">
                  <c:v>77.593647382312639</c:v>
                </c:pt>
                <c:pt idx="307">
                  <c:v>76.165406556849391</c:v>
                </c:pt>
                <c:pt idx="308">
                  <c:v>74.032700050974626</c:v>
                </c:pt>
                <c:pt idx="309">
                  <c:v>72.473396989119024</c:v>
                </c:pt>
                <c:pt idx="310">
                  <c:v>71.828417135959171</c:v>
                </c:pt>
                <c:pt idx="311">
                  <c:v>70.838477466200118</c:v>
                </c:pt>
                <c:pt idx="312">
                  <c:v>69.802258963912578</c:v>
                </c:pt>
                <c:pt idx="313">
                  <c:v>68.630139367260767</c:v>
                </c:pt>
                <c:pt idx="314">
                  <c:v>67.453064310928625</c:v>
                </c:pt>
                <c:pt idx="315">
                  <c:v>66.165314753696336</c:v>
                </c:pt>
                <c:pt idx="316">
                  <c:v>65.630597272220143</c:v>
                </c:pt>
                <c:pt idx="317">
                  <c:v>64.695608729364707</c:v>
                </c:pt>
                <c:pt idx="318">
                  <c:v>64.402668658205386</c:v>
                </c:pt>
                <c:pt idx="319">
                  <c:v>63.876562293721221</c:v>
                </c:pt>
                <c:pt idx="320">
                  <c:v>63.412848320557259</c:v>
                </c:pt>
                <c:pt idx="321">
                  <c:v>62.210110956740117</c:v>
                </c:pt>
                <c:pt idx="322">
                  <c:v>61.929799833008346</c:v>
                </c:pt>
                <c:pt idx="323">
                  <c:v>59.948383142561305</c:v>
                </c:pt>
                <c:pt idx="324">
                  <c:v>59.642259644654914</c:v>
                </c:pt>
                <c:pt idx="325">
                  <c:v>58.785091297906007</c:v>
                </c:pt>
                <c:pt idx="326">
                  <c:v>57.735309031635154</c:v>
                </c:pt>
                <c:pt idx="327">
                  <c:v>57.807826961438217</c:v>
                </c:pt>
                <c:pt idx="328">
                  <c:v>58.865216742968116</c:v>
                </c:pt>
                <c:pt idx="329">
                  <c:v>59.474870100523958</c:v>
                </c:pt>
                <c:pt idx="330">
                  <c:v>60.426566765478064</c:v>
                </c:pt>
                <c:pt idx="331">
                  <c:v>61.708400658019038</c:v>
                </c:pt>
                <c:pt idx="332">
                  <c:v>62.874967482766202</c:v>
                </c:pt>
                <c:pt idx="333">
                  <c:v>64.046414966519535</c:v>
                </c:pt>
                <c:pt idx="334">
                  <c:v>65.271356045370126</c:v>
                </c:pt>
                <c:pt idx="335">
                  <c:v>65.930999465275704</c:v>
                </c:pt>
                <c:pt idx="336">
                  <c:v>67.158848389533958</c:v>
                </c:pt>
                <c:pt idx="337">
                  <c:v>66.841505313785731</c:v>
                </c:pt>
                <c:pt idx="338">
                  <c:v>66.515800681958027</c:v>
                </c:pt>
                <c:pt idx="339">
                  <c:v>64.28671499863627</c:v>
                </c:pt>
                <c:pt idx="340">
                  <c:v>60.698848125562129</c:v>
                </c:pt>
                <c:pt idx="341">
                  <c:v>55.038653682310134</c:v>
                </c:pt>
                <c:pt idx="342">
                  <c:v>47.862415706224972</c:v>
                </c:pt>
                <c:pt idx="343">
                  <c:v>41.296310786231011</c:v>
                </c:pt>
                <c:pt idx="344">
                  <c:v>36.52313126897711</c:v>
                </c:pt>
                <c:pt idx="345">
                  <c:v>32.992659479448477</c:v>
                </c:pt>
                <c:pt idx="346">
                  <c:v>31.650948564228827</c:v>
                </c:pt>
                <c:pt idx="347">
                  <c:v>30.844283711762234</c:v>
                </c:pt>
                <c:pt idx="348">
                  <c:v>30.1162809775815</c:v>
                </c:pt>
                <c:pt idx="349">
                  <c:v>30.57134572429462</c:v>
                </c:pt>
                <c:pt idx="350">
                  <c:v>30.878387417468229</c:v>
                </c:pt>
                <c:pt idx="351">
                  <c:v>30.675454930120939</c:v>
                </c:pt>
                <c:pt idx="352">
                  <c:v>30.835136919236778</c:v>
                </c:pt>
                <c:pt idx="353">
                  <c:v>31.358926770215408</c:v>
                </c:pt>
                <c:pt idx="354">
                  <c:v>31.532166412309454</c:v>
                </c:pt>
                <c:pt idx="355">
                  <c:v>32.487513255833591</c:v>
                </c:pt>
                <c:pt idx="356">
                  <c:v>32.572774613202654</c:v>
                </c:pt>
                <c:pt idx="357">
                  <c:v>33.376169437102391</c:v>
                </c:pt>
                <c:pt idx="358">
                  <c:v>33.244402172519017</c:v>
                </c:pt>
                <c:pt idx="359">
                  <c:v>33.70732170351679</c:v>
                </c:pt>
                <c:pt idx="360">
                  <c:v>33.970448206371174</c:v>
                </c:pt>
                <c:pt idx="361">
                  <c:v>34.721269975868111</c:v>
                </c:pt>
                <c:pt idx="362">
                  <c:v>34.424334899585673</c:v>
                </c:pt>
                <c:pt idx="363">
                  <c:v>34.364337767898782</c:v>
                </c:pt>
                <c:pt idx="364">
                  <c:v>34.037196603332276</c:v>
                </c:pt>
                <c:pt idx="365">
                  <c:v>33.99700739561235</c:v>
                </c:pt>
                <c:pt idx="366">
                  <c:v>33.565749012636395</c:v>
                </c:pt>
                <c:pt idx="367">
                  <c:v>32.564671209647187</c:v>
                </c:pt>
                <c:pt idx="368">
                  <c:v>32.561454708803794</c:v>
                </c:pt>
                <c:pt idx="369">
                  <c:v>32.035969422759521</c:v>
                </c:pt>
                <c:pt idx="370">
                  <c:v>31.572451543921442</c:v>
                </c:pt>
                <c:pt idx="371">
                  <c:v>31.144634816849702</c:v>
                </c:pt>
                <c:pt idx="372">
                  <c:v>30.661452741060415</c:v>
                </c:pt>
                <c:pt idx="373">
                  <c:v>30.21026528875224</c:v>
                </c:pt>
                <c:pt idx="374">
                  <c:v>29.758346551014665</c:v>
                </c:pt>
                <c:pt idx="375">
                  <c:v>29.029207541897218</c:v>
                </c:pt>
                <c:pt idx="376">
                  <c:v>28.238450921152836</c:v>
                </c:pt>
                <c:pt idx="377">
                  <c:v>27.369456102125536</c:v>
                </c:pt>
                <c:pt idx="378">
                  <c:v>26.976329652371081</c:v>
                </c:pt>
                <c:pt idx="379">
                  <c:v>26.274353392314072</c:v>
                </c:pt>
                <c:pt idx="380">
                  <c:v>25.674696526341965</c:v>
                </c:pt>
                <c:pt idx="381">
                  <c:v>24.868019908257285</c:v>
                </c:pt>
                <c:pt idx="382">
                  <c:v>24.147237607345595</c:v>
                </c:pt>
                <c:pt idx="383">
                  <c:v>23.180996032259635</c:v>
                </c:pt>
                <c:pt idx="384">
                  <c:v>23.166115547350092</c:v>
                </c:pt>
                <c:pt idx="385">
                  <c:v>22.214382578440862</c:v>
                </c:pt>
                <c:pt idx="386">
                  <c:v>21.838950733005273</c:v>
                </c:pt>
                <c:pt idx="387">
                  <c:v>21.167021760247081</c:v>
                </c:pt>
                <c:pt idx="388">
                  <c:v>20.284395416744161</c:v>
                </c:pt>
                <c:pt idx="389">
                  <c:v>19.989344144221477</c:v>
                </c:pt>
                <c:pt idx="390">
                  <c:v>19.288333857165782</c:v>
                </c:pt>
                <c:pt idx="391">
                  <c:v>18.597093635625757</c:v>
                </c:pt>
                <c:pt idx="392">
                  <c:v>18.237775801370301</c:v>
                </c:pt>
                <c:pt idx="393">
                  <c:v>17.861994678632357</c:v>
                </c:pt>
                <c:pt idx="394">
                  <c:v>17.16187745573902</c:v>
                </c:pt>
                <c:pt idx="395">
                  <c:v>17.137905342488441</c:v>
                </c:pt>
                <c:pt idx="396">
                  <c:v>16.966209315285763</c:v>
                </c:pt>
                <c:pt idx="397">
                  <c:v>16.411031508983331</c:v>
                </c:pt>
                <c:pt idx="398">
                  <c:v>16.314074250451785</c:v>
                </c:pt>
                <c:pt idx="399">
                  <c:v>16.08311695122697</c:v>
                </c:pt>
                <c:pt idx="400">
                  <c:v>15.830185003330104</c:v>
                </c:pt>
              </c:numCache>
            </c:numRef>
          </c:yVal>
          <c:smooth val="1"/>
          <c:extLst>
            <c:ext xmlns:c16="http://schemas.microsoft.com/office/drawing/2014/chart" uri="{C3380CC4-5D6E-409C-BE32-E72D297353CC}">
              <c16:uniqueId val="{00000001-6E90-4472-9EC1-0343BAA5C61F}"/>
            </c:ext>
          </c:extLst>
        </c:ser>
        <c:ser>
          <c:idx val="2"/>
          <c:order val="2"/>
          <c:tx>
            <c:strRef>
              <c:f>'Typical AS7341 filters'!$D$4</c:f>
              <c:strCache>
                <c:ptCount val="1"/>
                <c:pt idx="0">
                  <c:v>F3 - 512x</c:v>
                </c:pt>
              </c:strCache>
            </c:strRef>
          </c:tx>
          <c:spPr>
            <a:ln w="19050" cap="rnd">
              <a:solidFill>
                <a:schemeClr val="accent3"/>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filters'!$D$5:$D$405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12.820880880727167</c:v>
                </c:pt>
                <c:pt idx="72">
                  <c:v>48.855716061302978</c:v>
                </c:pt>
                <c:pt idx="73">
                  <c:v>107.07359332909814</c:v>
                </c:pt>
                <c:pt idx="74">
                  <c:v>167.34210138650059</c:v>
                </c:pt>
                <c:pt idx="75">
                  <c:v>260.87775523683933</c:v>
                </c:pt>
                <c:pt idx="76">
                  <c:v>369.34932115811483</c:v>
                </c:pt>
                <c:pt idx="77">
                  <c:v>496.01561652396106</c:v>
                </c:pt>
                <c:pt idx="78">
                  <c:v>678.49267570181314</c:v>
                </c:pt>
                <c:pt idx="79">
                  <c:v>889.34452995378228</c:v>
                </c:pt>
                <c:pt idx="80">
                  <c:v>1096.951639607327</c:v>
                </c:pt>
                <c:pt idx="81">
                  <c:v>1357.0023364312019</c:v>
                </c:pt>
                <c:pt idx="82">
                  <c:v>1614.3588532750325</c:v>
                </c:pt>
                <c:pt idx="83">
                  <c:v>1875.4472611475428</c:v>
                </c:pt>
                <c:pt idx="84">
                  <c:v>2104.8165239936766</c:v>
                </c:pt>
                <c:pt idx="85">
                  <c:v>2234.7406570772328</c:v>
                </c:pt>
                <c:pt idx="86">
                  <c:v>2289.7892434676496</c:v>
                </c:pt>
                <c:pt idx="87">
                  <c:v>2325.0065379043531</c:v>
                </c:pt>
                <c:pt idx="88">
                  <c:v>2352.2025744770976</c:v>
                </c:pt>
                <c:pt idx="89">
                  <c:v>2348.1910034785087</c:v>
                </c:pt>
                <c:pt idx="90">
                  <c:v>2316.8771640273326</c:v>
                </c:pt>
                <c:pt idx="91">
                  <c:v>2268.9781970985687</c:v>
                </c:pt>
                <c:pt idx="92">
                  <c:v>2188.7881396489875</c:v>
                </c:pt>
                <c:pt idx="93">
                  <c:v>2079.3009021612706</c:v>
                </c:pt>
                <c:pt idx="94">
                  <c:v>1933.0047139531637</c:v>
                </c:pt>
                <c:pt idx="95">
                  <c:v>1778.2970856374484</c:v>
                </c:pt>
                <c:pt idx="96">
                  <c:v>1602.2358263007793</c:v>
                </c:pt>
                <c:pt idx="97">
                  <c:v>1405.6975532412196</c:v>
                </c:pt>
                <c:pt idx="98">
                  <c:v>1175.1098482108528</c:v>
                </c:pt>
                <c:pt idx="99">
                  <c:v>958.48731216305725</c:v>
                </c:pt>
                <c:pt idx="100">
                  <c:v>738.65876574898493</c:v>
                </c:pt>
                <c:pt idx="101">
                  <c:v>561.51342371128419</c:v>
                </c:pt>
                <c:pt idx="102">
                  <c:v>417.92529599555911</c:v>
                </c:pt>
                <c:pt idx="103">
                  <c:v>338.00233386039895</c:v>
                </c:pt>
                <c:pt idx="104">
                  <c:v>295.19167974072121</c:v>
                </c:pt>
                <c:pt idx="105">
                  <c:v>235.11943822533334</c:v>
                </c:pt>
                <c:pt idx="106">
                  <c:v>170.68575646207958</c:v>
                </c:pt>
                <c:pt idx="107">
                  <c:v>120.58092009066362</c:v>
                </c:pt>
                <c:pt idx="108">
                  <c:v>73.670348347974411</c:v>
                </c:pt>
                <c:pt idx="109">
                  <c:v>35.862802465649189</c:v>
                </c:pt>
                <c:pt idx="110">
                  <c:v>10.965532430277056</c:v>
                </c:pt>
                <c:pt idx="111">
                  <c:v>10.93473314170695</c:v>
                </c:pt>
                <c:pt idx="112">
                  <c:v>4.1097100814325973</c:v>
                </c:pt>
                <c:pt idx="113">
                  <c:v>4.1253882459253655</c:v>
                </c:pt>
                <c:pt idx="114">
                  <c:v>0</c:v>
                </c:pt>
                <c:pt idx="115">
                  <c:v>0</c:v>
                </c:pt>
                <c:pt idx="116">
                  <c:v>0</c:v>
                </c:pt>
                <c:pt idx="117">
                  <c:v>0</c:v>
                </c:pt>
                <c:pt idx="118">
                  <c:v>0</c:v>
                </c:pt>
                <c:pt idx="119">
                  <c:v>0</c:v>
                </c:pt>
                <c:pt idx="120">
                  <c:v>0</c:v>
                </c:pt>
                <c:pt idx="121">
                  <c:v>0</c:v>
                </c:pt>
                <c:pt idx="122">
                  <c:v>0</c:v>
                </c:pt>
                <c:pt idx="123">
                  <c:v>0.76778369734415797</c:v>
                </c:pt>
                <c:pt idx="124">
                  <c:v>3.6833813046025772</c:v>
                </c:pt>
                <c:pt idx="125">
                  <c:v>7.0667989389593497</c:v>
                </c:pt>
                <c:pt idx="126">
                  <c:v>8.8558612671320223</c:v>
                </c:pt>
                <c:pt idx="127">
                  <c:v>9.2912132088913477</c:v>
                </c:pt>
                <c:pt idx="128">
                  <c:v>12.366214182481471</c:v>
                </c:pt>
                <c:pt idx="129">
                  <c:v>15.285353794341999</c:v>
                </c:pt>
                <c:pt idx="130">
                  <c:v>18.68004769999779</c:v>
                </c:pt>
                <c:pt idx="131">
                  <c:v>24.795482483206957</c:v>
                </c:pt>
                <c:pt idx="132">
                  <c:v>29.0612489543328</c:v>
                </c:pt>
                <c:pt idx="133">
                  <c:v>30.644609587394232</c:v>
                </c:pt>
                <c:pt idx="134">
                  <c:v>37.590291739902078</c:v>
                </c:pt>
                <c:pt idx="135">
                  <c:v>43.253702070758024</c:v>
                </c:pt>
                <c:pt idx="136">
                  <c:v>46.769359016118393</c:v>
                </c:pt>
                <c:pt idx="137">
                  <c:v>51.813955622186647</c:v>
                </c:pt>
                <c:pt idx="138">
                  <c:v>56.35135875905695</c:v>
                </c:pt>
                <c:pt idx="139">
                  <c:v>60.423298040389064</c:v>
                </c:pt>
                <c:pt idx="140">
                  <c:v>62.681381937158633</c:v>
                </c:pt>
                <c:pt idx="141">
                  <c:v>71.633403197206633</c:v>
                </c:pt>
                <c:pt idx="142">
                  <c:v>77.245915005244143</c:v>
                </c:pt>
                <c:pt idx="143">
                  <c:v>84.324889537928883</c:v>
                </c:pt>
                <c:pt idx="144">
                  <c:v>87.207491271318887</c:v>
                </c:pt>
                <c:pt idx="145">
                  <c:v>92.898441503840687</c:v>
                </c:pt>
                <c:pt idx="146">
                  <c:v>92.503478098642162</c:v>
                </c:pt>
                <c:pt idx="147">
                  <c:v>92.594034280343521</c:v>
                </c:pt>
                <c:pt idx="148">
                  <c:v>88.521733159859721</c:v>
                </c:pt>
                <c:pt idx="149">
                  <c:v>82.601263002029242</c:v>
                </c:pt>
                <c:pt idx="150">
                  <c:v>70.258342606440635</c:v>
                </c:pt>
                <c:pt idx="151">
                  <c:v>54.703306487116294</c:v>
                </c:pt>
                <c:pt idx="152">
                  <c:v>45.718249399473279</c:v>
                </c:pt>
                <c:pt idx="153">
                  <c:v>45.176695034567977</c:v>
                </c:pt>
                <c:pt idx="154">
                  <c:v>46.996406068872631</c:v>
                </c:pt>
                <c:pt idx="155">
                  <c:v>49.690812655397416</c:v>
                </c:pt>
                <c:pt idx="156">
                  <c:v>51.896687086476298</c:v>
                </c:pt>
                <c:pt idx="157">
                  <c:v>54.02188394950867</c:v>
                </c:pt>
                <c:pt idx="158">
                  <c:v>55.58218898508089</c:v>
                </c:pt>
                <c:pt idx="159">
                  <c:v>58.674171192181014</c:v>
                </c:pt>
                <c:pt idx="160">
                  <c:v>61.927899606777203</c:v>
                </c:pt>
                <c:pt idx="161">
                  <c:v>65.573064424320464</c:v>
                </c:pt>
                <c:pt idx="162">
                  <c:v>65.38002392882909</c:v>
                </c:pt>
                <c:pt idx="163">
                  <c:v>65.448553382885095</c:v>
                </c:pt>
                <c:pt idx="164">
                  <c:v>67.43438132923194</c:v>
                </c:pt>
                <c:pt idx="165">
                  <c:v>69.780776992677929</c:v>
                </c:pt>
                <c:pt idx="166">
                  <c:v>71.315328701219272</c:v>
                </c:pt>
                <c:pt idx="167">
                  <c:v>72.50958968005537</c:v>
                </c:pt>
                <c:pt idx="168">
                  <c:v>72.927009715225395</c:v>
                </c:pt>
                <c:pt idx="169">
                  <c:v>75.346896550798618</c:v>
                </c:pt>
                <c:pt idx="170">
                  <c:v>77.661458287088948</c:v>
                </c:pt>
                <c:pt idx="171">
                  <c:v>79.246298354027218</c:v>
                </c:pt>
                <c:pt idx="172">
                  <c:v>81.259618509957193</c:v>
                </c:pt>
                <c:pt idx="173">
                  <c:v>79.967374447393979</c:v>
                </c:pt>
                <c:pt idx="174">
                  <c:v>78.045133799108456</c:v>
                </c:pt>
                <c:pt idx="175">
                  <c:v>75.522962257320515</c:v>
                </c:pt>
                <c:pt idx="176">
                  <c:v>74.268463024790137</c:v>
                </c:pt>
                <c:pt idx="177">
                  <c:v>73.246335835150731</c:v>
                </c:pt>
                <c:pt idx="178">
                  <c:v>69.892648802455398</c:v>
                </c:pt>
                <c:pt idx="179">
                  <c:v>63.825997287973152</c:v>
                </c:pt>
                <c:pt idx="180">
                  <c:v>59.027294895040853</c:v>
                </c:pt>
                <c:pt idx="181">
                  <c:v>55.583013966699795</c:v>
                </c:pt>
                <c:pt idx="182">
                  <c:v>56.214233617659161</c:v>
                </c:pt>
                <c:pt idx="183">
                  <c:v>56.220016036102159</c:v>
                </c:pt>
                <c:pt idx="184">
                  <c:v>56.035039705652672</c:v>
                </c:pt>
                <c:pt idx="185">
                  <c:v>55.050830515275031</c:v>
                </c:pt>
                <c:pt idx="186">
                  <c:v>55.732934402261343</c:v>
                </c:pt>
                <c:pt idx="187">
                  <c:v>56.611439317809442</c:v>
                </c:pt>
                <c:pt idx="188">
                  <c:v>58.675367318410693</c:v>
                </c:pt>
                <c:pt idx="189">
                  <c:v>60.305706209347122</c:v>
                </c:pt>
                <c:pt idx="190">
                  <c:v>61.170280693857769</c:v>
                </c:pt>
                <c:pt idx="191">
                  <c:v>61.852631390404412</c:v>
                </c:pt>
                <c:pt idx="192">
                  <c:v>63.324084119841203</c:v>
                </c:pt>
                <c:pt idx="193">
                  <c:v>66.139156851289314</c:v>
                </c:pt>
                <c:pt idx="194">
                  <c:v>69.108852899831945</c:v>
                </c:pt>
                <c:pt idx="195">
                  <c:v>70.74923071977679</c:v>
                </c:pt>
                <c:pt idx="196">
                  <c:v>73.878379286821556</c:v>
                </c:pt>
                <c:pt idx="197">
                  <c:v>77.552868498572096</c:v>
                </c:pt>
                <c:pt idx="198">
                  <c:v>79.934606807032011</c:v>
                </c:pt>
                <c:pt idx="199">
                  <c:v>83.748054752715561</c:v>
                </c:pt>
                <c:pt idx="200">
                  <c:v>87.747229984453426</c:v>
                </c:pt>
                <c:pt idx="201">
                  <c:v>91.576401614040165</c:v>
                </c:pt>
                <c:pt idx="202">
                  <c:v>95.754697257802917</c:v>
                </c:pt>
                <c:pt idx="203">
                  <c:v>99.400361565853714</c:v>
                </c:pt>
                <c:pt idx="204">
                  <c:v>102.31514480100678</c:v>
                </c:pt>
                <c:pt idx="205">
                  <c:v>104.87861690559427</c:v>
                </c:pt>
                <c:pt idx="206">
                  <c:v>107.13575745815686</c:v>
                </c:pt>
                <c:pt idx="207">
                  <c:v>109.06393365423038</c:v>
                </c:pt>
                <c:pt idx="208">
                  <c:v>111.2123239513023</c:v>
                </c:pt>
                <c:pt idx="209">
                  <c:v>112.52578591669723</c:v>
                </c:pt>
                <c:pt idx="210">
                  <c:v>112.59898795712301</c:v>
                </c:pt>
                <c:pt idx="211">
                  <c:v>108.77719038817199</c:v>
                </c:pt>
                <c:pt idx="212">
                  <c:v>102.90938846964438</c:v>
                </c:pt>
                <c:pt idx="213">
                  <c:v>97.245158920611473</c:v>
                </c:pt>
                <c:pt idx="214">
                  <c:v>96.399091934224273</c:v>
                </c:pt>
                <c:pt idx="215">
                  <c:v>97.324038364803016</c:v>
                </c:pt>
                <c:pt idx="216">
                  <c:v>99.371174542207996</c:v>
                </c:pt>
                <c:pt idx="217">
                  <c:v>102.34204388746312</c:v>
                </c:pt>
                <c:pt idx="218">
                  <c:v>105.35784864052883</c:v>
                </c:pt>
                <c:pt idx="219">
                  <c:v>106.46876162435861</c:v>
                </c:pt>
                <c:pt idx="220">
                  <c:v>107.07565450722434</c:v>
                </c:pt>
                <c:pt idx="221">
                  <c:v>108.96624656916997</c:v>
                </c:pt>
                <c:pt idx="222">
                  <c:v>111.27267969737605</c:v>
                </c:pt>
                <c:pt idx="223">
                  <c:v>113.9961874152649</c:v>
                </c:pt>
                <c:pt idx="224">
                  <c:v>117.50521751880177</c:v>
                </c:pt>
                <c:pt idx="225">
                  <c:v>120.3502996095647</c:v>
                </c:pt>
                <c:pt idx="226">
                  <c:v>122.33260614582449</c:v>
                </c:pt>
                <c:pt idx="227">
                  <c:v>123.08915976878212</c:v>
                </c:pt>
                <c:pt idx="228">
                  <c:v>121.68767308969662</c:v>
                </c:pt>
                <c:pt idx="229">
                  <c:v>116.50294127217528</c:v>
                </c:pt>
                <c:pt idx="230">
                  <c:v>111.37162069689505</c:v>
                </c:pt>
                <c:pt idx="231">
                  <c:v>108.31086218217686</c:v>
                </c:pt>
                <c:pt idx="232">
                  <c:v>108.00792996384426</c:v>
                </c:pt>
                <c:pt idx="233">
                  <c:v>109.25023666354974</c:v>
                </c:pt>
                <c:pt idx="234">
                  <c:v>110.64370481910103</c:v>
                </c:pt>
                <c:pt idx="235">
                  <c:v>112.95927463240621</c:v>
                </c:pt>
                <c:pt idx="236">
                  <c:v>114.91704990499062</c:v>
                </c:pt>
                <c:pt idx="237">
                  <c:v>117.01223977441903</c:v>
                </c:pt>
                <c:pt idx="238">
                  <c:v>115.91979583263877</c:v>
                </c:pt>
                <c:pt idx="239">
                  <c:v>114.6632125218979</c:v>
                </c:pt>
                <c:pt idx="240">
                  <c:v>115.79929049915215</c:v>
                </c:pt>
                <c:pt idx="241">
                  <c:v>118.59137848381265</c:v>
                </c:pt>
                <c:pt idx="242">
                  <c:v>122.28072160213583</c:v>
                </c:pt>
                <c:pt idx="243">
                  <c:v>126.62429683956738</c:v>
                </c:pt>
                <c:pt idx="244">
                  <c:v>131.47313642986509</c:v>
                </c:pt>
                <c:pt idx="245">
                  <c:v>134.7556769973751</c:v>
                </c:pt>
                <c:pt idx="246">
                  <c:v>136.87233339198858</c:v>
                </c:pt>
                <c:pt idx="247">
                  <c:v>137.77256750981564</c:v>
                </c:pt>
                <c:pt idx="248">
                  <c:v>137.4261086874524</c:v>
                </c:pt>
                <c:pt idx="249">
                  <c:v>137.87461655192902</c:v>
                </c:pt>
                <c:pt idx="250">
                  <c:v>141.22878436439939</c:v>
                </c:pt>
                <c:pt idx="251">
                  <c:v>141.22931584995879</c:v>
                </c:pt>
                <c:pt idx="252">
                  <c:v>143.2737570067244</c:v>
                </c:pt>
                <c:pt idx="253">
                  <c:v>144.00342149724634</c:v>
                </c:pt>
                <c:pt idx="254">
                  <c:v>145.74037710097528</c:v>
                </c:pt>
                <c:pt idx="255">
                  <c:v>142.67094559160992</c:v>
                </c:pt>
                <c:pt idx="256">
                  <c:v>139.70948676289404</c:v>
                </c:pt>
                <c:pt idx="257">
                  <c:v>135.75919972368854</c:v>
                </c:pt>
                <c:pt idx="258">
                  <c:v>130.81938427574991</c:v>
                </c:pt>
                <c:pt idx="259">
                  <c:v>127.06272699836433</c:v>
                </c:pt>
                <c:pt idx="260">
                  <c:v>126.645590599915</c:v>
                </c:pt>
                <c:pt idx="261">
                  <c:v>128.99147091902145</c:v>
                </c:pt>
                <c:pt idx="262">
                  <c:v>133.15342938794436</c:v>
                </c:pt>
                <c:pt idx="263">
                  <c:v>136.07576520054707</c:v>
                </c:pt>
                <c:pt idx="264">
                  <c:v>139.07222475694687</c:v>
                </c:pt>
                <c:pt idx="265">
                  <c:v>141.68763977122944</c:v>
                </c:pt>
                <c:pt idx="266">
                  <c:v>145.40538346026202</c:v>
                </c:pt>
                <c:pt idx="267">
                  <c:v>148.73785307471678</c:v>
                </c:pt>
                <c:pt idx="268">
                  <c:v>150.5568086799349</c:v>
                </c:pt>
                <c:pt idx="269">
                  <c:v>151.17229934138905</c:v>
                </c:pt>
                <c:pt idx="270">
                  <c:v>150.11206277696638</c:v>
                </c:pt>
                <c:pt idx="271">
                  <c:v>148.28540834318082</c:v>
                </c:pt>
                <c:pt idx="272">
                  <c:v>146.5350683060048</c:v>
                </c:pt>
                <c:pt idx="273">
                  <c:v>144.71273854661203</c:v>
                </c:pt>
                <c:pt idx="274">
                  <c:v>145.33537748171779</c:v>
                </c:pt>
                <c:pt idx="275">
                  <c:v>144.32005837287659</c:v>
                </c:pt>
                <c:pt idx="276">
                  <c:v>143.10784310593797</c:v>
                </c:pt>
                <c:pt idx="277">
                  <c:v>139.81638735617776</c:v>
                </c:pt>
                <c:pt idx="278">
                  <c:v>136.13003774488925</c:v>
                </c:pt>
                <c:pt idx="279">
                  <c:v>129.58902601392143</c:v>
                </c:pt>
                <c:pt idx="280">
                  <c:v>117.34489846987444</c:v>
                </c:pt>
                <c:pt idx="281">
                  <c:v>103.94639438436502</c:v>
                </c:pt>
                <c:pt idx="282">
                  <c:v>89.865250898171098</c:v>
                </c:pt>
                <c:pt idx="283">
                  <c:v>82.343069681996454</c:v>
                </c:pt>
                <c:pt idx="284">
                  <c:v>78.921991985993515</c:v>
                </c:pt>
                <c:pt idx="285">
                  <c:v>76.871489319497513</c:v>
                </c:pt>
                <c:pt idx="286">
                  <c:v>75.775895302316499</c:v>
                </c:pt>
                <c:pt idx="287">
                  <c:v>75.505876302442786</c:v>
                </c:pt>
                <c:pt idx="288">
                  <c:v>74.580341872654358</c:v>
                </c:pt>
                <c:pt idx="289">
                  <c:v>74.277961534965073</c:v>
                </c:pt>
                <c:pt idx="290">
                  <c:v>73.68656897963379</c:v>
                </c:pt>
                <c:pt idx="291">
                  <c:v>71.896944548257437</c:v>
                </c:pt>
                <c:pt idx="292">
                  <c:v>70.175235415978264</c:v>
                </c:pt>
                <c:pt idx="293">
                  <c:v>69.041299897627283</c:v>
                </c:pt>
                <c:pt idx="294">
                  <c:v>69.633658095708796</c:v>
                </c:pt>
                <c:pt idx="295">
                  <c:v>69.524417260633612</c:v>
                </c:pt>
                <c:pt idx="296">
                  <c:v>70.822332025569366</c:v>
                </c:pt>
                <c:pt idx="297">
                  <c:v>72.091240092665061</c:v>
                </c:pt>
                <c:pt idx="298">
                  <c:v>73.442887499683749</c:v>
                </c:pt>
                <c:pt idx="299">
                  <c:v>75.19407784980875</c:v>
                </c:pt>
                <c:pt idx="300">
                  <c:v>77.164932204320237</c:v>
                </c:pt>
                <c:pt idx="301">
                  <c:v>78.683757552037619</c:v>
                </c:pt>
                <c:pt idx="302">
                  <c:v>80.482504529583153</c:v>
                </c:pt>
                <c:pt idx="303">
                  <c:v>81.669025129755383</c:v>
                </c:pt>
                <c:pt idx="304">
                  <c:v>82.132770380057366</c:v>
                </c:pt>
                <c:pt idx="305">
                  <c:v>80.575888438868844</c:v>
                </c:pt>
                <c:pt idx="306">
                  <c:v>78.762866726429678</c:v>
                </c:pt>
                <c:pt idx="307">
                  <c:v>74.284779234458057</c:v>
                </c:pt>
                <c:pt idx="308">
                  <c:v>69.91977227036493</c:v>
                </c:pt>
                <c:pt idx="309">
                  <c:v>66.906306438278875</c:v>
                </c:pt>
                <c:pt idx="310">
                  <c:v>64.954407729050459</c:v>
                </c:pt>
                <c:pt idx="311">
                  <c:v>63.970481035959118</c:v>
                </c:pt>
                <c:pt idx="312">
                  <c:v>63.614801105615626</c:v>
                </c:pt>
                <c:pt idx="313">
                  <c:v>63.292239638696039</c:v>
                </c:pt>
                <c:pt idx="314">
                  <c:v>63.784069181045474</c:v>
                </c:pt>
                <c:pt idx="315">
                  <c:v>64.397183979687568</c:v>
                </c:pt>
                <c:pt idx="316">
                  <c:v>63.787041169067884</c:v>
                </c:pt>
                <c:pt idx="317">
                  <c:v>64.238718837208182</c:v>
                </c:pt>
                <c:pt idx="318">
                  <c:v>64.402668658205386</c:v>
                </c:pt>
                <c:pt idx="319">
                  <c:v>64.411094195760739</c:v>
                </c:pt>
                <c:pt idx="320">
                  <c:v>64.468263271800922</c:v>
                </c:pt>
                <c:pt idx="321">
                  <c:v>64.304139937051147</c:v>
                </c:pt>
                <c:pt idx="322">
                  <c:v>63.491055290983347</c:v>
                </c:pt>
                <c:pt idx="323">
                  <c:v>63.30274030548798</c:v>
                </c:pt>
                <c:pt idx="324">
                  <c:v>62.287338398566654</c:v>
                </c:pt>
                <c:pt idx="325">
                  <c:v>61.326233573031622</c:v>
                </c:pt>
                <c:pt idx="326">
                  <c:v>60.760740072594196</c:v>
                </c:pt>
                <c:pt idx="327">
                  <c:v>60.643997403990738</c:v>
                </c:pt>
                <c:pt idx="328">
                  <c:v>60.852228278595732</c:v>
                </c:pt>
                <c:pt idx="329">
                  <c:v>61.282117534517788</c:v>
                </c:pt>
                <c:pt idx="330">
                  <c:v>62.220607884021277</c:v>
                </c:pt>
                <c:pt idx="331">
                  <c:v>63.085097260625751</c:v>
                </c:pt>
                <c:pt idx="332">
                  <c:v>64.161411830239672</c:v>
                </c:pt>
                <c:pt idx="333">
                  <c:v>64.924857067057829</c:v>
                </c:pt>
                <c:pt idx="334">
                  <c:v>65.985137581710759</c:v>
                </c:pt>
                <c:pt idx="335">
                  <c:v>66.561164334716821</c:v>
                </c:pt>
                <c:pt idx="336">
                  <c:v>67.080574673462252</c:v>
                </c:pt>
                <c:pt idx="337">
                  <c:v>67.464010601923434</c:v>
                </c:pt>
                <c:pt idx="338">
                  <c:v>67.985335813303607</c:v>
                </c:pt>
                <c:pt idx="339">
                  <c:v>68.439206158835276</c:v>
                </c:pt>
                <c:pt idx="340">
                  <c:v>68.114198589264305</c:v>
                </c:pt>
                <c:pt idx="341">
                  <c:v>67.201892065141095</c:v>
                </c:pt>
                <c:pt idx="342">
                  <c:v>66.387363333436852</c:v>
                </c:pt>
                <c:pt idx="343">
                  <c:v>65.517462103473974</c:v>
                </c:pt>
                <c:pt idx="344">
                  <c:v>63.690952274384259</c:v>
                </c:pt>
                <c:pt idx="345">
                  <c:v>61.5912627302571</c:v>
                </c:pt>
                <c:pt idx="346">
                  <c:v>60.336937075602499</c:v>
                </c:pt>
                <c:pt idx="347">
                  <c:v>58.294220412182206</c:v>
                </c:pt>
                <c:pt idx="348">
                  <c:v>57.07402516970933</c:v>
                </c:pt>
                <c:pt idx="349">
                  <c:v>55.218578999623055</c:v>
                </c:pt>
                <c:pt idx="350">
                  <c:v>53.454566897220943</c:v>
                </c:pt>
                <c:pt idx="351">
                  <c:v>51.125758216868242</c:v>
                </c:pt>
                <c:pt idx="352">
                  <c:v>49.321776383697241</c:v>
                </c:pt>
                <c:pt idx="353">
                  <c:v>47.398010875165028</c:v>
                </c:pt>
                <c:pt idx="354">
                  <c:v>46.223289399862722</c:v>
                </c:pt>
                <c:pt idx="355">
                  <c:v>45.625320814236623</c:v>
                </c:pt>
                <c:pt idx="356">
                  <c:v>45.018703777635984</c:v>
                </c:pt>
                <c:pt idx="357">
                  <c:v>45.210182804397725</c:v>
                </c:pt>
                <c:pt idx="358">
                  <c:v>45.031695511819819</c:v>
                </c:pt>
                <c:pt idx="359">
                  <c:v>45.177662909515192</c:v>
                </c:pt>
                <c:pt idx="360">
                  <c:v>45.27053531634175</c:v>
                </c:pt>
                <c:pt idx="361">
                  <c:v>45.36165916202124</c:v>
                </c:pt>
                <c:pt idx="362">
                  <c:v>45.66635907571812</c:v>
                </c:pt>
                <c:pt idx="363">
                  <c:v>45.656473099338143</c:v>
                </c:pt>
                <c:pt idx="364">
                  <c:v>44.965294490291726</c:v>
                </c:pt>
                <c:pt idx="365">
                  <c:v>45.167452682742116</c:v>
                </c:pt>
                <c:pt idx="366">
                  <c:v>44.708193530233217</c:v>
                </c:pt>
                <c:pt idx="367">
                  <c:v>44.431458175874546</c:v>
                </c:pt>
                <c:pt idx="368">
                  <c:v>44.057782269840224</c:v>
                </c:pt>
                <c:pt idx="369">
                  <c:v>43.972283511753439</c:v>
                </c:pt>
                <c:pt idx="370">
                  <c:v>43.694629251674357</c:v>
                </c:pt>
                <c:pt idx="371">
                  <c:v>43.397139503038929</c:v>
                </c:pt>
                <c:pt idx="372">
                  <c:v>42.885060849411893</c:v>
                </c:pt>
                <c:pt idx="373">
                  <c:v>42.621706107156093</c:v>
                </c:pt>
                <c:pt idx="374">
                  <c:v>42.316914820250211</c:v>
                </c:pt>
                <c:pt idx="375">
                  <c:v>41.567644602247185</c:v>
                </c:pt>
                <c:pt idx="376">
                  <c:v>40.728534982431974</c:v>
                </c:pt>
                <c:pt idx="377">
                  <c:v>39.871553333960655</c:v>
                </c:pt>
                <c:pt idx="378">
                  <c:v>38.778473875283424</c:v>
                </c:pt>
                <c:pt idx="379">
                  <c:v>37.727276665886876</c:v>
                </c:pt>
                <c:pt idx="380">
                  <c:v>36.649105067944603</c:v>
                </c:pt>
                <c:pt idx="381">
                  <c:v>35.11583031001166</c:v>
                </c:pt>
                <c:pt idx="382">
                  <c:v>33.997668812608381</c:v>
                </c:pt>
                <c:pt idx="383">
                  <c:v>33.135188446112302</c:v>
                </c:pt>
                <c:pt idx="384">
                  <c:v>32.065708323604817</c:v>
                </c:pt>
                <c:pt idx="385">
                  <c:v>31.086590254586447</c:v>
                </c:pt>
                <c:pt idx="386">
                  <c:v>30.020105651561426</c:v>
                </c:pt>
                <c:pt idx="387">
                  <c:v>28.741163731964889</c:v>
                </c:pt>
                <c:pt idx="388">
                  <c:v>27.992465675106942</c:v>
                </c:pt>
                <c:pt idx="389">
                  <c:v>26.968674472542872</c:v>
                </c:pt>
                <c:pt idx="390">
                  <c:v>25.808334034235905</c:v>
                </c:pt>
                <c:pt idx="391">
                  <c:v>25.384354086584064</c:v>
                </c:pt>
                <c:pt idx="392">
                  <c:v>24.974864623518286</c:v>
                </c:pt>
                <c:pt idx="393">
                  <c:v>24.611374347275877</c:v>
                </c:pt>
                <c:pt idx="394">
                  <c:v>24.176454352330762</c:v>
                </c:pt>
                <c:pt idx="395">
                  <c:v>23.897477569206988</c:v>
                </c:pt>
                <c:pt idx="396">
                  <c:v>23.166711514848028</c:v>
                </c:pt>
                <c:pt idx="397">
                  <c:v>23.043823410530759</c:v>
                </c:pt>
                <c:pt idx="398">
                  <c:v>22.86700784059142</c:v>
                </c:pt>
                <c:pt idx="399">
                  <c:v>22.311047345106353</c:v>
                </c:pt>
                <c:pt idx="400">
                  <c:v>21.971205047725402</c:v>
                </c:pt>
              </c:numCache>
            </c:numRef>
          </c:yVal>
          <c:smooth val="1"/>
          <c:extLst>
            <c:ext xmlns:c16="http://schemas.microsoft.com/office/drawing/2014/chart" uri="{C3380CC4-5D6E-409C-BE32-E72D297353CC}">
              <c16:uniqueId val="{00000002-6E90-4472-9EC1-0343BAA5C61F}"/>
            </c:ext>
          </c:extLst>
        </c:ser>
        <c:ser>
          <c:idx val="3"/>
          <c:order val="3"/>
          <c:tx>
            <c:strRef>
              <c:f>'Typical AS7341 filters'!$E$4</c:f>
              <c:strCache>
                <c:ptCount val="1"/>
                <c:pt idx="0">
                  <c:v>F4 - 512x</c:v>
                </c:pt>
              </c:strCache>
            </c:strRef>
          </c:tx>
          <c:spPr>
            <a:ln w="19050" cap="rnd">
              <a:solidFill>
                <a:schemeClr val="accent4"/>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filters'!$E$5:$E$405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11.031331523932243</c:v>
                </c:pt>
                <c:pt idx="87">
                  <c:v>25.050575492572154</c:v>
                </c:pt>
                <c:pt idx="88">
                  <c:v>59.155326161568304</c:v>
                </c:pt>
                <c:pt idx="89">
                  <c:v>89.838442085589378</c:v>
                </c:pt>
                <c:pt idx="90">
                  <c:v>146.44266838496117</c:v>
                </c:pt>
                <c:pt idx="91">
                  <c:v>196.50149474195993</c:v>
                </c:pt>
                <c:pt idx="92">
                  <c:v>285.8263841580731</c:v>
                </c:pt>
                <c:pt idx="93">
                  <c:v>382.34763841939849</c:v>
                </c:pt>
                <c:pt idx="94">
                  <c:v>523.4588903562335</c:v>
                </c:pt>
                <c:pt idx="95">
                  <c:v>689.54376790023514</c:v>
                </c:pt>
                <c:pt idx="96">
                  <c:v>883.26452889205711</c:v>
                </c:pt>
                <c:pt idx="97">
                  <c:v>1097.4964854182781</c:v>
                </c:pt>
                <c:pt idx="98">
                  <c:v>1356.4724650903338</c:v>
                </c:pt>
                <c:pt idx="99">
                  <c:v>1646.3253208916162</c:v>
                </c:pt>
                <c:pt idx="100">
                  <c:v>1933.9429503246149</c:v>
                </c:pt>
                <c:pt idx="101">
                  <c:v>2196.902652451311</c:v>
                </c:pt>
                <c:pt idx="102">
                  <c:v>2436.1624015684188</c:v>
                </c:pt>
                <c:pt idx="103">
                  <c:v>2598.6672940955345</c:v>
                </c:pt>
                <c:pt idx="104">
                  <c:v>2726.6014090060817</c:v>
                </c:pt>
                <c:pt idx="105">
                  <c:v>2869.5902520754539</c:v>
                </c:pt>
                <c:pt idx="106">
                  <c:v>2966.5466598326725</c:v>
                </c:pt>
                <c:pt idx="107">
                  <c:v>3003.3061724907152</c:v>
                </c:pt>
                <c:pt idx="108">
                  <c:v>2994.0741573874875</c:v>
                </c:pt>
                <c:pt idx="109">
                  <c:v>2960.0605419724293</c:v>
                </c:pt>
                <c:pt idx="110">
                  <c:v>2885.3057207166498</c:v>
                </c:pt>
                <c:pt idx="111">
                  <c:v>2804.7590508478329</c:v>
                </c:pt>
                <c:pt idx="112">
                  <c:v>2705.5591369431268</c:v>
                </c:pt>
                <c:pt idx="113">
                  <c:v>2556.3655830584185</c:v>
                </c:pt>
                <c:pt idx="114">
                  <c:v>2381.9376637156761</c:v>
                </c:pt>
                <c:pt idx="115">
                  <c:v>2176.3143782693323</c:v>
                </c:pt>
                <c:pt idx="116">
                  <c:v>1925.8865862535235</c:v>
                </c:pt>
                <c:pt idx="117">
                  <c:v>1652.059293923629</c:v>
                </c:pt>
                <c:pt idx="118">
                  <c:v>1387.1106082972194</c:v>
                </c:pt>
                <c:pt idx="119">
                  <c:v>1297.3461492079953</c:v>
                </c:pt>
                <c:pt idx="120">
                  <c:v>1014.2177170489834</c:v>
                </c:pt>
                <c:pt idx="121">
                  <c:v>812.32196729637724</c:v>
                </c:pt>
                <c:pt idx="122">
                  <c:v>656.84684503617132</c:v>
                </c:pt>
                <c:pt idx="123">
                  <c:v>532.07410225950139</c:v>
                </c:pt>
                <c:pt idx="124">
                  <c:v>443.47910907415024</c:v>
                </c:pt>
                <c:pt idx="125">
                  <c:v>383.72718238549271</c:v>
                </c:pt>
                <c:pt idx="126">
                  <c:v>324.94198649399806</c:v>
                </c:pt>
                <c:pt idx="127">
                  <c:v>264.7995764534034</c:v>
                </c:pt>
                <c:pt idx="128">
                  <c:v>214.78161474836239</c:v>
                </c:pt>
                <c:pt idx="129">
                  <c:v>171.32334044491657</c:v>
                </c:pt>
                <c:pt idx="130">
                  <c:v>133.87367518331752</c:v>
                </c:pt>
                <c:pt idx="131">
                  <c:v>112.48682297259741</c:v>
                </c:pt>
                <c:pt idx="132">
                  <c:v>93.57722163295162</c:v>
                </c:pt>
                <c:pt idx="133">
                  <c:v>69.089665251579717</c:v>
                </c:pt>
                <c:pt idx="134">
                  <c:v>59.070458448417547</c:v>
                </c:pt>
                <c:pt idx="135">
                  <c:v>52.63402300176579</c:v>
                </c:pt>
                <c:pt idx="136">
                  <c:v>52.869710192133837</c:v>
                </c:pt>
                <c:pt idx="137">
                  <c:v>51.315744510434854</c:v>
                </c:pt>
                <c:pt idx="138">
                  <c:v>50.471216975503182</c:v>
                </c:pt>
                <c:pt idx="139">
                  <c:v>50.755570353926814</c:v>
                </c:pt>
                <c:pt idx="140">
                  <c:v>48.805350821299093</c:v>
                </c:pt>
                <c:pt idx="141">
                  <c:v>42.695405879129787</c:v>
                </c:pt>
                <c:pt idx="142">
                  <c:v>34.854864087732111</c:v>
                </c:pt>
                <c:pt idx="143">
                  <c:v>25.297466861378666</c:v>
                </c:pt>
                <c:pt idx="144">
                  <c:v>23.783861255814237</c:v>
                </c:pt>
                <c:pt idx="145">
                  <c:v>23.224610375960172</c:v>
                </c:pt>
                <c:pt idx="146">
                  <c:v>24.513421696140178</c:v>
                </c:pt>
                <c:pt idx="147">
                  <c:v>27.179343395722725</c:v>
                </c:pt>
                <c:pt idx="148">
                  <c:v>25.685062471254632</c:v>
                </c:pt>
                <c:pt idx="149">
                  <c:v>30.576158127822982</c:v>
                </c:pt>
                <c:pt idx="150">
                  <c:v>36.430251721858113</c:v>
                </c:pt>
                <c:pt idx="151">
                  <c:v>36.833559701324972</c:v>
                </c:pt>
                <c:pt idx="152">
                  <c:v>42.503684988572815</c:v>
                </c:pt>
                <c:pt idx="153">
                  <c:v>44.476281158063045</c:v>
                </c:pt>
                <c:pt idx="154">
                  <c:v>46.653366608515896</c:v>
                </c:pt>
                <c:pt idx="155">
                  <c:v>49.355063921239321</c:v>
                </c:pt>
                <c:pt idx="156">
                  <c:v>51.239766996774065</c:v>
                </c:pt>
                <c:pt idx="157">
                  <c:v>55.951236947705404</c:v>
                </c:pt>
                <c:pt idx="158">
                  <c:v>57.780354651157531</c:v>
                </c:pt>
                <c:pt idx="159">
                  <c:v>62.053311941468927</c:v>
                </c:pt>
                <c:pt idx="160">
                  <c:v>63.431003966165008</c:v>
                </c:pt>
                <c:pt idx="161">
                  <c:v>64.984965191815348</c:v>
                </c:pt>
                <c:pt idx="162">
                  <c:v>64.227953022594221</c:v>
                </c:pt>
                <c:pt idx="163">
                  <c:v>66.29487088352586</c:v>
                </c:pt>
                <c:pt idx="164">
                  <c:v>70.750826312636789</c:v>
                </c:pt>
                <c:pt idx="165">
                  <c:v>71.674053887828109</c:v>
                </c:pt>
                <c:pt idx="166">
                  <c:v>72.640892431725206</c:v>
                </c:pt>
                <c:pt idx="167">
                  <c:v>67.311769631305879</c:v>
                </c:pt>
                <c:pt idx="168">
                  <c:v>63.237407025789864</c:v>
                </c:pt>
                <c:pt idx="169">
                  <c:v>57.824362469217547</c:v>
                </c:pt>
                <c:pt idx="170">
                  <c:v>57.754565498309809</c:v>
                </c:pt>
                <c:pt idx="171">
                  <c:v>58.468305492910332</c:v>
                </c:pt>
                <c:pt idx="172">
                  <c:v>58.925103480904625</c:v>
                </c:pt>
                <c:pt idx="173">
                  <c:v>59.157151272487347</c:v>
                </c:pt>
                <c:pt idx="174">
                  <c:v>59.85762474267905</c:v>
                </c:pt>
                <c:pt idx="175">
                  <c:v>61.008038580237894</c:v>
                </c:pt>
                <c:pt idx="176">
                  <c:v>62.636053153437459</c:v>
                </c:pt>
                <c:pt idx="177">
                  <c:v>62.87712564162036</c:v>
                </c:pt>
                <c:pt idx="178">
                  <c:v>64.884764308821516</c:v>
                </c:pt>
                <c:pt idx="179">
                  <c:v>64.040899635744111</c:v>
                </c:pt>
                <c:pt idx="180">
                  <c:v>66.034132058840669</c:v>
                </c:pt>
                <c:pt idx="181">
                  <c:v>67.119111205071462</c:v>
                </c:pt>
                <c:pt idx="182">
                  <c:v>68.452756803791601</c:v>
                </c:pt>
                <c:pt idx="183">
                  <c:v>70.377611315266563</c:v>
                </c:pt>
                <c:pt idx="184">
                  <c:v>69.840774125885943</c:v>
                </c:pt>
                <c:pt idx="185">
                  <c:v>71.726812021726957</c:v>
                </c:pt>
                <c:pt idx="186">
                  <c:v>70.860445168589422</c:v>
                </c:pt>
                <c:pt idx="187">
                  <c:v>73.180641069363418</c:v>
                </c:pt>
                <c:pt idx="188">
                  <c:v>74.322131936653548</c:v>
                </c:pt>
                <c:pt idx="189">
                  <c:v>72.909792716123846</c:v>
                </c:pt>
                <c:pt idx="190">
                  <c:v>70.018811863409525</c:v>
                </c:pt>
                <c:pt idx="191">
                  <c:v>67.388823706212222</c:v>
                </c:pt>
                <c:pt idx="192">
                  <c:v>66.926352378155528</c:v>
                </c:pt>
                <c:pt idx="193">
                  <c:v>68.400324606888944</c:v>
                </c:pt>
                <c:pt idx="194">
                  <c:v>68.734279171377565</c:v>
                </c:pt>
                <c:pt idx="195">
                  <c:v>67.025586997683277</c:v>
                </c:pt>
                <c:pt idx="196">
                  <c:v>64.99075471096333</c:v>
                </c:pt>
                <c:pt idx="197">
                  <c:v>61.894925927601484</c:v>
                </c:pt>
                <c:pt idx="198">
                  <c:v>62.884335171587118</c:v>
                </c:pt>
                <c:pt idx="199">
                  <c:v>63.495257198137288</c:v>
                </c:pt>
                <c:pt idx="200">
                  <c:v>64.129963114931812</c:v>
                </c:pt>
                <c:pt idx="201">
                  <c:v>66.420038324807791</c:v>
                </c:pt>
                <c:pt idx="202">
                  <c:v>67.623373769634838</c:v>
                </c:pt>
                <c:pt idx="203">
                  <c:v>68.124298433017287</c:v>
                </c:pt>
                <c:pt idx="204">
                  <c:v>67.91145337930223</c:v>
                </c:pt>
                <c:pt idx="205">
                  <c:v>69.680852799287521</c:v>
                </c:pt>
                <c:pt idx="206">
                  <c:v>72.909359068862145</c:v>
                </c:pt>
                <c:pt idx="207">
                  <c:v>74.72569679408933</c:v>
                </c:pt>
                <c:pt idx="208">
                  <c:v>76.924818324143601</c:v>
                </c:pt>
                <c:pt idx="209">
                  <c:v>80.223430969001811</c:v>
                </c:pt>
                <c:pt idx="210">
                  <c:v>81.745092044462552</c:v>
                </c:pt>
                <c:pt idx="211">
                  <c:v>82.025796660787663</c:v>
                </c:pt>
                <c:pt idx="212">
                  <c:v>80.59168976538416</c:v>
                </c:pt>
                <c:pt idx="213">
                  <c:v>81.126198152349829</c:v>
                </c:pt>
                <c:pt idx="214">
                  <c:v>81.691142245730504</c:v>
                </c:pt>
                <c:pt idx="215">
                  <c:v>83.319304246734831</c:v>
                </c:pt>
                <c:pt idx="216">
                  <c:v>85.175292464749717</c:v>
                </c:pt>
                <c:pt idx="217">
                  <c:v>85.285036572885929</c:v>
                </c:pt>
                <c:pt idx="218">
                  <c:v>86.671068053948545</c:v>
                </c:pt>
                <c:pt idx="219">
                  <c:v>86.851401861076454</c:v>
                </c:pt>
                <c:pt idx="220">
                  <c:v>87.769860372365855</c:v>
                </c:pt>
                <c:pt idx="221">
                  <c:v>90.327283340233009</c:v>
                </c:pt>
                <c:pt idx="222">
                  <c:v>94.554813442358324</c:v>
                </c:pt>
                <c:pt idx="223">
                  <c:v>98.844795417033481</c:v>
                </c:pt>
                <c:pt idx="224">
                  <c:v>103.74497633015935</c:v>
                </c:pt>
                <c:pt idx="225">
                  <c:v>109.26061943406101</c:v>
                </c:pt>
                <c:pt idx="226">
                  <c:v>114.29882305565093</c:v>
                </c:pt>
                <c:pt idx="227">
                  <c:v>117.95280138796856</c:v>
                </c:pt>
                <c:pt idx="228">
                  <c:v>123.900176236782</c:v>
                </c:pt>
                <c:pt idx="229">
                  <c:v>128.93239519770989</c:v>
                </c:pt>
                <c:pt idx="230">
                  <c:v>133.79543694459204</c:v>
                </c:pt>
                <c:pt idx="231">
                  <c:v>139.71349062735661</c:v>
                </c:pt>
                <c:pt idx="232">
                  <c:v>147.5414805110307</c:v>
                </c:pt>
                <c:pt idx="233">
                  <c:v>154.35878385738471</c:v>
                </c:pt>
                <c:pt idx="234">
                  <c:v>160.88400059484536</c:v>
                </c:pt>
                <c:pt idx="235">
                  <c:v>166.53756071661257</c:v>
                </c:pt>
                <c:pt idx="236">
                  <c:v>171.98602553577408</c:v>
                </c:pt>
                <c:pt idx="237">
                  <c:v>172.97461531870641</c:v>
                </c:pt>
                <c:pt idx="238">
                  <c:v>169.95020914446195</c:v>
                </c:pt>
                <c:pt idx="239">
                  <c:v>163.60723439010906</c:v>
                </c:pt>
                <c:pt idx="240">
                  <c:v>159.81888380533672</c:v>
                </c:pt>
                <c:pt idx="241">
                  <c:v>156.06226781987445</c:v>
                </c:pt>
                <c:pt idx="242">
                  <c:v>152.95113210234368</c:v>
                </c:pt>
                <c:pt idx="243">
                  <c:v>150.61839130438986</c:v>
                </c:pt>
                <c:pt idx="244">
                  <c:v>149.93618490998503</c:v>
                </c:pt>
                <c:pt idx="245">
                  <c:v>150.27299737889101</c:v>
                </c:pt>
                <c:pt idx="246">
                  <c:v>149.40868825221577</c:v>
                </c:pt>
                <c:pt idx="247">
                  <c:v>148.32271907588259</c:v>
                </c:pt>
                <c:pt idx="248">
                  <c:v>148.04539890421006</c:v>
                </c:pt>
                <c:pt idx="249">
                  <c:v>149.39909057982584</c:v>
                </c:pt>
                <c:pt idx="250">
                  <c:v>153.03298126649847</c:v>
                </c:pt>
                <c:pt idx="251">
                  <c:v>157.76968617472872</c:v>
                </c:pt>
                <c:pt idx="252">
                  <c:v>163.10182159247645</c:v>
                </c:pt>
                <c:pt idx="253">
                  <c:v>168.00399174678736</c:v>
                </c:pt>
                <c:pt idx="254">
                  <c:v>172.4343309569885</c:v>
                </c:pt>
                <c:pt idx="255">
                  <c:v>176.17700099570015</c:v>
                </c:pt>
                <c:pt idx="256">
                  <c:v>178.10790160300621</c:v>
                </c:pt>
                <c:pt idx="257">
                  <c:v>177.9663868172712</c:v>
                </c:pt>
                <c:pt idx="258">
                  <c:v>172.02749032261116</c:v>
                </c:pt>
                <c:pt idx="259">
                  <c:v>163.52230673844483</c:v>
                </c:pt>
                <c:pt idx="260">
                  <c:v>152.62977211955274</c:v>
                </c:pt>
                <c:pt idx="261">
                  <c:v>144.05138884357726</c:v>
                </c:pt>
                <c:pt idx="262">
                  <c:v>137.51197044810621</c:v>
                </c:pt>
                <c:pt idx="263">
                  <c:v>133.032537224816</c:v>
                </c:pt>
                <c:pt idx="264">
                  <c:v>130.62391203806692</c:v>
                </c:pt>
                <c:pt idx="265">
                  <c:v>128.53247078181545</c:v>
                </c:pt>
                <c:pt idx="266">
                  <c:v>128.46286827831409</c:v>
                </c:pt>
                <c:pt idx="267">
                  <c:v>127.42870506974302</c:v>
                </c:pt>
                <c:pt idx="268">
                  <c:v>125.60497802792324</c:v>
                </c:pt>
                <c:pt idx="269">
                  <c:v>122.44746576334425</c:v>
                </c:pt>
                <c:pt idx="270">
                  <c:v>118.76085741137588</c:v>
                </c:pt>
                <c:pt idx="271">
                  <c:v>115.62975747536122</c:v>
                </c:pt>
                <c:pt idx="272">
                  <c:v>112.4382657084857</c:v>
                </c:pt>
                <c:pt idx="273">
                  <c:v>112.44300044965284</c:v>
                </c:pt>
                <c:pt idx="274">
                  <c:v>114.29094991079303</c:v>
                </c:pt>
                <c:pt idx="275">
                  <c:v>114.2858840628455</c:v>
                </c:pt>
                <c:pt idx="276">
                  <c:v>115.06254767846558</c:v>
                </c:pt>
                <c:pt idx="277">
                  <c:v>115.25404903684924</c:v>
                </c:pt>
                <c:pt idx="278">
                  <c:v>113.84408340739031</c:v>
                </c:pt>
                <c:pt idx="279">
                  <c:v>111.15453076405373</c:v>
                </c:pt>
                <c:pt idx="280">
                  <c:v>108.38727263247945</c:v>
                </c:pt>
                <c:pt idx="281">
                  <c:v>103.24286548836254</c:v>
                </c:pt>
                <c:pt idx="282">
                  <c:v>98.317069120839776</c:v>
                </c:pt>
                <c:pt idx="283">
                  <c:v>97.898639313913662</c:v>
                </c:pt>
                <c:pt idx="284">
                  <c:v>96.331254924080326</c:v>
                </c:pt>
                <c:pt idx="285">
                  <c:v>96.698807917761144</c:v>
                </c:pt>
                <c:pt idx="286">
                  <c:v>96.789378873547136</c:v>
                </c:pt>
                <c:pt idx="287">
                  <c:v>97.034411281238476</c:v>
                </c:pt>
                <c:pt idx="288">
                  <c:v>98.268770131386802</c:v>
                </c:pt>
                <c:pt idx="289">
                  <c:v>96.591300786396104</c:v>
                </c:pt>
                <c:pt idx="290">
                  <c:v>96.291612053067269</c:v>
                </c:pt>
                <c:pt idx="291">
                  <c:v>92.890852356348631</c:v>
                </c:pt>
                <c:pt idx="292">
                  <c:v>90.46686975312862</c:v>
                </c:pt>
                <c:pt idx="293">
                  <c:v>86.992037871010368</c:v>
                </c:pt>
                <c:pt idx="294">
                  <c:v>85.723765500348307</c:v>
                </c:pt>
                <c:pt idx="295">
                  <c:v>86.342704864634499</c:v>
                </c:pt>
                <c:pt idx="296">
                  <c:v>87.036235877577013</c:v>
                </c:pt>
                <c:pt idx="297">
                  <c:v>87.094355314771718</c:v>
                </c:pt>
                <c:pt idx="298">
                  <c:v>88.281093972455182</c:v>
                </c:pt>
                <c:pt idx="299">
                  <c:v>90.571932740188331</c:v>
                </c:pt>
                <c:pt idx="300">
                  <c:v>91.88562696329825</c:v>
                </c:pt>
                <c:pt idx="301">
                  <c:v>93.000476751594761</c:v>
                </c:pt>
                <c:pt idx="302">
                  <c:v>95.437409626569533</c:v>
                </c:pt>
                <c:pt idx="303">
                  <c:v>96.904947513358564</c:v>
                </c:pt>
                <c:pt idx="304">
                  <c:v>98.317109851730862</c:v>
                </c:pt>
                <c:pt idx="305">
                  <c:v>98.637866115769654</c:v>
                </c:pt>
                <c:pt idx="306">
                  <c:v>97.789254235243334</c:v>
                </c:pt>
                <c:pt idx="307">
                  <c:v>94.86720048507442</c:v>
                </c:pt>
                <c:pt idx="308">
                  <c:v>91.92393589662683</c:v>
                </c:pt>
                <c:pt idx="309">
                  <c:v>89.478328126230736</c:v>
                </c:pt>
                <c:pt idx="310">
                  <c:v>87.967395743483976</c:v>
                </c:pt>
                <c:pt idx="311">
                  <c:v>87.223554664060813</c:v>
                </c:pt>
                <c:pt idx="312">
                  <c:v>87.204484190372796</c:v>
                </c:pt>
                <c:pt idx="313">
                  <c:v>87.694066969277657</c:v>
                </c:pt>
                <c:pt idx="314">
                  <c:v>87.867729520791272</c:v>
                </c:pt>
                <c:pt idx="315">
                  <c:v>89.895490931182366</c:v>
                </c:pt>
                <c:pt idx="316">
                  <c:v>91.44038271635165</c:v>
                </c:pt>
                <c:pt idx="317">
                  <c:v>93.205537999932218</c:v>
                </c:pt>
                <c:pt idx="318">
                  <c:v>95.294271296503041</c:v>
                </c:pt>
                <c:pt idx="319">
                  <c:v>97.373894821530399</c:v>
                </c:pt>
                <c:pt idx="320">
                  <c:v>99.384907908779056</c:v>
                </c:pt>
                <c:pt idx="321">
                  <c:v>102.43291762021444</c:v>
                </c:pt>
                <c:pt idx="322">
                  <c:v>104.34390644132918</c:v>
                </c:pt>
                <c:pt idx="323">
                  <c:v>106.3073193173684</c:v>
                </c:pt>
                <c:pt idx="324">
                  <c:v>107.16835209397222</c:v>
                </c:pt>
                <c:pt idx="325">
                  <c:v>109.26911783040165</c:v>
                </c:pt>
                <c:pt idx="326">
                  <c:v>110.84843175069398</c:v>
                </c:pt>
                <c:pt idx="327">
                  <c:v>112.61264992487963</c:v>
                </c:pt>
                <c:pt idx="328">
                  <c:v>114.99829262444827</c:v>
                </c:pt>
                <c:pt idx="329">
                  <c:v>117.06034515641802</c:v>
                </c:pt>
                <c:pt idx="330">
                  <c:v>119.05909241241291</c:v>
                </c:pt>
                <c:pt idx="331">
                  <c:v>120.33947949844655</c:v>
                </c:pt>
                <c:pt idx="332">
                  <c:v>120.76496311907268</c:v>
                </c:pt>
                <c:pt idx="333">
                  <c:v>120.58614289207543</c:v>
                </c:pt>
                <c:pt idx="334">
                  <c:v>119.43944374766393</c:v>
                </c:pt>
                <c:pt idx="335">
                  <c:v>117.21066571604571</c:v>
                </c:pt>
                <c:pt idx="336">
                  <c:v>113.73170945220612</c:v>
                </c:pt>
                <c:pt idx="337">
                  <c:v>108.23810697494291</c:v>
                </c:pt>
                <c:pt idx="338">
                  <c:v>100.70182847431319</c:v>
                </c:pt>
                <c:pt idx="339">
                  <c:v>92.277581337755421</c:v>
                </c:pt>
                <c:pt idx="340">
                  <c:v>83.25068716465637</c:v>
                </c:pt>
                <c:pt idx="341">
                  <c:v>75.716158933122784</c:v>
                </c:pt>
                <c:pt idx="342">
                  <c:v>69.260620516432979</c:v>
                </c:pt>
                <c:pt idx="343">
                  <c:v>63.712158899704313</c:v>
                </c:pt>
                <c:pt idx="344">
                  <c:v>60.323040579499072</c:v>
                </c:pt>
                <c:pt idx="345">
                  <c:v>56.899304384421313</c:v>
                </c:pt>
                <c:pt idx="346">
                  <c:v>55.667124992355618</c:v>
                </c:pt>
                <c:pt idx="347">
                  <c:v>54.826083248419465</c:v>
                </c:pt>
                <c:pt idx="348">
                  <c:v>55.017303541972062</c:v>
                </c:pt>
                <c:pt idx="349">
                  <c:v>54.414069901615306</c:v>
                </c:pt>
                <c:pt idx="350">
                  <c:v>55.20240014726631</c:v>
                </c:pt>
                <c:pt idx="351">
                  <c:v>55.694442993694757</c:v>
                </c:pt>
                <c:pt idx="352">
                  <c:v>56.254266182869912</c:v>
                </c:pt>
                <c:pt idx="353">
                  <c:v>57.035846166928479</c:v>
                </c:pt>
                <c:pt idx="354">
                  <c:v>57.546203702464759</c:v>
                </c:pt>
                <c:pt idx="355">
                  <c:v>58.263320476396068</c:v>
                </c:pt>
                <c:pt idx="356">
                  <c:v>58.389187679998642</c:v>
                </c:pt>
                <c:pt idx="357">
                  <c:v>59.240929191969428</c:v>
                </c:pt>
                <c:pt idx="358">
                  <c:v>59.642292644965117</c:v>
                </c:pt>
                <c:pt idx="359">
                  <c:v>60.236883879353584</c:v>
                </c:pt>
                <c:pt idx="360">
                  <c:v>59.93959249636567</c:v>
                </c:pt>
                <c:pt idx="361">
                  <c:v>60.132199413852234</c:v>
                </c:pt>
                <c:pt idx="362">
                  <c:v>59.42212778812862</c:v>
                </c:pt>
                <c:pt idx="363">
                  <c:v>58.06388105610484</c:v>
                </c:pt>
                <c:pt idx="364">
                  <c:v>55.754180939200729</c:v>
                </c:pt>
                <c:pt idx="365">
                  <c:v>52.591288991579916</c:v>
                </c:pt>
                <c:pt idx="366">
                  <c:v>49.414319164994609</c:v>
                </c:pt>
                <c:pt idx="367">
                  <c:v>46.639232495172664</c:v>
                </c:pt>
                <c:pt idx="368">
                  <c:v>44.264303124230103</c:v>
                </c:pt>
                <c:pt idx="369">
                  <c:v>42.600293386581718</c:v>
                </c:pt>
                <c:pt idx="370">
                  <c:v>41.503049101120155</c:v>
                </c:pt>
                <c:pt idx="371">
                  <c:v>40.590699882179941</c:v>
                </c:pt>
                <c:pt idx="372">
                  <c:v>39.743798430505933</c:v>
                </c:pt>
                <c:pt idx="373">
                  <c:v>38.80280123995491</c:v>
                </c:pt>
                <c:pt idx="374">
                  <c:v>38.289982603484468</c:v>
                </c:pt>
                <c:pt idx="375">
                  <c:v>37.547167501374098</c:v>
                </c:pt>
                <c:pt idx="376">
                  <c:v>37.334490400562643</c:v>
                </c:pt>
                <c:pt idx="377">
                  <c:v>36.492608136167384</c:v>
                </c:pt>
                <c:pt idx="378">
                  <c:v>36.013400085915393</c:v>
                </c:pt>
                <c:pt idx="379">
                  <c:v>35.032471189752101</c:v>
                </c:pt>
                <c:pt idx="380">
                  <c:v>34.345834139460095</c:v>
                </c:pt>
                <c:pt idx="381">
                  <c:v>33.612818117754351</c:v>
                </c:pt>
                <c:pt idx="382">
                  <c:v>32.629553367432997</c:v>
                </c:pt>
                <c:pt idx="383">
                  <c:v>31.907959244404442</c:v>
                </c:pt>
                <c:pt idx="384">
                  <c:v>31.590157564568305</c:v>
                </c:pt>
                <c:pt idx="385">
                  <c:v>30.20614216458727</c:v>
                </c:pt>
                <c:pt idx="386">
                  <c:v>29.276364295329049</c:v>
                </c:pt>
                <c:pt idx="387">
                  <c:v>28.200153591127904</c:v>
                </c:pt>
                <c:pt idx="388">
                  <c:v>26.504943344545705</c:v>
                </c:pt>
                <c:pt idx="389">
                  <c:v>25.071380791057447</c:v>
                </c:pt>
                <c:pt idx="390">
                  <c:v>23.499167304856901</c:v>
                </c:pt>
                <c:pt idx="391">
                  <c:v>21.990723861104907</c:v>
                </c:pt>
                <c:pt idx="392">
                  <c:v>20.687626282151388</c:v>
                </c:pt>
                <c:pt idx="393">
                  <c:v>19.975436797096489</c:v>
                </c:pt>
                <c:pt idx="394">
                  <c:v>19.273060793548186</c:v>
                </c:pt>
                <c:pt idx="395">
                  <c:v>19.254539070046771</c:v>
                </c:pt>
                <c:pt idx="396">
                  <c:v>18.6015065986868</c:v>
                </c:pt>
                <c:pt idx="397">
                  <c:v>18.257272553743956</c:v>
                </c:pt>
                <c:pt idx="398">
                  <c:v>17.54274929860297</c:v>
                </c:pt>
                <c:pt idx="399">
                  <c:v>17.588770453043963</c:v>
                </c:pt>
                <c:pt idx="400">
                  <c:v>16.580754119867308</c:v>
                </c:pt>
              </c:numCache>
            </c:numRef>
          </c:yVal>
          <c:smooth val="1"/>
          <c:extLst>
            <c:ext xmlns:c16="http://schemas.microsoft.com/office/drawing/2014/chart" uri="{C3380CC4-5D6E-409C-BE32-E72D297353CC}">
              <c16:uniqueId val="{00000003-6E90-4472-9EC1-0343BAA5C61F}"/>
            </c:ext>
          </c:extLst>
        </c:ser>
        <c:ser>
          <c:idx val="4"/>
          <c:order val="4"/>
          <c:tx>
            <c:strRef>
              <c:f>'Typical AS7341 filters'!$F$4</c:f>
              <c:strCache>
                <c:ptCount val="1"/>
                <c:pt idx="0">
                  <c:v>F5 - 512x</c:v>
                </c:pt>
              </c:strCache>
            </c:strRef>
          </c:tx>
          <c:spPr>
            <a:ln w="19050" cap="rnd">
              <a:solidFill>
                <a:schemeClr val="accent5"/>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filters'!$F$5:$F$405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2.926427132990467</c:v>
                </c:pt>
                <c:pt idx="104">
                  <c:v>25.668841716584449</c:v>
                </c:pt>
                <c:pt idx="105">
                  <c:v>39.658700423550201</c:v>
                </c:pt>
                <c:pt idx="106">
                  <c:v>73.35255649610032</c:v>
                </c:pt>
                <c:pt idx="107">
                  <c:v>106.55988287081904</c:v>
                </c:pt>
                <c:pt idx="108">
                  <c:v>157.07074270417183</c:v>
                </c:pt>
                <c:pt idx="109">
                  <c:v>213.79747623752402</c:v>
                </c:pt>
                <c:pt idx="110">
                  <c:v>286.47453474098808</c:v>
                </c:pt>
                <c:pt idx="111">
                  <c:v>379.98197667431651</c:v>
                </c:pt>
                <c:pt idx="112">
                  <c:v>497.27491985334427</c:v>
                </c:pt>
                <c:pt idx="113">
                  <c:v>658.68698993275007</c:v>
                </c:pt>
                <c:pt idx="114">
                  <c:v>843.2861142580166</c:v>
                </c:pt>
                <c:pt idx="115">
                  <c:v>1049.0951361913706</c:v>
                </c:pt>
                <c:pt idx="116">
                  <c:v>1302.1460252034376</c:v>
                </c:pt>
                <c:pt idx="117">
                  <c:v>1578.8222237752666</c:v>
                </c:pt>
                <c:pt idx="118">
                  <c:v>1829.439997320791</c:v>
                </c:pt>
                <c:pt idx="119">
                  <c:v>1958.1230061301046</c:v>
                </c:pt>
                <c:pt idx="120">
                  <c:v>2270.7400081369733</c:v>
                </c:pt>
                <c:pt idx="121">
                  <c:v>2580.2678284275694</c:v>
                </c:pt>
                <c:pt idx="122">
                  <c:v>2912.6602799961615</c:v>
                </c:pt>
                <c:pt idx="123">
                  <c:v>3224.6915288454629</c:v>
                </c:pt>
                <c:pt idx="124">
                  <c:v>3477.1119515448327</c:v>
                </c:pt>
                <c:pt idx="125">
                  <c:v>3616.7876969593949</c:v>
                </c:pt>
                <c:pt idx="126">
                  <c:v>3662.9204641052988</c:v>
                </c:pt>
                <c:pt idx="127">
                  <c:v>3664.0562947349381</c:v>
                </c:pt>
                <c:pt idx="128">
                  <c:v>3637.6195297836284</c:v>
                </c:pt>
                <c:pt idx="129">
                  <c:v>3569.1301109788569</c:v>
                </c:pt>
                <c:pt idx="130">
                  <c:v>3484.4515643062541</c:v>
                </c:pt>
                <c:pt idx="131">
                  <c:v>3377.0237606396986</c:v>
                </c:pt>
                <c:pt idx="132">
                  <c:v>3236.8419085335877</c:v>
                </c:pt>
                <c:pt idx="133">
                  <c:v>3071.7042300964436</c:v>
                </c:pt>
                <c:pt idx="134">
                  <c:v>2868.6762639222416</c:v>
                </c:pt>
                <c:pt idx="135">
                  <c:v>2626.4898606821744</c:v>
                </c:pt>
                <c:pt idx="136">
                  <c:v>2369.4780692839981</c:v>
                </c:pt>
                <c:pt idx="137">
                  <c:v>2096.9705693633036</c:v>
                </c:pt>
                <c:pt idx="138">
                  <c:v>1816.4737993028184</c:v>
                </c:pt>
                <c:pt idx="139">
                  <c:v>1518.3166331588966</c:v>
                </c:pt>
                <c:pt idx="140">
                  <c:v>1243.579478279964</c:v>
                </c:pt>
                <c:pt idx="141">
                  <c:v>1028.0104948897138</c:v>
                </c:pt>
                <c:pt idx="142">
                  <c:v>863.36440368666149</c:v>
                </c:pt>
                <c:pt idx="143">
                  <c:v>721.44627715783611</c:v>
                </c:pt>
                <c:pt idx="144">
                  <c:v>588.53397852622686</c:v>
                </c:pt>
                <c:pt idx="145">
                  <c:v>498.86463087562447</c:v>
                </c:pt>
                <c:pt idx="146">
                  <c:v>431.99124272065893</c:v>
                </c:pt>
                <c:pt idx="147">
                  <c:v>350.56746312110164</c:v>
                </c:pt>
                <c:pt idx="148">
                  <c:v>258.22661020207784</c:v>
                </c:pt>
                <c:pt idx="149">
                  <c:v>193.49688128652153</c:v>
                </c:pt>
                <c:pt idx="150">
                  <c:v>136.05583806326598</c:v>
                </c:pt>
                <c:pt idx="151">
                  <c:v>87.525290379386078</c:v>
                </c:pt>
                <c:pt idx="152">
                  <c:v>53.576073515007764</c:v>
                </c:pt>
                <c:pt idx="153">
                  <c:v>40.9742117755384</c:v>
                </c:pt>
                <c:pt idx="154">
                  <c:v>34.646985496030183</c:v>
                </c:pt>
                <c:pt idx="155">
                  <c:v>28.202893669279614</c:v>
                </c:pt>
                <c:pt idx="156">
                  <c:v>24.306043318982571</c:v>
                </c:pt>
                <c:pt idx="157">
                  <c:v>25.081588976557597</c:v>
                </c:pt>
                <c:pt idx="158">
                  <c:v>26.377987992919746</c:v>
                </c:pt>
                <c:pt idx="159">
                  <c:v>28.26190444858981</c:v>
                </c:pt>
                <c:pt idx="160">
                  <c:v>30.663328931511042</c:v>
                </c:pt>
                <c:pt idx="161">
                  <c:v>33.521656252791622</c:v>
                </c:pt>
                <c:pt idx="162">
                  <c:v>35.714198093281091</c:v>
                </c:pt>
                <c:pt idx="163">
                  <c:v>38.64849919592784</c:v>
                </c:pt>
                <c:pt idx="164">
                  <c:v>42.284673538411838</c:v>
                </c:pt>
                <c:pt idx="165">
                  <c:v>46.520517995118617</c:v>
                </c:pt>
                <c:pt idx="166">
                  <c:v>48.250519790416014</c:v>
                </c:pt>
                <c:pt idx="167">
                  <c:v>53.277655499682261</c:v>
                </c:pt>
                <c:pt idx="168">
                  <c:v>56.86266841431911</c:v>
                </c:pt>
                <c:pt idx="169">
                  <c:v>61.078547370082603</c:v>
                </c:pt>
                <c:pt idx="170">
                  <c:v>66.35630929593043</c:v>
                </c:pt>
                <c:pt idx="171">
                  <c:v>69.582115627926342</c:v>
                </c:pt>
                <c:pt idx="172">
                  <c:v>71.755569561424181</c:v>
                </c:pt>
                <c:pt idx="173">
                  <c:v>73.420337942928967</c:v>
                </c:pt>
                <c:pt idx="174">
                  <c:v>78.045133799108456</c:v>
                </c:pt>
                <c:pt idx="175">
                  <c:v>82.780424095861832</c:v>
                </c:pt>
                <c:pt idx="176">
                  <c:v>86.124573085976508</c:v>
                </c:pt>
                <c:pt idx="177">
                  <c:v>90.2341908330622</c:v>
                </c:pt>
                <c:pt idx="178">
                  <c:v>93.843400728530455</c:v>
                </c:pt>
                <c:pt idx="179">
                  <c:v>101.21900580011905</c:v>
                </c:pt>
                <c:pt idx="180">
                  <c:v>107.43816984493048</c:v>
                </c:pt>
                <c:pt idx="181">
                  <c:v>111.58552237843129</c:v>
                </c:pt>
                <c:pt idx="182">
                  <c:v>114.29536060269447</c:v>
                </c:pt>
                <c:pt idx="183">
                  <c:v>118.18514319998117</c:v>
                </c:pt>
                <c:pt idx="184">
                  <c:v>124.8606863006391</c:v>
                </c:pt>
                <c:pt idx="185">
                  <c:v>132.40327485243154</c:v>
                </c:pt>
                <c:pt idx="186">
                  <c:v>138.93424361706579</c:v>
                </c:pt>
                <c:pt idx="187">
                  <c:v>144.38875812068468</c:v>
                </c:pt>
                <c:pt idx="188">
                  <c:v>149.81777121967528</c:v>
                </c:pt>
                <c:pt idx="189">
                  <c:v>156.6784907303938</c:v>
                </c:pt>
                <c:pt idx="190">
                  <c:v>162.35131102394956</c:v>
                </c:pt>
                <c:pt idx="191">
                  <c:v>170.85834905682702</c:v>
                </c:pt>
                <c:pt idx="192">
                  <c:v>177.6487030547641</c:v>
                </c:pt>
                <c:pt idx="193">
                  <c:v>179.95126721647094</c:v>
                </c:pt>
                <c:pt idx="194">
                  <c:v>176.04965237355563</c:v>
                </c:pt>
                <c:pt idx="195">
                  <c:v>166.07451000537077</c:v>
                </c:pt>
                <c:pt idx="196">
                  <c:v>155.90374776817984</c:v>
                </c:pt>
                <c:pt idx="197">
                  <c:v>151.78993739387982</c:v>
                </c:pt>
                <c:pt idx="198">
                  <c:v>149.6023833819682</c:v>
                </c:pt>
                <c:pt idx="199">
                  <c:v>147.24331195085284</c:v>
                </c:pt>
                <c:pt idx="200">
                  <c:v>142.79362891879998</c:v>
                </c:pt>
                <c:pt idx="201">
                  <c:v>132.4781145879</c:v>
                </c:pt>
                <c:pt idx="202">
                  <c:v>121.54174378862368</c:v>
                </c:pt>
                <c:pt idx="203">
                  <c:v>115.75738308934864</c:v>
                </c:pt>
                <c:pt idx="204">
                  <c:v>114.67897140568186</c:v>
                </c:pt>
                <c:pt idx="205">
                  <c:v>113.8120595721696</c:v>
                </c:pt>
                <c:pt idx="206">
                  <c:v>113.55320715614961</c:v>
                </c:pt>
                <c:pt idx="207">
                  <c:v>113.68981012243592</c:v>
                </c:pt>
                <c:pt idx="208">
                  <c:v>111.56763489044384</c:v>
                </c:pt>
                <c:pt idx="209">
                  <c:v>110.57344578249587</c:v>
                </c:pt>
                <c:pt idx="210">
                  <c:v>112.59898795712301</c:v>
                </c:pt>
                <c:pt idx="211">
                  <c:v>116.39513694630129</c:v>
                </c:pt>
                <c:pt idx="212">
                  <c:v>119.73622479428504</c:v>
                </c:pt>
                <c:pt idx="213">
                  <c:v>121.86642866553862</c:v>
                </c:pt>
                <c:pt idx="214">
                  <c:v>124.22015339318237</c:v>
                </c:pt>
                <c:pt idx="215">
                  <c:v>123.38348033133497</c:v>
                </c:pt>
                <c:pt idx="216">
                  <c:v>120.66499765839542</c:v>
                </c:pt>
                <c:pt idx="217">
                  <c:v>119.57672836156715</c:v>
                </c:pt>
                <c:pt idx="218">
                  <c:v>120.12930377087324</c:v>
                </c:pt>
                <c:pt idx="219">
                  <c:v>121.0926116297144</c:v>
                </c:pt>
                <c:pt idx="220">
                  <c:v>121.01872804906658</c:v>
                </c:pt>
                <c:pt idx="221">
                  <c:v>119.36105298530789</c:v>
                </c:pt>
                <c:pt idx="222">
                  <c:v>111.63220370286028</c:v>
                </c:pt>
                <c:pt idx="223">
                  <c:v>101.73077484526803</c:v>
                </c:pt>
                <c:pt idx="224">
                  <c:v>94.149018659132381</c:v>
                </c:pt>
                <c:pt idx="225">
                  <c:v>90.717219796333509</c:v>
                </c:pt>
                <c:pt idx="226">
                  <c:v>88.736785950553283</c:v>
                </c:pt>
                <c:pt idx="227">
                  <c:v>87.501533844573871</c:v>
                </c:pt>
                <c:pt idx="228">
                  <c:v>85.550121687301868</c:v>
                </c:pt>
                <c:pt idx="229">
                  <c:v>82.368321536378701</c:v>
                </c:pt>
                <c:pt idx="230">
                  <c:v>77.735896325349557</c:v>
                </c:pt>
                <c:pt idx="231">
                  <c:v>73.147439911227082</c:v>
                </c:pt>
                <c:pt idx="232">
                  <c:v>67.717756439678197</c:v>
                </c:pt>
                <c:pt idx="233">
                  <c:v>65.093346583508719</c:v>
                </c:pt>
                <c:pt idx="234">
                  <c:v>66.347871520639444</c:v>
                </c:pt>
                <c:pt idx="235">
                  <c:v>67.504771997790698</c:v>
                </c:pt>
                <c:pt idx="236">
                  <c:v>67.781581977858863</c:v>
                </c:pt>
                <c:pt idx="237">
                  <c:v>69.855133109477592</c:v>
                </c:pt>
                <c:pt idx="238">
                  <c:v>71.516619801831382</c:v>
                </c:pt>
                <c:pt idx="239">
                  <c:v>72.626613094764949</c:v>
                </c:pt>
                <c:pt idx="240">
                  <c:v>74.555707581645905</c:v>
                </c:pt>
                <c:pt idx="241">
                  <c:v>75.340405154422157</c:v>
                </c:pt>
                <c:pt idx="242">
                  <c:v>76.575796150845719</c:v>
                </c:pt>
                <c:pt idx="243">
                  <c:v>77.627952680308027</c:v>
                </c:pt>
                <c:pt idx="244">
                  <c:v>79.330241271724148</c:v>
                </c:pt>
                <c:pt idx="245">
                  <c:v>81.874282539314251</c:v>
                </c:pt>
                <c:pt idx="246">
                  <c:v>85.08280183826318</c:v>
                </c:pt>
                <c:pt idx="247">
                  <c:v>87.090466849297869</c:v>
                </c:pt>
                <c:pt idx="248">
                  <c:v>90.159856154040739</c:v>
                </c:pt>
                <c:pt idx="249">
                  <c:v>92.614864006007025</c:v>
                </c:pt>
                <c:pt idx="250">
                  <c:v>94.222785986397795</c:v>
                </c:pt>
                <c:pt idx="251">
                  <c:v>95.21315738232957</c:v>
                </c:pt>
                <c:pt idx="252">
                  <c:v>95.302633008937207</c:v>
                </c:pt>
                <c:pt idx="253">
                  <c:v>97.502316638760533</c:v>
                </c:pt>
                <c:pt idx="254">
                  <c:v>99.241231674371662</c:v>
                </c:pt>
                <c:pt idx="255">
                  <c:v>103.11218340484537</c:v>
                </c:pt>
                <c:pt idx="256">
                  <c:v>106.73457684370166</c:v>
                </c:pt>
                <c:pt idx="257">
                  <c:v>108.78141003500684</c:v>
                </c:pt>
                <c:pt idx="258">
                  <c:v>113.37679970564993</c:v>
                </c:pt>
                <c:pt idx="259">
                  <c:v>113.96347679234739</c:v>
                </c:pt>
                <c:pt idx="260">
                  <c:v>116.819639605094</c:v>
                </c:pt>
                <c:pt idx="261">
                  <c:v>118.95152563598425</c:v>
                </c:pt>
                <c:pt idx="262">
                  <c:v>119.20609799542646</c:v>
                </c:pt>
                <c:pt idx="263">
                  <c:v>123.46810644394687</c:v>
                </c:pt>
                <c:pt idx="264">
                  <c:v>124.77508015576544</c:v>
                </c:pt>
                <c:pt idx="265">
                  <c:v>126.16022719356047</c:v>
                </c:pt>
                <c:pt idx="266">
                  <c:v>129.96410380076517</c:v>
                </c:pt>
                <c:pt idx="267">
                  <c:v>130.19889431038962</c:v>
                </c:pt>
                <c:pt idx="268">
                  <c:v>130.46847044314583</c:v>
                </c:pt>
                <c:pt idx="269">
                  <c:v>129.15691594215764</c:v>
                </c:pt>
                <c:pt idx="270">
                  <c:v>127.06581247510846</c:v>
                </c:pt>
                <c:pt idx="271">
                  <c:v>123.02348974732038</c:v>
                </c:pt>
                <c:pt idx="272">
                  <c:v>119.5417662496355</c:v>
                </c:pt>
                <c:pt idx="273">
                  <c:v>116.85252987905099</c:v>
                </c:pt>
                <c:pt idx="274">
                  <c:v>115.0818907406255</c:v>
                </c:pt>
                <c:pt idx="275">
                  <c:v>114.2858840628455</c:v>
                </c:pt>
                <c:pt idx="276">
                  <c:v>115.83091193675249</c:v>
                </c:pt>
                <c:pt idx="277">
                  <c:v>115.44299010084409</c:v>
                </c:pt>
                <c:pt idx="278">
                  <c:v>115.32981369655691</c:v>
                </c:pt>
                <c:pt idx="279">
                  <c:v>116.99516292242767</c:v>
                </c:pt>
                <c:pt idx="280">
                  <c:v>117.88235602011814</c:v>
                </c:pt>
                <c:pt idx="281">
                  <c:v>117.84109008041381</c:v>
                </c:pt>
                <c:pt idx="282">
                  <c:v>116.94556642794626</c:v>
                </c:pt>
                <c:pt idx="283">
                  <c:v>116.32860768216337</c:v>
                </c:pt>
                <c:pt idx="284">
                  <c:v>111.91669031627232</c:v>
                </c:pt>
                <c:pt idx="285">
                  <c:v>108.72521428064238</c:v>
                </c:pt>
                <c:pt idx="286">
                  <c:v>104.58983868407971</c:v>
                </c:pt>
                <c:pt idx="287">
                  <c:v>101.0905120743449</c:v>
                </c:pt>
                <c:pt idx="288">
                  <c:v>98.574427270209156</c:v>
                </c:pt>
                <c:pt idx="289">
                  <c:v>96.591300786396104</c:v>
                </c:pt>
                <c:pt idx="290">
                  <c:v>95.264110095183923</c:v>
                </c:pt>
                <c:pt idx="291">
                  <c:v>92.890852356348631</c:v>
                </c:pt>
                <c:pt idx="292">
                  <c:v>88.353157843008788</c:v>
                </c:pt>
                <c:pt idx="293">
                  <c:v>81.330651279404933</c:v>
                </c:pt>
                <c:pt idx="294">
                  <c:v>72.608299800768194</c:v>
                </c:pt>
                <c:pt idx="295">
                  <c:v>67.670432800350056</c:v>
                </c:pt>
                <c:pt idx="296">
                  <c:v>64.466481715582376</c:v>
                </c:pt>
                <c:pt idx="297">
                  <c:v>62.046781596508893</c:v>
                </c:pt>
                <c:pt idx="298">
                  <c:v>60.973806430127937</c:v>
                </c:pt>
                <c:pt idx="299">
                  <c:v>59.574052016273605</c:v>
                </c:pt>
                <c:pt idx="300">
                  <c:v>59.713785998112435</c:v>
                </c:pt>
                <c:pt idx="301">
                  <c:v>59.362006437188143</c:v>
                </c:pt>
                <c:pt idx="302">
                  <c:v>58.678024579015236</c:v>
                </c:pt>
                <c:pt idx="303">
                  <c:v>57.470795461679707</c:v>
                </c:pt>
                <c:pt idx="304">
                  <c:v>57.14062711427583</c:v>
                </c:pt>
                <c:pt idx="305">
                  <c:v>54.834866360411418</c:v>
                </c:pt>
                <c:pt idx="306">
                  <c:v>52.295992482325786</c:v>
                </c:pt>
                <c:pt idx="307">
                  <c:v>49.732144747682185</c:v>
                </c:pt>
                <c:pt idx="308">
                  <c:v>47.093023087981081</c:v>
                </c:pt>
                <c:pt idx="309">
                  <c:v>44.13184509393281</c:v>
                </c:pt>
                <c:pt idx="310">
                  <c:v>43.037276286732812</c:v>
                </c:pt>
                <c:pt idx="311">
                  <c:v>42.189120928623346</c:v>
                </c:pt>
                <c:pt idx="312">
                  <c:v>41.281945398325036</c:v>
                </c:pt>
                <c:pt idx="313">
                  <c:v>40.415526516275783</c:v>
                </c:pt>
                <c:pt idx="314">
                  <c:v>39.88856243770396</c:v>
                </c:pt>
                <c:pt idx="315">
                  <c:v>39.084996057035809</c:v>
                </c:pt>
                <c:pt idx="316">
                  <c:v>38.438144750724433</c:v>
                </c:pt>
                <c:pt idx="317">
                  <c:v>38.287372962717249</c:v>
                </c:pt>
                <c:pt idx="318">
                  <c:v>37.575750577578454</c:v>
                </c:pt>
                <c:pt idx="319">
                  <c:v>37.149967191745823</c:v>
                </c:pt>
                <c:pt idx="320">
                  <c:v>36.939523293528495</c:v>
                </c:pt>
                <c:pt idx="321">
                  <c:v>35.68574387280043</c:v>
                </c:pt>
                <c:pt idx="322">
                  <c:v>35.214984218769452</c:v>
                </c:pt>
                <c:pt idx="323">
                  <c:v>34.231644893456817</c:v>
                </c:pt>
                <c:pt idx="324">
                  <c:v>33.276797226631494</c:v>
                </c:pt>
                <c:pt idx="325">
                  <c:v>33.37366854664981</c:v>
                </c:pt>
                <c:pt idx="326">
                  <c:v>33.279741450549515</c:v>
                </c:pt>
                <c:pt idx="327">
                  <c:v>32.449126533909762</c:v>
                </c:pt>
                <c:pt idx="328">
                  <c:v>33.365235369080381</c:v>
                </c:pt>
                <c:pt idx="329">
                  <c:v>33.844815582066119</c:v>
                </c:pt>
                <c:pt idx="330">
                  <c:v>34.494517870171684</c:v>
                </c:pt>
                <c:pt idx="331">
                  <c:v>34.984290136829692</c:v>
                </c:pt>
                <c:pt idx="332">
                  <c:v>35.538025098954805</c:v>
                </c:pt>
                <c:pt idx="333">
                  <c:v>36.175842867622627</c:v>
                </c:pt>
                <c:pt idx="334">
                  <c:v>36.799403651338693</c:v>
                </c:pt>
                <c:pt idx="335">
                  <c:v>37.731121557786224</c:v>
                </c:pt>
                <c:pt idx="336">
                  <c:v>37.962752294783186</c:v>
                </c:pt>
                <c:pt idx="337">
                  <c:v>38.284075220468665</c:v>
                </c:pt>
                <c:pt idx="338">
                  <c:v>38.749321094954617</c:v>
                </c:pt>
                <c:pt idx="339">
                  <c:v>39.448666021890446</c:v>
                </c:pt>
                <c:pt idx="340">
                  <c:v>39.217265854424909</c:v>
                </c:pt>
                <c:pt idx="341">
                  <c:v>37.706038986776001</c:v>
                </c:pt>
                <c:pt idx="342">
                  <c:v>36.369386974240456</c:v>
                </c:pt>
                <c:pt idx="343">
                  <c:v>35.052970539860929</c:v>
                </c:pt>
                <c:pt idx="344">
                  <c:v>33.304904538309046</c:v>
                </c:pt>
                <c:pt idx="345">
                  <c:v>32.024477598561731</c:v>
                </c:pt>
                <c:pt idx="346">
                  <c:v>31.057956553657796</c:v>
                </c:pt>
                <c:pt idx="347">
                  <c:v>30.770493559341745</c:v>
                </c:pt>
                <c:pt idx="348">
                  <c:v>30.189735321429261</c:v>
                </c:pt>
                <c:pt idx="349">
                  <c:v>30.351934152110687</c:v>
                </c:pt>
                <c:pt idx="350">
                  <c:v>30.368602719538327</c:v>
                </c:pt>
                <c:pt idx="351">
                  <c:v>31.473161795916049</c:v>
                </c:pt>
                <c:pt idx="352">
                  <c:v>32.062765321173607</c:v>
                </c:pt>
                <c:pt idx="353">
                  <c:v>32.293940641804397</c:v>
                </c:pt>
                <c:pt idx="354">
                  <c:v>32.678790645484341</c:v>
                </c:pt>
                <c:pt idx="355">
                  <c:v>32.915920024042386</c:v>
                </c:pt>
                <c:pt idx="356">
                  <c:v>33.283970565455981</c:v>
                </c:pt>
                <c:pt idx="357">
                  <c:v>33.517894148087962</c:v>
                </c:pt>
                <c:pt idx="358">
                  <c:v>33.879645526134034</c:v>
                </c:pt>
                <c:pt idx="359">
                  <c:v>33.988802469308155</c:v>
                </c:pt>
                <c:pt idx="360">
                  <c:v>34.321382588668399</c:v>
                </c:pt>
                <c:pt idx="361">
                  <c:v>34.511262294562464</c:v>
                </c:pt>
                <c:pt idx="362">
                  <c:v>34.773466085179848</c:v>
                </c:pt>
                <c:pt idx="363">
                  <c:v>34.224928689732863</c:v>
                </c:pt>
                <c:pt idx="364">
                  <c:v>34.106802322357503</c:v>
                </c:pt>
                <c:pt idx="365">
                  <c:v>33.650099156881609</c:v>
                </c:pt>
                <c:pt idx="366">
                  <c:v>33.358125822867514</c:v>
                </c:pt>
                <c:pt idx="367">
                  <c:v>32.633664157125253</c:v>
                </c:pt>
                <c:pt idx="368">
                  <c:v>32.217253284820671</c:v>
                </c:pt>
                <c:pt idx="369">
                  <c:v>31.418573866432251</c:v>
                </c:pt>
                <c:pt idx="370">
                  <c:v>30.887582746873253</c:v>
                </c:pt>
                <c:pt idx="371">
                  <c:v>31.076185069999482</c:v>
                </c:pt>
                <c:pt idx="372">
                  <c:v>30.524876114151461</c:v>
                </c:pt>
                <c:pt idx="373">
                  <c:v>30.21026528875224</c:v>
                </c:pt>
                <c:pt idx="374">
                  <c:v>29.894852727854179</c:v>
                </c:pt>
                <c:pt idx="375">
                  <c:v>29.369925940276293</c:v>
                </c:pt>
                <c:pt idx="376">
                  <c:v>28.645736270977157</c:v>
                </c:pt>
                <c:pt idx="377">
                  <c:v>28.045245141684191</c:v>
                </c:pt>
                <c:pt idx="378">
                  <c:v>27.313533773025718</c:v>
                </c:pt>
                <c:pt idx="379">
                  <c:v>26.67857421373429</c:v>
                </c:pt>
                <c:pt idx="380">
                  <c:v>25.335980213329538</c:v>
                </c:pt>
                <c:pt idx="381">
                  <c:v>25.141294852304064</c:v>
                </c:pt>
                <c:pt idx="382">
                  <c:v>24.489266468639443</c:v>
                </c:pt>
                <c:pt idx="383">
                  <c:v>23.453713632639161</c:v>
                </c:pt>
                <c:pt idx="384">
                  <c:v>22.894372256472082</c:v>
                </c:pt>
                <c:pt idx="385">
                  <c:v>22.756196787671129</c:v>
                </c:pt>
                <c:pt idx="386">
                  <c:v>21.703725031872111</c:v>
                </c:pt>
                <c:pt idx="387">
                  <c:v>21.505153098270199</c:v>
                </c:pt>
                <c:pt idx="388">
                  <c:v>20.690083325079044</c:v>
                </c:pt>
                <c:pt idx="389">
                  <c:v>20.395907075968353</c:v>
                </c:pt>
                <c:pt idx="390">
                  <c:v>19.627917199721516</c:v>
                </c:pt>
                <c:pt idx="391">
                  <c:v>18.936456658173672</c:v>
                </c:pt>
                <c:pt idx="392">
                  <c:v>18.714135617077737</c:v>
                </c:pt>
                <c:pt idx="393">
                  <c:v>18.134696887466436</c:v>
                </c:pt>
                <c:pt idx="394">
                  <c:v>17.570493585637568</c:v>
                </c:pt>
                <c:pt idx="395">
                  <c:v>17.411019371850806</c:v>
                </c:pt>
                <c:pt idx="396">
                  <c:v>17.102484088902514</c:v>
                </c:pt>
                <c:pt idx="397">
                  <c:v>16.821307296707911</c:v>
                </c:pt>
                <c:pt idx="398">
                  <c:v>16.382333975349074</c:v>
                </c:pt>
                <c:pt idx="399">
                  <c:v>15.672484178004154</c:v>
                </c:pt>
                <c:pt idx="400">
                  <c:v>15.693717891232431</c:v>
                </c:pt>
              </c:numCache>
            </c:numRef>
          </c:yVal>
          <c:smooth val="1"/>
          <c:extLst>
            <c:ext xmlns:c16="http://schemas.microsoft.com/office/drawing/2014/chart" uri="{C3380CC4-5D6E-409C-BE32-E72D297353CC}">
              <c16:uniqueId val="{00000004-6E90-4472-9EC1-0343BAA5C61F}"/>
            </c:ext>
          </c:extLst>
        </c:ser>
        <c:ser>
          <c:idx val="5"/>
          <c:order val="5"/>
          <c:tx>
            <c:strRef>
              <c:f>'Typical AS7341 filters'!$G$4</c:f>
              <c:strCache>
                <c:ptCount val="1"/>
                <c:pt idx="0">
                  <c:v>F6 - 512x</c:v>
                </c:pt>
              </c:strCache>
            </c:strRef>
          </c:tx>
          <c:spPr>
            <a:ln w="19050" cap="rnd">
              <a:solidFill>
                <a:schemeClr val="accent6"/>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filters'!$G$5:$G$405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2.6897294040248694</c:v>
                </c:pt>
                <c:pt idx="120">
                  <c:v>0</c:v>
                </c:pt>
                <c:pt idx="121">
                  <c:v>0</c:v>
                </c:pt>
                <c:pt idx="122">
                  <c:v>2.3972512592560999</c:v>
                </c:pt>
                <c:pt idx="123">
                  <c:v>34.550266380487109</c:v>
                </c:pt>
                <c:pt idx="124">
                  <c:v>75.140978613892571</c:v>
                </c:pt>
                <c:pt idx="125">
                  <c:v>122.96230153789269</c:v>
                </c:pt>
                <c:pt idx="126">
                  <c:v>183.92942631735738</c:v>
                </c:pt>
                <c:pt idx="127">
                  <c:v>254.8447051581627</c:v>
                </c:pt>
                <c:pt idx="128">
                  <c:v>347.55570386553188</c:v>
                </c:pt>
                <c:pt idx="129">
                  <c:v>456.64994460596722</c:v>
                </c:pt>
                <c:pt idx="130">
                  <c:v>580.94948346993124</c:v>
                </c:pt>
                <c:pt idx="131">
                  <c:v>731.16434932188315</c:v>
                </c:pt>
                <c:pt idx="132">
                  <c:v>931.12241649682301</c:v>
                </c:pt>
                <c:pt idx="133">
                  <c:v>1146.665573288315</c:v>
                </c:pt>
                <c:pt idx="134">
                  <c:v>1395.1368277180802</c:v>
                </c:pt>
                <c:pt idx="135">
                  <c:v>1680.6408334722246</c:v>
                </c:pt>
                <c:pt idx="136">
                  <c:v>2000.9151857330651</c:v>
                </c:pt>
                <c:pt idx="137">
                  <c:v>2341.0940141216834</c:v>
                </c:pt>
                <c:pt idx="138">
                  <c:v>2700.4551140970684</c:v>
                </c:pt>
                <c:pt idx="139">
                  <c:v>3068.0533812987956</c:v>
                </c:pt>
                <c:pt idx="140">
                  <c:v>3416.3745574909362</c:v>
                </c:pt>
                <c:pt idx="141">
                  <c:v>3713.5515246869772</c:v>
                </c:pt>
                <c:pt idx="142">
                  <c:v>3938.5996419137286</c:v>
                </c:pt>
                <c:pt idx="143">
                  <c:v>4082.2615968528467</c:v>
                </c:pt>
                <c:pt idx="144">
                  <c:v>4148.1852131464238</c:v>
                </c:pt>
                <c:pt idx="145">
                  <c:v>4138.1610767885832</c:v>
                </c:pt>
                <c:pt idx="146">
                  <c:v>4095.1289754268892</c:v>
                </c:pt>
                <c:pt idx="147">
                  <c:v>4032.2168261484921</c:v>
                </c:pt>
                <c:pt idx="148">
                  <c:v>3937.6118092093047</c:v>
                </c:pt>
                <c:pt idx="149">
                  <c:v>3784.141838744898</c:v>
                </c:pt>
                <c:pt idx="150">
                  <c:v>3557.1538645557166</c:v>
                </c:pt>
                <c:pt idx="151">
                  <c:v>3349.665800561088</c:v>
                </c:pt>
                <c:pt idx="152">
                  <c:v>3090.625094169081</c:v>
                </c:pt>
                <c:pt idx="153">
                  <c:v>2821.9675084383625</c:v>
                </c:pt>
                <c:pt idx="154">
                  <c:v>2549.1262299108939</c:v>
                </c:pt>
                <c:pt idx="155">
                  <c:v>2282.4198948067001</c:v>
                </c:pt>
                <c:pt idx="156">
                  <c:v>1995.7232325153796</c:v>
                </c:pt>
                <c:pt idx="157">
                  <c:v>1695.9012854149325</c:v>
                </c:pt>
                <c:pt idx="158">
                  <c:v>1409.3382156217122</c:v>
                </c:pt>
                <c:pt idx="159">
                  <c:v>1205.4316636550695</c:v>
                </c:pt>
                <c:pt idx="160">
                  <c:v>1018.5035139211708</c:v>
                </c:pt>
                <c:pt idx="161">
                  <c:v>813.34123855457585</c:v>
                </c:pt>
                <c:pt idx="162">
                  <c:v>634.21503388229803</c:v>
                </c:pt>
                <c:pt idx="163">
                  <c:v>523.02421539598697</c:v>
                </c:pt>
                <c:pt idx="164">
                  <c:v>453.52385148061325</c:v>
                </c:pt>
                <c:pt idx="165">
                  <c:v>386.22848661063597</c:v>
                </c:pt>
                <c:pt idx="166">
                  <c:v>310.18191293838862</c:v>
                </c:pt>
                <c:pt idx="167">
                  <c:v>237.02059422297668</c:v>
                </c:pt>
                <c:pt idx="168">
                  <c:v>190.47718971074607</c:v>
                </c:pt>
                <c:pt idx="169">
                  <c:v>163.71053270505746</c:v>
                </c:pt>
                <c:pt idx="170">
                  <c:v>141.5601264979849</c:v>
                </c:pt>
                <c:pt idx="171">
                  <c:v>110.17168307755004</c:v>
                </c:pt>
                <c:pt idx="172">
                  <c:v>81.972422181097159</c:v>
                </c:pt>
                <c:pt idx="173">
                  <c:v>65.236542312347709</c:v>
                </c:pt>
                <c:pt idx="174">
                  <c:v>60.087846376304739</c:v>
                </c:pt>
                <c:pt idx="175">
                  <c:v>58.513286073239321</c:v>
                </c:pt>
                <c:pt idx="176">
                  <c:v>57.043548407594827</c:v>
                </c:pt>
                <c:pt idx="177">
                  <c:v>55.596616356801164</c:v>
                </c:pt>
                <c:pt idx="178">
                  <c:v>53.562590671040589</c:v>
                </c:pt>
                <c:pt idx="179">
                  <c:v>53.510684594967394</c:v>
                </c:pt>
                <c:pt idx="180">
                  <c:v>56.05469731039851</c:v>
                </c:pt>
                <c:pt idx="181">
                  <c:v>57.890233414374123</c:v>
                </c:pt>
                <c:pt idx="182">
                  <c:v>64.096672279913946</c:v>
                </c:pt>
                <c:pt idx="183">
                  <c:v>66.479143049989418</c:v>
                </c:pt>
                <c:pt idx="184">
                  <c:v>66.389340520827631</c:v>
                </c:pt>
                <c:pt idx="185">
                  <c:v>65.699348826623847</c:v>
                </c:pt>
                <c:pt idx="186">
                  <c:v>68.073798448476353</c:v>
                </c:pt>
                <c:pt idx="187">
                  <c:v>70.419107444104412</c:v>
                </c:pt>
                <c:pt idx="188">
                  <c:v>68.650179762540503</c:v>
                </c:pt>
                <c:pt idx="189">
                  <c:v>63.989977649789552</c:v>
                </c:pt>
                <c:pt idx="190">
                  <c:v>59.439046334597641</c:v>
                </c:pt>
                <c:pt idx="191">
                  <c:v>58.989083640848662</c:v>
                </c:pt>
                <c:pt idx="192">
                  <c:v>61.996932656251715</c:v>
                </c:pt>
                <c:pt idx="193">
                  <c:v>65.008572973489507</c:v>
                </c:pt>
                <c:pt idx="194">
                  <c:v>68.54699230715039</c:v>
                </c:pt>
                <c:pt idx="195">
                  <c:v>71.493959464195498</c:v>
                </c:pt>
                <c:pt idx="196">
                  <c:v>74.433855822812703</c:v>
                </c:pt>
                <c:pt idx="197">
                  <c:v>78.473923943923296</c:v>
                </c:pt>
                <c:pt idx="198">
                  <c:v>83.051323127489681</c:v>
                </c:pt>
                <c:pt idx="199">
                  <c:v>87.032292193998529</c:v>
                </c:pt>
                <c:pt idx="200">
                  <c:v>90.472299238629006</c:v>
                </c:pt>
                <c:pt idx="201">
                  <c:v>91.214439552324606</c:v>
                </c:pt>
                <c:pt idx="202">
                  <c:v>90.34482735623213</c:v>
                </c:pt>
                <c:pt idx="203">
                  <c:v>91.13197705947168</c:v>
                </c:pt>
                <c:pt idx="204">
                  <c:v>93.535036052759253</c:v>
                </c:pt>
                <c:pt idx="205">
                  <c:v>99.16121359898608</c:v>
                </c:pt>
                <c:pt idx="206">
                  <c:v>106.95749496654594</c:v>
                </c:pt>
                <c:pt idx="207">
                  <c:v>116.3585850079391</c:v>
                </c:pt>
                <c:pt idx="208">
                  <c:v>123.64820682125622</c:v>
                </c:pt>
                <c:pt idx="209">
                  <c:v>131.5167308584742</c:v>
                </c:pt>
                <c:pt idx="210">
                  <c:v>139.90645905223633</c:v>
                </c:pt>
                <c:pt idx="211">
                  <c:v>152.53609271044962</c:v>
                </c:pt>
                <c:pt idx="212">
                  <c:v>168.44548783929744</c:v>
                </c:pt>
                <c:pt idx="213">
                  <c:v>188.11358610872387</c:v>
                </c:pt>
                <c:pt idx="214">
                  <c:v>204.67086614711218</c:v>
                </c:pt>
                <c:pt idx="215">
                  <c:v>209.53918642476717</c:v>
                </c:pt>
                <c:pt idx="216">
                  <c:v>186.85329784454467</c:v>
                </c:pt>
                <c:pt idx="217">
                  <c:v>140.18727886668125</c:v>
                </c:pt>
                <c:pt idx="218">
                  <c:v>107.31551136864677</c:v>
                </c:pt>
                <c:pt idx="219">
                  <c:v>96.838421376929176</c:v>
                </c:pt>
                <c:pt idx="220">
                  <c:v>98.674058911498904</c:v>
                </c:pt>
                <c:pt idx="221">
                  <c:v>101.61819375776213</c:v>
                </c:pt>
                <c:pt idx="222">
                  <c:v>105.70005761237013</c:v>
                </c:pt>
                <c:pt idx="223">
                  <c:v>108.76534970158976</c:v>
                </c:pt>
                <c:pt idx="224">
                  <c:v>113.52198980630003</c:v>
                </c:pt>
                <c:pt idx="225">
                  <c:v>119.98670353823671</c:v>
                </c:pt>
                <c:pt idx="226">
                  <c:v>123.7932939804015</c:v>
                </c:pt>
                <c:pt idx="227">
                  <c:v>128.22551814959567</c:v>
                </c:pt>
                <c:pt idx="228">
                  <c:v>133.85644039866628</c:v>
                </c:pt>
                <c:pt idx="229">
                  <c:v>141.36184912324453</c:v>
                </c:pt>
                <c:pt idx="230">
                  <c:v>149.11837804718499</c:v>
                </c:pt>
                <c:pt idx="231">
                  <c:v>157.38922160847574</c:v>
                </c:pt>
                <c:pt idx="232">
                  <c:v>166.26789919127691</c:v>
                </c:pt>
                <c:pt idx="233">
                  <c:v>174.72424609257607</c:v>
                </c:pt>
                <c:pt idx="234">
                  <c:v>180.63495656775248</c:v>
                </c:pt>
                <c:pt idx="235">
                  <c:v>183.36539786219367</c:v>
                </c:pt>
                <c:pt idx="236">
                  <c:v>176.46584273546017</c:v>
                </c:pt>
                <c:pt idx="237">
                  <c:v>167.30010870757235</c:v>
                </c:pt>
                <c:pt idx="238">
                  <c:v>156.78643571939958</c:v>
                </c:pt>
                <c:pt idx="239">
                  <c:v>145.6479360433058</c:v>
                </c:pt>
                <c:pt idx="240">
                  <c:v>133.84335802556114</c:v>
                </c:pt>
                <c:pt idx="241">
                  <c:v>121.38176385990235</c:v>
                </c:pt>
                <c:pt idx="242">
                  <c:v>105.24160465757591</c:v>
                </c:pt>
                <c:pt idx="243">
                  <c:v>93.153543216369641</c:v>
                </c:pt>
                <c:pt idx="244">
                  <c:v>80.344694484917554</c:v>
                </c:pt>
                <c:pt idx="245">
                  <c:v>69.215415912288108</c:v>
                </c:pt>
                <c:pt idx="246">
                  <c:v>57.95495197678796</c:v>
                </c:pt>
                <c:pt idx="247">
                  <c:v>52.130160679389704</c:v>
                </c:pt>
                <c:pt idx="248">
                  <c:v>51.847122822993398</c:v>
                </c:pt>
                <c:pt idx="249">
                  <c:v>52.174436962660074</c:v>
                </c:pt>
                <c:pt idx="250">
                  <c:v>51.854150677077982</c:v>
                </c:pt>
                <c:pt idx="251">
                  <c:v>56.618959957866352</c:v>
                </c:pt>
                <c:pt idx="252">
                  <c:v>57.565348797344633</c:v>
                </c:pt>
                <c:pt idx="253">
                  <c:v>61.072879652849998</c:v>
                </c:pt>
                <c:pt idx="254">
                  <c:v>64.582146425838388</c:v>
                </c:pt>
                <c:pt idx="255">
                  <c:v>68.741455603230236</c:v>
                </c:pt>
                <c:pt idx="256">
                  <c:v>70.288623775120598</c:v>
                </c:pt>
                <c:pt idx="257">
                  <c:v>74.406484463944679</c:v>
                </c:pt>
                <c:pt idx="258">
                  <c:v>75.875242879934945</c:v>
                </c:pt>
                <c:pt idx="259">
                  <c:v>81.215351277305047</c:v>
                </c:pt>
                <c:pt idx="260">
                  <c:v>83.193051756151064</c:v>
                </c:pt>
                <c:pt idx="261">
                  <c:v>87.740391386542512</c:v>
                </c:pt>
                <c:pt idx="262">
                  <c:v>90.221799945350185</c:v>
                </c:pt>
                <c:pt idx="263">
                  <c:v>96.513801516042975</c:v>
                </c:pt>
                <c:pt idx="264">
                  <c:v>97.48053137169174</c:v>
                </c:pt>
                <c:pt idx="265">
                  <c:v>102.22213280298745</c:v>
                </c:pt>
                <c:pt idx="266">
                  <c:v>104.87202435408278</c:v>
                </c:pt>
                <c:pt idx="267">
                  <c:v>106.75883150491849</c:v>
                </c:pt>
                <c:pt idx="268">
                  <c:v>108.47702647866097</c:v>
                </c:pt>
                <c:pt idx="269">
                  <c:v>109.44790604189332</c:v>
                </c:pt>
                <c:pt idx="270">
                  <c:v>110.87115010082992</c:v>
                </c:pt>
                <c:pt idx="271">
                  <c:v>112.7544171473771</c:v>
                </c:pt>
                <c:pt idx="272">
                  <c:v>113.85896581671567</c:v>
                </c:pt>
                <c:pt idx="273">
                  <c:v>117.85469565845965</c:v>
                </c:pt>
                <c:pt idx="274">
                  <c:v>118.64112447487166</c:v>
                </c:pt>
                <c:pt idx="275">
                  <c:v>122.28199540512649</c:v>
                </c:pt>
                <c:pt idx="276">
                  <c:v>122.74619026133472</c:v>
                </c:pt>
                <c:pt idx="277">
                  <c:v>123.00063266063746</c:v>
                </c:pt>
                <c:pt idx="278">
                  <c:v>119.78700456405669</c:v>
                </c:pt>
                <c:pt idx="279">
                  <c:v>116.08256414768174</c:v>
                </c:pt>
                <c:pt idx="280">
                  <c:v>113.40354310142064</c:v>
                </c:pt>
                <c:pt idx="281">
                  <c:v>112.91638780839651</c:v>
                </c:pt>
                <c:pt idx="282">
                  <c:v>113.84081687676185</c:v>
                </c:pt>
                <c:pt idx="283">
                  <c:v>116.66677223937896</c:v>
                </c:pt>
                <c:pt idx="284">
                  <c:v>118.38298797899027</c:v>
                </c:pt>
                <c:pt idx="285">
                  <c:v>121.40169666313878</c:v>
                </c:pt>
                <c:pt idx="286">
                  <c:v>124.64816391116349</c:v>
                </c:pt>
                <c:pt idx="287">
                  <c:v>127.29916335287875</c:v>
                </c:pt>
                <c:pt idx="288">
                  <c:v>127.45902688892158</c:v>
                </c:pt>
                <c:pt idx="289">
                  <c:v>126.24258381849911</c:v>
                </c:pt>
                <c:pt idx="290">
                  <c:v>124.18095090990077</c:v>
                </c:pt>
                <c:pt idx="291">
                  <c:v>119.49272183920387</c:v>
                </c:pt>
                <c:pt idx="292">
                  <c:v>117.5223822026624</c:v>
                </c:pt>
                <c:pt idx="293">
                  <c:v>113.50389703169922</c:v>
                </c:pt>
                <c:pt idx="294">
                  <c:v>112.36032985928934</c:v>
                </c:pt>
                <c:pt idx="295">
                  <c:v>112.03363238570675</c:v>
                </c:pt>
                <c:pt idx="296">
                  <c:v>113.23790450242134</c:v>
                </c:pt>
                <c:pt idx="297">
                  <c:v>112.14192903303453</c:v>
                </c:pt>
                <c:pt idx="298">
                  <c:v>112.59580205808902</c:v>
                </c:pt>
                <c:pt idx="299">
                  <c:v>113.33600139681319</c:v>
                </c:pt>
                <c:pt idx="300">
                  <c:v>114.32281494270828</c:v>
                </c:pt>
                <c:pt idx="301">
                  <c:v>115.232130142777</c:v>
                </c:pt>
                <c:pt idx="302">
                  <c:v>116.10029376820718</c:v>
                </c:pt>
                <c:pt idx="303">
                  <c:v>117.29419658553344</c:v>
                </c:pt>
                <c:pt idx="304">
                  <c:v>117.91447329362123</c:v>
                </c:pt>
                <c:pt idx="305">
                  <c:v>117.78139934218547</c:v>
                </c:pt>
                <c:pt idx="306">
                  <c:v>118.30373909111503</c:v>
                </c:pt>
                <c:pt idx="307">
                  <c:v>118.79295919771984</c:v>
                </c:pt>
                <c:pt idx="308">
                  <c:v>118.76078966510512</c:v>
                </c:pt>
                <c:pt idx="309">
                  <c:v>120.24915589814719</c:v>
                </c:pt>
                <c:pt idx="310">
                  <c:v>122.53668942750316</c:v>
                </c:pt>
                <c:pt idx="311">
                  <c:v>126.86170549002323</c:v>
                </c:pt>
                <c:pt idx="312">
                  <c:v>128.77646667580549</c:v>
                </c:pt>
                <c:pt idx="313">
                  <c:v>132.39897719600722</c:v>
                </c:pt>
                <c:pt idx="314">
                  <c:v>135.75281980567644</c:v>
                </c:pt>
                <c:pt idx="315">
                  <c:v>139.58927163227074</c:v>
                </c:pt>
                <c:pt idx="316">
                  <c:v>143.52084263040274</c:v>
                </c:pt>
                <c:pt idx="317">
                  <c:v>147.2099232528341</c:v>
                </c:pt>
                <c:pt idx="318">
                  <c:v>150.93528657484035</c:v>
                </c:pt>
                <c:pt idx="319">
                  <c:v>154.21245373839812</c:v>
                </c:pt>
                <c:pt idx="320">
                  <c:v>156.99297399749611</c:v>
                </c:pt>
                <c:pt idx="321">
                  <c:v>158.36094163602147</c:v>
                </c:pt>
                <c:pt idx="322">
                  <c:v>157.68680125547505</c:v>
                </c:pt>
                <c:pt idx="323">
                  <c:v>153.01029212427053</c:v>
                </c:pt>
                <c:pt idx="324">
                  <c:v>145.39400634405146</c:v>
                </c:pt>
                <c:pt idx="325">
                  <c:v>135.69699749170809</c:v>
                </c:pt>
                <c:pt idx="326">
                  <c:v>126.81598446686672</c:v>
                </c:pt>
                <c:pt idx="327">
                  <c:v>120.87091091937081</c:v>
                </c:pt>
                <c:pt idx="328">
                  <c:v>116.24017483421552</c:v>
                </c:pt>
                <c:pt idx="329">
                  <c:v>111.63860285443656</c:v>
                </c:pt>
                <c:pt idx="330">
                  <c:v>109.599602878276</c:v>
                </c:pt>
                <c:pt idx="331">
                  <c:v>107.86822792189153</c:v>
                </c:pt>
                <c:pt idx="332">
                  <c:v>106.13165866656188</c:v>
                </c:pt>
                <c:pt idx="333">
                  <c:v>105.89220230125298</c:v>
                </c:pt>
                <c:pt idx="334">
                  <c:v>105.4017401996317</c:v>
                </c:pt>
                <c:pt idx="335">
                  <c:v>105.15876258798455</c:v>
                </c:pt>
                <c:pt idx="336">
                  <c:v>105.43469554860401</c:v>
                </c:pt>
                <c:pt idx="337">
                  <c:v>105.04776737323719</c:v>
                </c:pt>
                <c:pt idx="338">
                  <c:v>104.41433827981781</c:v>
                </c:pt>
                <c:pt idx="339">
                  <c:v>103.58158505163047</c:v>
                </c:pt>
                <c:pt idx="340">
                  <c:v>102.51530898788263</c:v>
                </c:pt>
                <c:pt idx="341">
                  <c:v>100.34671665835549</c:v>
                </c:pt>
                <c:pt idx="342">
                  <c:v>96.632175786027659</c:v>
                </c:pt>
                <c:pt idx="343">
                  <c:v>91.844800491781527</c:v>
                </c:pt>
                <c:pt idx="344">
                  <c:v>85.994011942735028</c:v>
                </c:pt>
                <c:pt idx="345">
                  <c:v>80.880424818693115</c:v>
                </c:pt>
                <c:pt idx="346">
                  <c:v>77.163085375555525</c:v>
                </c:pt>
                <c:pt idx="347">
                  <c:v>73.937732725324778</c:v>
                </c:pt>
                <c:pt idx="348">
                  <c:v>72.058711314652328</c:v>
                </c:pt>
                <c:pt idx="349">
                  <c:v>70.650526243226324</c:v>
                </c:pt>
                <c:pt idx="350">
                  <c:v>69.039413376792169</c:v>
                </c:pt>
                <c:pt idx="351">
                  <c:v>68.312715234453719</c:v>
                </c:pt>
                <c:pt idx="352">
                  <c:v>67.375135235709408</c:v>
                </c:pt>
                <c:pt idx="353">
                  <c:v>66.673681458691931</c:v>
                </c:pt>
                <c:pt idx="354">
                  <c:v>66.002557422129556</c:v>
                </c:pt>
                <c:pt idx="355">
                  <c:v>66.188845688258766</c:v>
                </c:pt>
                <c:pt idx="356">
                  <c:v>65.501147202531968</c:v>
                </c:pt>
                <c:pt idx="357">
                  <c:v>65.264229408856266</c:v>
                </c:pt>
                <c:pt idx="358">
                  <c:v>64.794822068731335</c:v>
                </c:pt>
                <c:pt idx="359">
                  <c:v>63.755393451745739</c:v>
                </c:pt>
                <c:pt idx="360">
                  <c:v>63.168188813500116</c:v>
                </c:pt>
                <c:pt idx="361">
                  <c:v>61.952265985167898</c:v>
                </c:pt>
                <c:pt idx="362">
                  <c:v>59.910911447960459</c:v>
                </c:pt>
                <c:pt idx="363">
                  <c:v>57.297131126192284</c:v>
                </c:pt>
                <c:pt idx="364">
                  <c:v>53.666009368444143</c:v>
                </c:pt>
                <c:pt idx="365">
                  <c:v>50.371076263703195</c:v>
                </c:pt>
                <c:pt idx="366">
                  <c:v>46.507594508230227</c:v>
                </c:pt>
                <c:pt idx="367">
                  <c:v>43.672535753615819</c:v>
                </c:pt>
                <c:pt idx="368">
                  <c:v>41.92373344114484</c:v>
                </c:pt>
                <c:pt idx="369">
                  <c:v>39.513315604945362</c:v>
                </c:pt>
                <c:pt idx="370">
                  <c:v>39.037521431746683</c:v>
                </c:pt>
                <c:pt idx="371">
                  <c:v>37.784260261320959</c:v>
                </c:pt>
                <c:pt idx="372">
                  <c:v>37.695149026871604</c:v>
                </c:pt>
                <c:pt idx="373">
                  <c:v>36.825154076582862</c:v>
                </c:pt>
                <c:pt idx="374">
                  <c:v>36.44714921615099</c:v>
                </c:pt>
                <c:pt idx="375">
                  <c:v>36.38872494688524</c:v>
                </c:pt>
                <c:pt idx="376">
                  <c:v>34.61925473506718</c:v>
                </c:pt>
                <c:pt idx="377">
                  <c:v>34.05976759375622</c:v>
                </c:pt>
                <c:pt idx="378">
                  <c:v>33.787852889594774</c:v>
                </c:pt>
                <c:pt idx="379">
                  <c:v>33.146107356457755</c:v>
                </c:pt>
                <c:pt idx="380">
                  <c:v>32.313536261385536</c:v>
                </c:pt>
                <c:pt idx="381">
                  <c:v>31.768212245438562</c:v>
                </c:pt>
                <c:pt idx="382">
                  <c:v>31.193032149998842</c:v>
                </c:pt>
                <c:pt idx="383">
                  <c:v>30.476191842411932</c:v>
                </c:pt>
                <c:pt idx="384">
                  <c:v>30.774927691934284</c:v>
                </c:pt>
                <c:pt idx="385">
                  <c:v>30.070688612279703</c:v>
                </c:pt>
                <c:pt idx="386">
                  <c:v>28.80307434136299</c:v>
                </c:pt>
                <c:pt idx="387">
                  <c:v>28.200153591127904</c:v>
                </c:pt>
                <c:pt idx="388">
                  <c:v>27.586777766772059</c:v>
                </c:pt>
                <c:pt idx="389">
                  <c:v>26.426590563547038</c:v>
                </c:pt>
                <c:pt idx="390">
                  <c:v>25.672500697213611</c:v>
                </c:pt>
                <c:pt idx="391">
                  <c:v>25.044991064036147</c:v>
                </c:pt>
                <c:pt idx="392">
                  <c:v>24.294350601079095</c:v>
                </c:pt>
                <c:pt idx="393">
                  <c:v>23.725092168565116</c:v>
                </c:pt>
                <c:pt idx="394">
                  <c:v>23.495427469166515</c:v>
                </c:pt>
                <c:pt idx="395">
                  <c:v>22.94157846643871</c:v>
                </c:pt>
                <c:pt idx="396">
                  <c:v>22.076513325914004</c:v>
                </c:pt>
                <c:pt idx="397">
                  <c:v>21.949754643265205</c:v>
                </c:pt>
                <c:pt idx="398">
                  <c:v>21.092254993261935</c:v>
                </c:pt>
                <c:pt idx="399">
                  <c:v>20.942271434363629</c:v>
                </c:pt>
                <c:pt idx="400">
                  <c:v>20.060665478357976</c:v>
                </c:pt>
              </c:numCache>
            </c:numRef>
          </c:yVal>
          <c:smooth val="1"/>
          <c:extLst>
            <c:ext xmlns:c16="http://schemas.microsoft.com/office/drawing/2014/chart" uri="{C3380CC4-5D6E-409C-BE32-E72D297353CC}">
              <c16:uniqueId val="{00000005-6E90-4472-9EC1-0343BAA5C61F}"/>
            </c:ext>
          </c:extLst>
        </c:ser>
        <c:ser>
          <c:idx val="6"/>
          <c:order val="6"/>
          <c:tx>
            <c:strRef>
              <c:f>'Typical AS7341 filters'!$H$4</c:f>
              <c:strCache>
                <c:ptCount val="1"/>
                <c:pt idx="0">
                  <c:v>F7 - 256x</c:v>
                </c:pt>
              </c:strCache>
            </c:strRef>
          </c:tx>
          <c:spPr>
            <a:ln w="19050" cap="rnd">
              <a:solidFill>
                <a:schemeClr val="accent1">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filters'!$H$5:$H$405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1.4953000189751282</c:v>
                </c:pt>
                <c:pt idx="100">
                  <c:v>0</c:v>
                </c:pt>
                <c:pt idx="101">
                  <c:v>0</c:v>
                </c:pt>
                <c:pt idx="102">
                  <c:v>0</c:v>
                </c:pt>
                <c:pt idx="103">
                  <c:v>0</c:v>
                </c:pt>
                <c:pt idx="104">
                  <c:v>0</c:v>
                </c:pt>
                <c:pt idx="105">
                  <c:v>0</c:v>
                </c:pt>
                <c:pt idx="106">
                  <c:v>0</c:v>
                </c:pt>
                <c:pt idx="107">
                  <c:v>4.2063111659533821</c:v>
                </c:pt>
                <c:pt idx="108">
                  <c:v>9.7300460082230344</c:v>
                </c:pt>
                <c:pt idx="109">
                  <c:v>9.6553698945978592</c:v>
                </c:pt>
                <c:pt idx="110">
                  <c:v>6.8534577689231595</c:v>
                </c:pt>
                <c:pt idx="111">
                  <c:v>12.301574784420319</c:v>
                </c:pt>
                <c:pt idx="112">
                  <c:v>12.329130244297794</c:v>
                </c:pt>
                <c:pt idx="113">
                  <c:v>9.6259059071591864</c:v>
                </c:pt>
                <c:pt idx="114">
                  <c:v>13.824362528819943</c:v>
                </c:pt>
                <c:pt idx="115">
                  <c:v>12.555659874630765</c:v>
                </c:pt>
                <c:pt idx="116">
                  <c:v>12.614977639215219</c:v>
                </c:pt>
                <c:pt idx="117">
                  <c:v>11.26724156128647</c:v>
                </c:pt>
                <c:pt idx="118">
                  <c:v>11.451893566953309</c:v>
                </c:pt>
                <c:pt idx="119">
                  <c:v>20.621258764190664</c:v>
                </c:pt>
                <c:pt idx="120">
                  <c:v>19.903590010346946</c:v>
                </c:pt>
                <c:pt idx="121">
                  <c:v>20.828768392214801</c:v>
                </c:pt>
                <c:pt idx="122">
                  <c:v>18.378926320963433</c:v>
                </c:pt>
                <c:pt idx="123">
                  <c:v>13.052322854850685</c:v>
                </c:pt>
                <c:pt idx="124">
                  <c:v>10.313467652887216</c:v>
                </c:pt>
                <c:pt idx="125">
                  <c:v>8.4801587267512204</c:v>
                </c:pt>
                <c:pt idx="126">
                  <c:v>5.4497607797735528</c:v>
                </c:pt>
                <c:pt idx="127">
                  <c:v>6.6365808634938208</c:v>
                </c:pt>
                <c:pt idx="128">
                  <c:v>8.4610939143294281</c:v>
                </c:pt>
                <c:pt idx="129">
                  <c:v>11.464015345756499</c:v>
                </c:pt>
                <c:pt idx="130">
                  <c:v>14.944038159998232</c:v>
                </c:pt>
                <c:pt idx="131">
                  <c:v>20.56210742509845</c:v>
                </c:pt>
                <c:pt idx="132">
                  <c:v>24.411449121639556</c:v>
                </c:pt>
                <c:pt idx="133">
                  <c:v>32.31613374670664</c:v>
                </c:pt>
                <c:pt idx="134">
                  <c:v>41.349320913892285</c:v>
                </c:pt>
                <c:pt idx="135">
                  <c:v>52.11289406115425</c:v>
                </c:pt>
                <c:pt idx="136">
                  <c:v>64.053687348162157</c:v>
                </c:pt>
                <c:pt idx="137">
                  <c:v>79.215566768535354</c:v>
                </c:pt>
                <c:pt idx="138">
                  <c:v>99.472398505117937</c:v>
                </c:pt>
                <c:pt idx="139">
                  <c:v>121.81336884942435</c:v>
                </c:pt>
                <c:pt idx="140">
                  <c:v>145.9375686323159</c:v>
                </c:pt>
                <c:pt idx="141">
                  <c:v>177.8975244963741</c:v>
                </c:pt>
                <c:pt idx="142">
                  <c:v>216.1943596793113</c:v>
                </c:pt>
                <c:pt idx="143">
                  <c:v>260.47021435049146</c:v>
                </c:pt>
                <c:pt idx="144">
                  <c:v>314.786398974012</c:v>
                </c:pt>
                <c:pt idx="145">
                  <c:v>376.23868809055472</c:v>
                </c:pt>
                <c:pt idx="146">
                  <c:v>447.71683399742807</c:v>
                </c:pt>
                <c:pt idx="147">
                  <c:v>528.84552912355412</c:v>
                </c:pt>
                <c:pt idx="148">
                  <c:v>621.94544126823723</c:v>
                </c:pt>
                <c:pt idx="149">
                  <c:v>726.06966539352777</c:v>
                </c:pt>
                <c:pt idx="150">
                  <c:v>876.18472763693433</c:v>
                </c:pt>
                <c:pt idx="151">
                  <c:v>1006.1761506530257</c:v>
                </c:pt>
                <c:pt idx="152">
                  <c:v>1156.1716664538674</c:v>
                </c:pt>
                <c:pt idx="153">
                  <c:v>1306.2718796816941</c:v>
                </c:pt>
                <c:pt idx="154">
                  <c:v>1467.5228114061103</c:v>
                </c:pt>
                <c:pt idx="155">
                  <c:v>1641.4755612989052</c:v>
                </c:pt>
                <c:pt idx="156">
                  <c:v>1818.0263482509258</c:v>
                </c:pt>
                <c:pt idx="157">
                  <c:v>1981.123970315017</c:v>
                </c:pt>
                <c:pt idx="158">
                  <c:v>2121.2298677639628</c:v>
                </c:pt>
                <c:pt idx="159">
                  <c:v>2218.2523046007282</c:v>
                </c:pt>
                <c:pt idx="160">
                  <c:v>2284.1173845256953</c:v>
                </c:pt>
                <c:pt idx="161">
                  <c:v>2318.2871745351681</c:v>
                </c:pt>
                <c:pt idx="162">
                  <c:v>2320.8468406101538</c:v>
                </c:pt>
                <c:pt idx="163">
                  <c:v>2316.653105087295</c:v>
                </c:pt>
                <c:pt idx="164">
                  <c:v>2299.954595991263</c:v>
                </c:pt>
                <c:pt idx="165">
                  <c:v>2264.0886984717322</c:v>
                </c:pt>
                <c:pt idx="166">
                  <c:v>2222.7052633123508</c:v>
                </c:pt>
                <c:pt idx="167">
                  <c:v>2166.7112873212245</c:v>
                </c:pt>
                <c:pt idx="168">
                  <c:v>2104.1737208742657</c:v>
                </c:pt>
                <c:pt idx="169">
                  <c:v>2035.1171726179164</c:v>
                </c:pt>
                <c:pt idx="170">
                  <c:v>1951.3670215173613</c:v>
                </c:pt>
                <c:pt idx="171">
                  <c:v>1852.8654331616913</c:v>
                </c:pt>
                <c:pt idx="172">
                  <c:v>1741.6169698186729</c:v>
                </c:pt>
                <c:pt idx="173">
                  <c:v>1614.7797892798328</c:v>
                </c:pt>
                <c:pt idx="174">
                  <c:v>1478.4833311441726</c:v>
                </c:pt>
                <c:pt idx="175">
                  <c:v>1345.8055796845042</c:v>
                </c:pt>
                <c:pt idx="176">
                  <c:v>1224.5348391497023</c:v>
                </c:pt>
                <c:pt idx="177">
                  <c:v>1088.9876918141688</c:v>
                </c:pt>
                <c:pt idx="178">
                  <c:v>945.61923286312719</c:v>
                </c:pt>
                <c:pt idx="179">
                  <c:v>823.9356013538353</c:v>
                </c:pt>
                <c:pt idx="180">
                  <c:v>742.08775416607125</c:v>
                </c:pt>
                <c:pt idx="181">
                  <c:v>665.1084425977549</c:v>
                </c:pt>
                <c:pt idx="182">
                  <c:v>576.24775273010027</c:v>
                </c:pt>
                <c:pt idx="183">
                  <c:v>486.69298553881134</c:v>
                </c:pt>
                <c:pt idx="184">
                  <c:v>426.35356297779208</c:v>
                </c:pt>
                <c:pt idx="185">
                  <c:v>387.76679888496642</c:v>
                </c:pt>
                <c:pt idx="186">
                  <c:v>351.31653292854031</c:v>
                </c:pt>
                <c:pt idx="187">
                  <c:v>306.53023240374864</c:v>
                </c:pt>
                <c:pt idx="188">
                  <c:v>268.73318231832093</c:v>
                </c:pt>
                <c:pt idx="189">
                  <c:v>246.45836846328035</c:v>
                </c:pt>
                <c:pt idx="190">
                  <c:v>233.90899787336807</c:v>
                </c:pt>
                <c:pt idx="191">
                  <c:v>218.9659512493638</c:v>
                </c:pt>
                <c:pt idx="192">
                  <c:v>195.47045128010862</c:v>
                </c:pt>
                <c:pt idx="193">
                  <c:v>169.58758166997262</c:v>
                </c:pt>
                <c:pt idx="194">
                  <c:v>153.7625155305204</c:v>
                </c:pt>
                <c:pt idx="195">
                  <c:v>145.59446953385645</c:v>
                </c:pt>
                <c:pt idx="196">
                  <c:v>137.75818092580261</c:v>
                </c:pt>
                <c:pt idx="197">
                  <c:v>124.89511838962441</c:v>
                </c:pt>
                <c:pt idx="198">
                  <c:v>110.36842499503044</c:v>
                </c:pt>
                <c:pt idx="199">
                  <c:v>101.62890304414503</c:v>
                </c:pt>
                <c:pt idx="200">
                  <c:v>98.102493150320612</c:v>
                </c:pt>
                <c:pt idx="201">
                  <c:v>95.919946354627044</c:v>
                </c:pt>
                <c:pt idx="202">
                  <c:v>91.607130333265332</c:v>
                </c:pt>
                <c:pt idx="203">
                  <c:v>82.683845063820456</c:v>
                </c:pt>
                <c:pt idx="204">
                  <c:v>75.25807498497872</c:v>
                </c:pt>
                <c:pt idx="205">
                  <c:v>72.360885599260115</c:v>
                </c:pt>
                <c:pt idx="206">
                  <c:v>71.483259135974876</c:v>
                </c:pt>
                <c:pt idx="207">
                  <c:v>71.70108525718571</c:v>
                </c:pt>
                <c:pt idx="208">
                  <c:v>69.1079776630297</c:v>
                </c:pt>
                <c:pt idx="209">
                  <c:v>64.42722442864526</c:v>
                </c:pt>
                <c:pt idx="210">
                  <c:v>61.353149343566244</c:v>
                </c:pt>
                <c:pt idx="211">
                  <c:v>59.703441629990166</c:v>
                </c:pt>
                <c:pt idx="212">
                  <c:v>59.690987804251556</c:v>
                </c:pt>
                <c:pt idx="213">
                  <c:v>58.276242777561343</c:v>
                </c:pt>
                <c:pt idx="214">
                  <c:v>53.870080786772384</c:v>
                </c:pt>
                <c:pt idx="215">
                  <c:v>49.459757201785145</c:v>
                </c:pt>
                <c:pt idx="216">
                  <c:v>46.66896232964411</c:v>
                </c:pt>
                <c:pt idx="217">
                  <c:v>46.906770115087262</c:v>
                </c:pt>
                <c:pt idx="218">
                  <c:v>48.051721508349296</c:v>
                </c:pt>
                <c:pt idx="219">
                  <c:v>48.865059773993735</c:v>
                </c:pt>
                <c:pt idx="220">
                  <c:v>48.979514749548365</c:v>
                </c:pt>
                <c:pt idx="221">
                  <c:v>50.181824077907216</c:v>
                </c:pt>
                <c:pt idx="222">
                  <c:v>50.333360767795305</c:v>
                </c:pt>
                <c:pt idx="223">
                  <c:v>51.947629708221967</c:v>
                </c:pt>
                <c:pt idx="224">
                  <c:v>54.135685729001125</c:v>
                </c:pt>
                <c:pt idx="225">
                  <c:v>56.720987127166445</c:v>
                </c:pt>
                <c:pt idx="226">
                  <c:v>59.705615238335234</c:v>
                </c:pt>
                <c:pt idx="227">
                  <c:v>62.186624681992754</c:v>
                </c:pt>
                <c:pt idx="228">
                  <c:v>64.531341789990634</c:v>
                </c:pt>
                <c:pt idx="229">
                  <c:v>66.228582856953153</c:v>
                </c:pt>
                <c:pt idx="230">
                  <c:v>68.579504690873293</c:v>
                </c:pt>
                <c:pt idx="231">
                  <c:v>70.51488423318807</c:v>
                </c:pt>
                <c:pt idx="232">
                  <c:v>73.581584511270435</c:v>
                </c:pt>
                <c:pt idx="233">
                  <c:v>76.893894794554171</c:v>
                </c:pt>
                <c:pt idx="234">
                  <c:v>80.154365016263839</c:v>
                </c:pt>
                <c:pt idx="235">
                  <c:v>82.20495157324082</c:v>
                </c:pt>
                <c:pt idx="236">
                  <c:v>81.805357559484847</c:v>
                </c:pt>
                <c:pt idx="237">
                  <c:v>78.269056705297004</c:v>
                </c:pt>
                <c:pt idx="238">
                  <c:v>74.46373325520355</c:v>
                </c:pt>
                <c:pt idx="239">
                  <c:v>72.231903240989055</c:v>
                </c:pt>
                <c:pt idx="240">
                  <c:v>70.986551367630938</c:v>
                </c:pt>
                <c:pt idx="241">
                  <c:v>70.357574125690533</c:v>
                </c:pt>
                <c:pt idx="242">
                  <c:v>69.760149373021747</c:v>
                </c:pt>
                <c:pt idx="243">
                  <c:v>68.957817705624279</c:v>
                </c:pt>
                <c:pt idx="244">
                  <c:v>69.388599782428798</c:v>
                </c:pt>
                <c:pt idx="245">
                  <c:v>67.990364303221071</c:v>
                </c:pt>
                <c:pt idx="246">
                  <c:v>65.969998526769274</c:v>
                </c:pt>
                <c:pt idx="247">
                  <c:v>66.403895151127358</c:v>
                </c:pt>
                <c:pt idx="248">
                  <c:v>66.422619198935323</c:v>
                </c:pt>
                <c:pt idx="249">
                  <c:v>68.3087006017156</c:v>
                </c:pt>
                <c:pt idx="250">
                  <c:v>70.40360295180507</c:v>
                </c:pt>
                <c:pt idx="251">
                  <c:v>72.73521822302682</c:v>
                </c:pt>
                <c:pt idx="252">
                  <c:v>74.83495343654802</c:v>
                </c:pt>
                <c:pt idx="253">
                  <c:v>77.573271699409489</c:v>
                </c:pt>
                <c:pt idx="254">
                  <c:v>79.866587746620141</c:v>
                </c:pt>
                <c:pt idx="255">
                  <c:v>83.008550162391231</c:v>
                </c:pt>
                <c:pt idx="256">
                  <c:v>84.606676766348869</c:v>
                </c:pt>
                <c:pt idx="257">
                  <c:v>85.93731392765541</c:v>
                </c:pt>
                <c:pt idx="258">
                  <c:v>86.558825929121198</c:v>
                </c:pt>
                <c:pt idx="259">
                  <c:v>86.673372196478766</c:v>
                </c:pt>
                <c:pt idx="260">
                  <c:v>86.031659821321568</c:v>
                </c:pt>
                <c:pt idx="261">
                  <c:v>87.085612346344448</c:v>
                </c:pt>
                <c:pt idx="262">
                  <c:v>86.734967097220718</c:v>
                </c:pt>
                <c:pt idx="263">
                  <c:v>87.601491015687657</c:v>
                </c:pt>
                <c:pt idx="264">
                  <c:v>87.949101637570777</c:v>
                </c:pt>
                <c:pt idx="265">
                  <c:v>88.85130530555027</c:v>
                </c:pt>
                <c:pt idx="266">
                  <c:v>90.074131347064977</c:v>
                </c:pt>
                <c:pt idx="267">
                  <c:v>90.350787541088692</c:v>
                </c:pt>
                <c:pt idx="268">
                  <c:v>90.0803377776015</c:v>
                </c:pt>
                <c:pt idx="269">
                  <c:v>87.85186327883774</c:v>
                </c:pt>
                <c:pt idx="270">
                  <c:v>82.426679007545843</c:v>
                </c:pt>
                <c:pt idx="271">
                  <c:v>72.499652555599482</c:v>
                </c:pt>
                <c:pt idx="272">
                  <c:v>60.075318862295603</c:v>
                </c:pt>
                <c:pt idx="273">
                  <c:v>49.506989502788322</c:v>
                </c:pt>
                <c:pt idx="274">
                  <c:v>42.513069603495673</c:v>
                </c:pt>
                <c:pt idx="275">
                  <c:v>38.61536697003995</c:v>
                </c:pt>
                <c:pt idx="276">
                  <c:v>36.881484397771935</c:v>
                </c:pt>
                <c:pt idx="277">
                  <c:v>35.898802159018615</c:v>
                </c:pt>
                <c:pt idx="278">
                  <c:v>35.65752693999827</c:v>
                </c:pt>
                <c:pt idx="279">
                  <c:v>35.226312705192726</c:v>
                </c:pt>
                <c:pt idx="280">
                  <c:v>35.113893282588386</c:v>
                </c:pt>
                <c:pt idx="281">
                  <c:v>35.000562576122903</c:v>
                </c:pt>
                <c:pt idx="282">
                  <c:v>34.8421894077362</c:v>
                </c:pt>
                <c:pt idx="283">
                  <c:v>34.492784835990307</c:v>
                </c:pt>
                <c:pt idx="284">
                  <c:v>33.823710851140078</c:v>
                </c:pt>
                <c:pt idx="285">
                  <c:v>33.803953019990452</c:v>
                </c:pt>
                <c:pt idx="286">
                  <c:v>32.952962873066213</c:v>
                </c:pt>
                <c:pt idx="287">
                  <c:v>33.072821851483205</c:v>
                </c:pt>
                <c:pt idx="288">
                  <c:v>33.316628131636584</c:v>
                </c:pt>
                <c:pt idx="289">
                  <c:v>33.844393763915541</c:v>
                </c:pt>
                <c:pt idx="290">
                  <c:v>34.494708586083547</c:v>
                </c:pt>
                <c:pt idx="291">
                  <c:v>34.941915050453119</c:v>
                </c:pt>
                <c:pt idx="292">
                  <c:v>34.66487532596517</c:v>
                </c:pt>
                <c:pt idx="293">
                  <c:v>34.382567349018387</c:v>
                </c:pt>
                <c:pt idx="294">
                  <c:v>33.802746648402334</c:v>
                </c:pt>
                <c:pt idx="295">
                  <c:v>33.371720285104132</c:v>
                </c:pt>
                <c:pt idx="296">
                  <c:v>33.076363858095583</c:v>
                </c:pt>
                <c:pt idx="297">
                  <c:v>33.312001594846997</c:v>
                </c:pt>
                <c:pt idx="298">
                  <c:v>33.541828077105144</c:v>
                </c:pt>
                <c:pt idx="299">
                  <c:v>33.78284657020393</c:v>
                </c:pt>
                <c:pt idx="300">
                  <c:v>34.308716010843924</c:v>
                </c:pt>
                <c:pt idx="301">
                  <c:v>34.686035133886406</c:v>
                </c:pt>
                <c:pt idx="302">
                  <c:v>35.275310495944957</c:v>
                </c:pt>
                <c:pt idx="303">
                  <c:v>36.185315661057594</c:v>
                </c:pt>
                <c:pt idx="304">
                  <c:v>36.552385745548321</c:v>
                </c:pt>
                <c:pt idx="305">
                  <c:v>37.205510903316622</c:v>
                </c:pt>
                <c:pt idx="306">
                  <c:v>37.840189682333289</c:v>
                </c:pt>
                <c:pt idx="307">
                  <c:v>38.239422221957312</c:v>
                </c:pt>
                <c:pt idx="308">
                  <c:v>38.250228359670224</c:v>
                </c:pt>
                <c:pt idx="309">
                  <c:v>38.463534714895573</c:v>
                </c:pt>
                <c:pt idx="310">
                  <c:v>38.554226673531481</c:v>
                </c:pt>
                <c:pt idx="311">
                  <c:v>38.657008478785109</c:v>
                </c:pt>
                <c:pt idx="312">
                  <c:v>38.671611614356003</c:v>
                </c:pt>
                <c:pt idx="313">
                  <c:v>38.699773032094264</c:v>
                </c:pt>
                <c:pt idx="314">
                  <c:v>38.383333666469845</c:v>
                </c:pt>
                <c:pt idx="315">
                  <c:v>37.875222369556134</c:v>
                </c:pt>
                <c:pt idx="316">
                  <c:v>36.963299868202633</c:v>
                </c:pt>
                <c:pt idx="317">
                  <c:v>35.637411588209375</c:v>
                </c:pt>
                <c:pt idx="318">
                  <c:v>35.04661351947221</c:v>
                </c:pt>
                <c:pt idx="319">
                  <c:v>33.76459847882893</c:v>
                </c:pt>
                <c:pt idx="320">
                  <c:v>33.157619718238678</c:v>
                </c:pt>
                <c:pt idx="321">
                  <c:v>32.893705232385727</c:v>
                </c:pt>
                <c:pt idx="322">
                  <c:v>32.786364617475009</c:v>
                </c:pt>
                <c:pt idx="323">
                  <c:v>32.511461732981594</c:v>
                </c:pt>
                <c:pt idx="324">
                  <c:v>32.423546015692224</c:v>
                </c:pt>
                <c:pt idx="325">
                  <c:v>32.357211636599558</c:v>
                </c:pt>
                <c:pt idx="326">
                  <c:v>32.607423441447509</c:v>
                </c:pt>
                <c:pt idx="327">
                  <c:v>32.94962720024256</c:v>
                </c:pt>
                <c:pt idx="328">
                  <c:v>33.530819663716017</c:v>
                </c:pt>
                <c:pt idx="329">
                  <c:v>34.091258413974373</c:v>
                </c:pt>
                <c:pt idx="330">
                  <c:v>35.065349135162712</c:v>
                </c:pt>
                <c:pt idx="331">
                  <c:v>35.389200902302257</c:v>
                </c:pt>
                <c:pt idx="332">
                  <c:v>36.100844500974453</c:v>
                </c:pt>
                <c:pt idx="333">
                  <c:v>36.575134731503674</c:v>
                </c:pt>
                <c:pt idx="334">
                  <c:v>37.03733083011889</c:v>
                </c:pt>
                <c:pt idx="335">
                  <c:v>37.652350949106079</c:v>
                </c:pt>
                <c:pt idx="336">
                  <c:v>38.11929972692662</c:v>
                </c:pt>
                <c:pt idx="337">
                  <c:v>38.595327864537516</c:v>
                </c:pt>
                <c:pt idx="338">
                  <c:v>38.981352957798649</c:v>
                </c:pt>
                <c:pt idx="339">
                  <c:v>38.679686177409145</c:v>
                </c:pt>
                <c:pt idx="340">
                  <c:v>38.605690558449467</c:v>
                </c:pt>
                <c:pt idx="341">
                  <c:v>38.23818066602486</c:v>
                </c:pt>
                <c:pt idx="342">
                  <c:v>37.579179472344094</c:v>
                </c:pt>
                <c:pt idx="343">
                  <c:v>36.858273743630591</c:v>
                </c:pt>
                <c:pt idx="344">
                  <c:v>36.597973751085668</c:v>
                </c:pt>
                <c:pt idx="345">
                  <c:v>35.82272959280975</c:v>
                </c:pt>
                <c:pt idx="346">
                  <c:v>35.87601663954743</c:v>
                </c:pt>
                <c:pt idx="347">
                  <c:v>36.083384533616581</c:v>
                </c:pt>
                <c:pt idx="348">
                  <c:v>35.845719797706764</c:v>
                </c:pt>
                <c:pt idx="349">
                  <c:v>36.129772219620911</c:v>
                </c:pt>
                <c:pt idx="350">
                  <c:v>36.267539938441459</c:v>
                </c:pt>
                <c:pt idx="351">
                  <c:v>36.404440602649437</c:v>
                </c:pt>
                <c:pt idx="352">
                  <c:v>36.612211751880672</c:v>
                </c:pt>
                <c:pt idx="353">
                  <c:v>36.825161711812584</c:v>
                </c:pt>
                <c:pt idx="354">
                  <c:v>37.050295534463608</c:v>
                </c:pt>
                <c:pt idx="355">
                  <c:v>37.414191090234731</c:v>
                </c:pt>
                <c:pt idx="356">
                  <c:v>37.622265874201318</c:v>
                </c:pt>
                <c:pt idx="357">
                  <c:v>37.840497833147936</c:v>
                </c:pt>
                <c:pt idx="358">
                  <c:v>38.185183811746896</c:v>
                </c:pt>
                <c:pt idx="359">
                  <c:v>38.63323510486579</c:v>
                </c:pt>
                <c:pt idx="360">
                  <c:v>38.81334268207285</c:v>
                </c:pt>
                <c:pt idx="361">
                  <c:v>39.131431283286844</c:v>
                </c:pt>
                <c:pt idx="362">
                  <c:v>39.17251902366646</c:v>
                </c:pt>
                <c:pt idx="363">
                  <c:v>39.313360042788872</c:v>
                </c:pt>
                <c:pt idx="364">
                  <c:v>38.631174058996756</c:v>
                </c:pt>
                <c:pt idx="365">
                  <c:v>37.812998021650472</c:v>
                </c:pt>
                <c:pt idx="366">
                  <c:v>36.264850479631903</c:v>
                </c:pt>
                <c:pt idx="367">
                  <c:v>34.772445528945298</c:v>
                </c:pt>
                <c:pt idx="368">
                  <c:v>33.112176987176795</c:v>
                </c:pt>
                <c:pt idx="369">
                  <c:v>31.83017090398377</c:v>
                </c:pt>
                <c:pt idx="370">
                  <c:v>30.545148348349159</c:v>
                </c:pt>
                <c:pt idx="371">
                  <c:v>29.501840892444442</c:v>
                </c:pt>
                <c:pt idx="372">
                  <c:v>28.407938397062654</c:v>
                </c:pt>
                <c:pt idx="373">
                  <c:v>27.346086638351348</c:v>
                </c:pt>
                <c:pt idx="374">
                  <c:v>26.891716837384809</c:v>
                </c:pt>
                <c:pt idx="375">
                  <c:v>26.167172995512981</c:v>
                </c:pt>
                <c:pt idx="376">
                  <c:v>25.523215255657373</c:v>
                </c:pt>
                <c:pt idx="377">
                  <c:v>24.869036655758514</c:v>
                </c:pt>
                <c:pt idx="378">
                  <c:v>24.346137511264896</c:v>
                </c:pt>
                <c:pt idx="379">
                  <c:v>23.646918053082668</c:v>
                </c:pt>
                <c:pt idx="380">
                  <c:v>23.235939072652492</c:v>
                </c:pt>
                <c:pt idx="381">
                  <c:v>23.228370243976585</c:v>
                </c:pt>
                <c:pt idx="382">
                  <c:v>22.847527934428975</c:v>
                </c:pt>
                <c:pt idx="383">
                  <c:v>22.362843231121058</c:v>
                </c:pt>
                <c:pt idx="384">
                  <c:v>22.350885674716071</c:v>
                </c:pt>
                <c:pt idx="385">
                  <c:v>21.943475473825728</c:v>
                </c:pt>
                <c:pt idx="386">
                  <c:v>21.365660779039214</c:v>
                </c:pt>
                <c:pt idx="387">
                  <c:v>20.558385351805473</c:v>
                </c:pt>
                <c:pt idx="388">
                  <c:v>19.878707508409278</c:v>
                </c:pt>
                <c:pt idx="389">
                  <c:v>18.634134371731886</c:v>
                </c:pt>
                <c:pt idx="390">
                  <c:v>17.386667138853664</c:v>
                </c:pt>
                <c:pt idx="391">
                  <c:v>15.950062059752018</c:v>
                </c:pt>
                <c:pt idx="392">
                  <c:v>14.563000080198675</c:v>
                </c:pt>
                <c:pt idx="393">
                  <c:v>13.294232680661487</c:v>
                </c:pt>
                <c:pt idx="394">
                  <c:v>12.394689273589293</c:v>
                </c:pt>
                <c:pt idx="395">
                  <c:v>11.334232218538169</c:v>
                </c:pt>
                <c:pt idx="396">
                  <c:v>10.561294955298365</c:v>
                </c:pt>
                <c:pt idx="397">
                  <c:v>10.120136097206387</c:v>
                </c:pt>
                <c:pt idx="398">
                  <c:v>9.6246212105175815</c:v>
                </c:pt>
                <c:pt idx="399">
                  <c:v>9.3076761930505025</c:v>
                </c:pt>
                <c:pt idx="400">
                  <c:v>8.9385958423976017</c:v>
                </c:pt>
              </c:numCache>
            </c:numRef>
          </c:yVal>
          <c:smooth val="1"/>
          <c:extLst>
            <c:ext xmlns:c16="http://schemas.microsoft.com/office/drawing/2014/chart" uri="{C3380CC4-5D6E-409C-BE32-E72D297353CC}">
              <c16:uniqueId val="{00000006-6E90-4472-9EC1-0343BAA5C61F}"/>
            </c:ext>
          </c:extLst>
        </c:ser>
        <c:ser>
          <c:idx val="7"/>
          <c:order val="7"/>
          <c:tx>
            <c:strRef>
              <c:f>'Typical AS7341 filters'!$I$4</c:f>
              <c:strCache>
                <c:ptCount val="1"/>
                <c:pt idx="0">
                  <c:v>F8 - 256x</c:v>
                </c:pt>
              </c:strCache>
            </c:strRef>
          </c:tx>
          <c:spPr>
            <a:ln w="19050" cap="rnd">
              <a:solidFill>
                <a:schemeClr val="accent2">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filters'!$I$5:$I$405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1.6794373160935971</c:v>
                </c:pt>
                <c:pt idx="79">
                  <c:v>0</c:v>
                </c:pt>
                <c:pt idx="80">
                  <c:v>3.2941490678898706</c:v>
                </c:pt>
                <c:pt idx="81">
                  <c:v>6.5319005363716105</c:v>
                </c:pt>
                <c:pt idx="82">
                  <c:v>1.6192165027833827</c:v>
                </c:pt>
                <c:pt idx="83">
                  <c:v>8.0353353091154354</c:v>
                </c:pt>
                <c:pt idx="84">
                  <c:v>4.787300661092516</c:v>
                </c:pt>
                <c:pt idx="85">
                  <c:v>4.754767355483474</c:v>
                </c:pt>
                <c:pt idx="86">
                  <c:v>6.3036180136755675</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5.9491145337446127</c:v>
                </c:pt>
                <c:pt idx="103">
                  <c:v>5.8528542659809339</c:v>
                </c:pt>
                <c:pt idx="104">
                  <c:v>5.7041870481298771</c:v>
                </c:pt>
                <c:pt idx="105">
                  <c:v>5.6655286319357439</c:v>
                </c:pt>
                <c:pt idx="106">
                  <c:v>4.2318782593904034</c:v>
                </c:pt>
                <c:pt idx="107">
                  <c:v>2.8042074439689215</c:v>
                </c:pt>
                <c:pt idx="108">
                  <c:v>0</c:v>
                </c:pt>
                <c:pt idx="109">
                  <c:v>0</c:v>
                </c:pt>
                <c:pt idx="110">
                  <c:v>1.370691553784632</c:v>
                </c:pt>
                <c:pt idx="111">
                  <c:v>4.1005249281401062</c:v>
                </c:pt>
                <c:pt idx="112">
                  <c:v>5.4796134419101303</c:v>
                </c:pt>
                <c:pt idx="113">
                  <c:v>8.2507764918507309</c:v>
                </c:pt>
                <c:pt idx="114">
                  <c:v>5.5297450115279769</c:v>
                </c:pt>
                <c:pt idx="115">
                  <c:v>2.7901466388068363</c:v>
                </c:pt>
                <c:pt idx="116">
                  <c:v>0</c:v>
                </c:pt>
                <c:pt idx="117">
                  <c:v>0</c:v>
                </c:pt>
                <c:pt idx="118">
                  <c:v>0</c:v>
                </c:pt>
                <c:pt idx="119">
                  <c:v>4.4828823400414484</c:v>
                </c:pt>
                <c:pt idx="120">
                  <c:v>6.0576143509751565</c:v>
                </c:pt>
                <c:pt idx="121">
                  <c:v>5.8320551498201443</c:v>
                </c:pt>
                <c:pt idx="122">
                  <c:v>8.7899212839390319</c:v>
                </c:pt>
                <c:pt idx="123">
                  <c:v>7.677836973441579</c:v>
                </c:pt>
                <c:pt idx="124">
                  <c:v>4.4200575655230923</c:v>
                </c:pt>
                <c:pt idx="125">
                  <c:v>5.65343915116748</c:v>
                </c:pt>
                <c:pt idx="126">
                  <c:v>4.0873205848301648</c:v>
                </c:pt>
                <c:pt idx="127">
                  <c:v>7.9638970361925843</c:v>
                </c:pt>
                <c:pt idx="128">
                  <c:v>9.1119472923547686</c:v>
                </c:pt>
                <c:pt idx="129">
                  <c:v>11.464015345756499</c:v>
                </c:pt>
                <c:pt idx="130">
                  <c:v>14.32136990333164</c:v>
                </c:pt>
                <c:pt idx="131">
                  <c:v>17.538268097878088</c:v>
                </c:pt>
                <c:pt idx="132">
                  <c:v>21.505324226206273</c:v>
                </c:pt>
                <c:pt idx="133">
                  <c:v>25.630037109456989</c:v>
                </c:pt>
                <c:pt idx="134">
                  <c:v>26.313204217931457</c:v>
                </c:pt>
                <c:pt idx="135">
                  <c:v>30.225478555469468</c:v>
                </c:pt>
                <c:pt idx="136">
                  <c:v>31.518481076079787</c:v>
                </c:pt>
                <c:pt idx="137">
                  <c:v>33.380144487370245</c:v>
                </c:pt>
                <c:pt idx="138">
                  <c:v>32.830791624841879</c:v>
                </c:pt>
                <c:pt idx="139">
                  <c:v>31.420114981002314</c:v>
                </c:pt>
                <c:pt idx="140">
                  <c:v>28.709029894881819</c:v>
                </c:pt>
                <c:pt idx="141">
                  <c:v>27.040423723448864</c:v>
                </c:pt>
                <c:pt idx="142">
                  <c:v>22.608560489339744</c:v>
                </c:pt>
                <c:pt idx="143">
                  <c:v>21.549693993026274</c:v>
                </c:pt>
                <c:pt idx="144">
                  <c:v>19.586709269494079</c:v>
                </c:pt>
                <c:pt idx="145">
                  <c:v>16.257227263172119</c:v>
                </c:pt>
                <c:pt idx="146">
                  <c:v>12.950486933809904</c:v>
                </c:pt>
                <c:pt idx="147">
                  <c:v>11.056004093175348</c:v>
                </c:pt>
                <c:pt idx="148">
                  <c:v>9.1732365968766558</c:v>
                </c:pt>
                <c:pt idx="149">
                  <c:v>7.758129674223742</c:v>
                </c:pt>
                <c:pt idx="150">
                  <c:v>10.408643349102316</c:v>
                </c:pt>
                <c:pt idx="151">
                  <c:v>11.305350007337367</c:v>
                </c:pt>
                <c:pt idx="152">
                  <c:v>12.858257643601862</c:v>
                </c:pt>
                <c:pt idx="153">
                  <c:v>14.708691406603528</c:v>
                </c:pt>
                <c:pt idx="154">
                  <c:v>16.808933557479993</c:v>
                </c:pt>
                <c:pt idx="155">
                  <c:v>20.144924049485439</c:v>
                </c:pt>
                <c:pt idx="156">
                  <c:v>24.634503363833684</c:v>
                </c:pt>
                <c:pt idx="157">
                  <c:v>29.261853805983861</c:v>
                </c:pt>
                <c:pt idx="158">
                  <c:v>35.798697990391084</c:v>
                </c:pt>
                <c:pt idx="159">
                  <c:v>43.314440513599592</c:v>
                </c:pt>
                <c:pt idx="160">
                  <c:v>53.209894322327983</c:v>
                </c:pt>
                <c:pt idx="161">
                  <c:v>64.102816343057668</c:v>
                </c:pt>
                <c:pt idx="162">
                  <c:v>79.492892530206291</c:v>
                </c:pt>
                <c:pt idx="163">
                  <c:v>97.890724240780742</c:v>
                </c:pt>
                <c:pt idx="164">
                  <c:v>120.49750106370954</c:v>
                </c:pt>
                <c:pt idx="165">
                  <c:v>150.38027910049971</c:v>
                </c:pt>
                <c:pt idx="166">
                  <c:v>182.39756931761656</c:v>
                </c:pt>
                <c:pt idx="167">
                  <c:v>225.8452811181653</c:v>
                </c:pt>
                <c:pt idx="168">
                  <c:v>278.70357209350129</c:v>
                </c:pt>
                <c:pt idx="169">
                  <c:v>345.44424332259837</c:v>
                </c:pt>
                <c:pt idx="170">
                  <c:v>428.12107701300295</c:v>
                </c:pt>
                <c:pt idx="171">
                  <c:v>521.38265807314247</c:v>
                </c:pt>
                <c:pt idx="172">
                  <c:v>631.78165385373143</c:v>
                </c:pt>
                <c:pt idx="173">
                  <c:v>762.72975277017292</c:v>
                </c:pt>
                <c:pt idx="174">
                  <c:v>906.15234995071069</c:v>
                </c:pt>
                <c:pt idx="175">
                  <c:v>1068.8880514076625</c:v>
                </c:pt>
                <c:pt idx="176">
                  <c:v>1236.6146494007223</c:v>
                </c:pt>
                <c:pt idx="177">
                  <c:v>1418.3755815788677</c:v>
                </c:pt>
                <c:pt idx="178">
                  <c:v>1611.4501364080138</c:v>
                </c:pt>
                <c:pt idx="179">
                  <c:v>1818.2887644900366</c:v>
                </c:pt>
                <c:pt idx="180">
                  <c:v>2025.1882687370494</c:v>
                </c:pt>
                <c:pt idx="181">
                  <c:v>2245.344017032156</c:v>
                </c:pt>
                <c:pt idx="182">
                  <c:v>2445.6303112627365</c:v>
                </c:pt>
                <c:pt idx="183">
                  <c:v>2625.1054203134709</c:v>
                </c:pt>
                <c:pt idx="184">
                  <c:v>2773.3284144174477</c:v>
                </c:pt>
                <c:pt idx="185">
                  <c:v>2890.9722638112862</c:v>
                </c:pt>
                <c:pt idx="186">
                  <c:v>2963.001648257366</c:v>
                </c:pt>
                <c:pt idx="187">
                  <c:v>2985.2178489049757</c:v>
                </c:pt>
                <c:pt idx="188">
                  <c:v>2998.3112699707858</c:v>
                </c:pt>
                <c:pt idx="189">
                  <c:v>3009.8558578182833</c:v>
                </c:pt>
                <c:pt idx="190">
                  <c:v>3005.6152070488292</c:v>
                </c:pt>
                <c:pt idx="191">
                  <c:v>2974.0806926886125</c:v>
                </c:pt>
                <c:pt idx="192">
                  <c:v>2930.350431605586</c:v>
                </c:pt>
                <c:pt idx="193">
                  <c:v>2873.1904947819357</c:v>
                </c:pt>
                <c:pt idx="194">
                  <c:v>2795.8183091834453</c:v>
                </c:pt>
                <c:pt idx="195">
                  <c:v>2705.599528473148</c:v>
                </c:pt>
                <c:pt idx="196">
                  <c:v>2605.9255891797661</c:v>
                </c:pt>
                <c:pt idx="197">
                  <c:v>2494.4023571001535</c:v>
                </c:pt>
                <c:pt idx="198">
                  <c:v>2368.7044035478293</c:v>
                </c:pt>
                <c:pt idx="199">
                  <c:v>2222.1515442991781</c:v>
                </c:pt>
                <c:pt idx="200">
                  <c:v>2060.5156987239561</c:v>
                </c:pt>
                <c:pt idx="201">
                  <c:v>1883.2886071061305</c:v>
                </c:pt>
                <c:pt idx="202">
                  <c:v>1698.3384910997888</c:v>
                </c:pt>
                <c:pt idx="203">
                  <c:v>1528.3929012557942</c:v>
                </c:pt>
                <c:pt idx="204">
                  <c:v>1372.205567226112</c:v>
                </c:pt>
                <c:pt idx="205">
                  <c:v>1200.4760255343917</c:v>
                </c:pt>
                <c:pt idx="206">
                  <c:v>1017.1657771318519</c:v>
                </c:pt>
                <c:pt idx="207">
                  <c:v>850.09376019561626</c:v>
                </c:pt>
                <c:pt idx="208">
                  <c:v>727.67680336187573</c:v>
                </c:pt>
                <c:pt idx="209">
                  <c:v>642.67487508574231</c:v>
                </c:pt>
                <c:pt idx="210">
                  <c:v>557.85262380017173</c:v>
                </c:pt>
                <c:pt idx="211">
                  <c:v>461.15150908861835</c:v>
                </c:pt>
                <c:pt idx="212">
                  <c:v>372.49301884967662</c:v>
                </c:pt>
                <c:pt idx="213">
                  <c:v>313.52264351453971</c:v>
                </c:pt>
                <c:pt idx="214">
                  <c:v>278.74222722892426</c:v>
                </c:pt>
                <c:pt idx="215">
                  <c:v>249.7806376247859</c:v>
                </c:pt>
                <c:pt idx="216">
                  <c:v>218.79403251882582</c:v>
                </c:pt>
                <c:pt idx="217">
                  <c:v>178.56554532447993</c:v>
                </c:pt>
                <c:pt idx="218">
                  <c:v>141.66359378017052</c:v>
                </c:pt>
                <c:pt idx="219">
                  <c:v>118.23917748232792</c:v>
                </c:pt>
                <c:pt idx="220">
                  <c:v>104.39429421071623</c:v>
                </c:pt>
                <c:pt idx="221">
                  <c:v>93.194816144684836</c:v>
                </c:pt>
                <c:pt idx="222">
                  <c:v>79.095281206535475</c:v>
                </c:pt>
                <c:pt idx="223">
                  <c:v>65.114910849542127</c:v>
                </c:pt>
                <c:pt idx="224">
                  <c:v>55.584132169910845</c:v>
                </c:pt>
                <c:pt idx="225">
                  <c:v>52.539632306894561</c:v>
                </c:pt>
                <c:pt idx="226">
                  <c:v>51.671832148161684</c:v>
                </c:pt>
                <c:pt idx="227">
                  <c:v>51.547025178878947</c:v>
                </c:pt>
                <c:pt idx="228">
                  <c:v>51.440698169735391</c:v>
                </c:pt>
                <c:pt idx="229">
                  <c:v>50.645386890611228</c:v>
                </c:pt>
                <c:pt idx="230">
                  <c:v>50.079856286523281</c:v>
                </c:pt>
                <c:pt idx="231">
                  <c:v>49.078359426298888</c:v>
                </c:pt>
                <c:pt idx="232">
                  <c:v>49.747960736411635</c:v>
                </c:pt>
                <c:pt idx="233">
                  <c:v>51.199152722116516</c:v>
                </c:pt>
                <c:pt idx="234">
                  <c:v>53.50016229554452</c:v>
                </c:pt>
                <c:pt idx="235">
                  <c:v>55.512520238870863</c:v>
                </c:pt>
                <c:pt idx="236">
                  <c:v>56.679426309071637</c:v>
                </c:pt>
                <c:pt idx="237">
                  <c:v>57.332084036630064</c:v>
                </c:pt>
                <c:pt idx="238">
                  <c:v>57.566949455869768</c:v>
                </c:pt>
                <c:pt idx="239">
                  <c:v>59.798542847048303</c:v>
                </c:pt>
                <c:pt idx="240">
                  <c:v>62.063660832593534</c:v>
                </c:pt>
                <c:pt idx="241">
                  <c:v>63.979550408914058</c:v>
                </c:pt>
                <c:pt idx="242">
                  <c:v>67.354626980848579</c:v>
                </c:pt>
                <c:pt idx="243">
                  <c:v>69.562710843392907</c:v>
                </c:pt>
                <c:pt idx="244">
                  <c:v>72.634850064647694</c:v>
                </c:pt>
                <c:pt idx="245">
                  <c:v>74.319797616734135</c:v>
                </c:pt>
                <c:pt idx="246">
                  <c:v>75.834671203669359</c:v>
                </c:pt>
                <c:pt idx="247">
                  <c:v>78.195241019084548</c:v>
                </c:pt>
                <c:pt idx="248">
                  <c:v>79.748787314082222</c:v>
                </c:pt>
                <c:pt idx="249">
                  <c:v>81.928533543775458</c:v>
                </c:pt>
                <c:pt idx="250">
                  <c:v>83.472535236271881</c:v>
                </c:pt>
                <c:pt idx="251">
                  <c:v>80.581291325802297</c:v>
                </c:pt>
                <c:pt idx="252">
                  <c:v>70.784058521179333</c:v>
                </c:pt>
                <c:pt idx="253">
                  <c:v>61.287170458649477</c:v>
                </c:pt>
                <c:pt idx="254">
                  <c:v>57.262836497576707</c:v>
                </c:pt>
                <c:pt idx="255">
                  <c:v>56.636042037881523</c:v>
                </c:pt>
                <c:pt idx="256">
                  <c:v>57.489152161749878</c:v>
                </c:pt>
                <c:pt idx="257">
                  <c:v>59.61221269918375</c:v>
                </c:pt>
                <c:pt idx="258">
                  <c:v>61.049045995349964</c:v>
                </c:pt>
                <c:pt idx="259">
                  <c:v>62.439759315347423</c:v>
                </c:pt>
                <c:pt idx="260">
                  <c:v>62.667731900302762</c:v>
                </c:pt>
                <c:pt idx="261">
                  <c:v>64.168345939411694</c:v>
                </c:pt>
                <c:pt idx="262">
                  <c:v>64.724334743403404</c:v>
                </c:pt>
                <c:pt idx="263">
                  <c:v>66.298895185570061</c:v>
                </c:pt>
                <c:pt idx="264">
                  <c:v>68.019748557136012</c:v>
                </c:pt>
                <c:pt idx="265">
                  <c:v>69.442039583464052</c:v>
                </c:pt>
                <c:pt idx="266">
                  <c:v>70.77253177269391</c:v>
                </c:pt>
                <c:pt idx="267">
                  <c:v>71.172554336612322</c:v>
                </c:pt>
                <c:pt idx="268">
                  <c:v>71.26073669260964</c:v>
                </c:pt>
                <c:pt idx="269">
                  <c:v>68.771864332837183</c:v>
                </c:pt>
                <c:pt idx="270">
                  <c:v>65.816768880080687</c:v>
                </c:pt>
                <c:pt idx="271">
                  <c:v>59.560621079670966</c:v>
                </c:pt>
                <c:pt idx="272">
                  <c:v>52.971818321145783</c:v>
                </c:pt>
                <c:pt idx="273">
                  <c:v>48.103957411616186</c:v>
                </c:pt>
                <c:pt idx="274">
                  <c:v>44.885892092993103</c:v>
                </c:pt>
                <c:pt idx="275">
                  <c:v>43.100990405953674</c:v>
                </c:pt>
                <c:pt idx="276">
                  <c:v>42.644216334923797</c:v>
                </c:pt>
                <c:pt idx="277">
                  <c:v>41.755975142858496</c:v>
                </c:pt>
                <c:pt idx="278">
                  <c:v>42.157596955102122</c:v>
                </c:pt>
                <c:pt idx="279">
                  <c:v>42.527102903160134</c:v>
                </c:pt>
                <c:pt idx="280">
                  <c:v>41.921688919008574</c:v>
                </c:pt>
                <c:pt idx="281">
                  <c:v>42.387615984148844</c:v>
                </c:pt>
                <c:pt idx="282">
                  <c:v>41.224174596281941</c:v>
                </c:pt>
                <c:pt idx="283">
                  <c:v>39.227088637008578</c:v>
                </c:pt>
                <c:pt idx="284">
                  <c:v>36.973958430412928</c:v>
                </c:pt>
                <c:pt idx="285">
                  <c:v>35.266624064124656</c:v>
                </c:pt>
                <c:pt idx="286">
                  <c:v>34.544893446644288</c:v>
                </c:pt>
                <c:pt idx="287">
                  <c:v>34.164848988088785</c:v>
                </c:pt>
                <c:pt idx="288">
                  <c:v>33.622285270458931</c:v>
                </c:pt>
                <c:pt idx="289">
                  <c:v>33.09562399037759</c:v>
                </c:pt>
                <c:pt idx="290">
                  <c:v>32.880062652266872</c:v>
                </c:pt>
                <c:pt idx="291">
                  <c:v>31.778449490329788</c:v>
                </c:pt>
                <c:pt idx="292">
                  <c:v>30.437451505725519</c:v>
                </c:pt>
                <c:pt idx="293">
                  <c:v>28.721180757412942</c:v>
                </c:pt>
                <c:pt idx="294">
                  <c:v>27.042197318721861</c:v>
                </c:pt>
                <c:pt idx="295">
                  <c:v>25.955782443969884</c:v>
                </c:pt>
                <c:pt idx="296">
                  <c:v>25.682823701580098</c:v>
                </c:pt>
                <c:pt idx="297">
                  <c:v>25.429008851028239</c:v>
                </c:pt>
                <c:pt idx="298">
                  <c:v>25.312234571198303</c:v>
                </c:pt>
                <c:pt idx="299">
                  <c:v>25.670119974491875</c:v>
                </c:pt>
                <c:pt idx="300">
                  <c:v>26.117361669154544</c:v>
                </c:pt>
                <c:pt idx="301">
                  <c:v>27.120289215421248</c:v>
                </c:pt>
                <c:pt idx="302">
                  <c:v>27.854937737898283</c:v>
                </c:pt>
                <c:pt idx="303">
                  <c:v>28.903440992423711</c:v>
                </c:pt>
                <c:pt idx="304">
                  <c:v>29.7263378051146</c:v>
                </c:pt>
                <c:pt idx="305">
                  <c:v>30.067244276517503</c:v>
                </c:pt>
                <c:pt idx="306">
                  <c:v>30.61228828233704</c:v>
                </c:pt>
                <c:pt idx="307">
                  <c:v>30.716912932391939</c:v>
                </c:pt>
                <c:pt idx="308">
                  <c:v>30.641311965542275</c:v>
                </c:pt>
                <c:pt idx="309">
                  <c:v>30.872047600113547</c:v>
                </c:pt>
                <c:pt idx="310">
                  <c:v>31.281723967671539</c:v>
                </c:pt>
                <c:pt idx="311">
                  <c:v>32.279583222132743</c:v>
                </c:pt>
                <c:pt idx="312">
                  <c:v>32.967548901238494</c:v>
                </c:pt>
                <c:pt idx="313">
                  <c:v>34.410389321640466</c:v>
                </c:pt>
                <c:pt idx="314">
                  <c:v>35.843260115012285</c:v>
                </c:pt>
                <c:pt idx="315">
                  <c:v>37.596043826291591</c:v>
                </c:pt>
                <c:pt idx="316">
                  <c:v>39.820811828088623</c:v>
                </c:pt>
                <c:pt idx="317">
                  <c:v>41.942492099969499</c:v>
                </c:pt>
                <c:pt idx="318">
                  <c:v>44.801856457881996</c:v>
                </c:pt>
                <c:pt idx="319">
                  <c:v>47.840605232535985</c:v>
                </c:pt>
                <c:pt idx="320">
                  <c:v>51.363527627192006</c:v>
                </c:pt>
                <c:pt idx="321">
                  <c:v>54.444753488086725</c:v>
                </c:pt>
                <c:pt idx="322">
                  <c:v>55.771514415440286</c:v>
                </c:pt>
                <c:pt idx="323">
                  <c:v>51.949531446351543</c:v>
                </c:pt>
                <c:pt idx="324">
                  <c:v>42.235934941493824</c:v>
                </c:pt>
                <c:pt idx="325">
                  <c:v>30.917231014028374</c:v>
                </c:pt>
                <c:pt idx="326">
                  <c:v>22.942852060606107</c:v>
                </c:pt>
                <c:pt idx="327">
                  <c:v>19.686359542423403</c:v>
                </c:pt>
                <c:pt idx="328">
                  <c:v>18.131480262601993</c:v>
                </c:pt>
                <c:pt idx="329">
                  <c:v>17.743883897393889</c:v>
                </c:pt>
                <c:pt idx="330">
                  <c:v>17.451127244011211</c:v>
                </c:pt>
                <c:pt idx="331">
                  <c:v>17.492145068414846</c:v>
                </c:pt>
                <c:pt idx="332">
                  <c:v>17.608207006043219</c:v>
                </c:pt>
                <c:pt idx="333">
                  <c:v>17.968133874647002</c:v>
                </c:pt>
                <c:pt idx="334">
                  <c:v>18.082465587295736</c:v>
                </c:pt>
                <c:pt idx="335">
                  <c:v>18.353551822472213</c:v>
                </c:pt>
                <c:pt idx="336">
                  <c:v>18.159502128638554</c:v>
                </c:pt>
                <c:pt idx="337">
                  <c:v>18.752971805148267</c:v>
                </c:pt>
                <c:pt idx="338">
                  <c:v>18.871924844648554</c:v>
                </c:pt>
                <c:pt idx="339">
                  <c:v>19.22449611203238</c:v>
                </c:pt>
                <c:pt idx="340">
                  <c:v>19.188174911229339</c:v>
                </c:pt>
                <c:pt idx="341">
                  <c:v>19.765262372100324</c:v>
                </c:pt>
                <c:pt idx="342">
                  <c:v>19.810352156446989</c:v>
                </c:pt>
                <c:pt idx="343">
                  <c:v>20.23444007558496</c:v>
                </c:pt>
                <c:pt idx="344">
                  <c:v>20.132627687202543</c:v>
                </c:pt>
                <c:pt idx="345">
                  <c:v>20.182868440023789</c:v>
                </c:pt>
                <c:pt idx="346">
                  <c:v>19.791108352808191</c:v>
                </c:pt>
                <c:pt idx="347">
                  <c:v>19.55439039142821</c:v>
                </c:pt>
                <c:pt idx="348">
                  <c:v>19.245038088113056</c:v>
                </c:pt>
                <c:pt idx="349">
                  <c:v>18.869395207818211</c:v>
                </c:pt>
                <c:pt idx="350">
                  <c:v>18.497901896313515</c:v>
                </c:pt>
                <c:pt idx="351">
                  <c:v>18.49229552525021</c:v>
                </c:pt>
                <c:pt idx="352">
                  <c:v>18.197785722828261</c:v>
                </c:pt>
                <c:pt idx="353">
                  <c:v>18.484504999874677</c:v>
                </c:pt>
                <c:pt idx="354">
                  <c:v>18.919299847385673</c:v>
                </c:pt>
                <c:pt idx="355">
                  <c:v>19.421106825465355</c:v>
                </c:pt>
                <c:pt idx="356">
                  <c:v>19.557888686966656</c:v>
                </c:pt>
                <c:pt idx="357">
                  <c:v>20.195771315444123</c:v>
                </c:pt>
                <c:pt idx="358">
                  <c:v>20.398369910526529</c:v>
                </c:pt>
                <c:pt idx="359">
                  <c:v>21.040687242905051</c:v>
                </c:pt>
                <c:pt idx="360">
                  <c:v>21.336810443671151</c:v>
                </c:pt>
                <c:pt idx="361">
                  <c:v>21.910801416223222</c:v>
                </c:pt>
                <c:pt idx="362">
                  <c:v>22.065090929551872</c:v>
                </c:pt>
                <c:pt idx="363">
                  <c:v>22.514566123795753</c:v>
                </c:pt>
                <c:pt idx="364">
                  <c:v>22.69146440222152</c:v>
                </c:pt>
                <c:pt idx="365">
                  <c:v>23.034707051721021</c:v>
                </c:pt>
                <c:pt idx="366">
                  <c:v>23.046174064346225</c:v>
                </c:pt>
                <c:pt idx="367">
                  <c:v>22.905658562717935</c:v>
                </c:pt>
                <c:pt idx="368">
                  <c:v>23.130335691666119</c:v>
                </c:pt>
                <c:pt idx="369">
                  <c:v>22.912235090367624</c:v>
                </c:pt>
                <c:pt idx="370">
                  <c:v>23.148565340228735</c:v>
                </c:pt>
                <c:pt idx="371">
                  <c:v>23.272913929074502</c:v>
                </c:pt>
                <c:pt idx="372">
                  <c:v>23.218026574522366</c:v>
                </c:pt>
                <c:pt idx="373">
                  <c:v>23.186208122292914</c:v>
                </c:pt>
                <c:pt idx="374">
                  <c:v>22.79653153219931</c:v>
                </c:pt>
                <c:pt idx="375">
                  <c:v>22.759989011722229</c:v>
                </c:pt>
                <c:pt idx="376">
                  <c:v>22.468575131974976</c:v>
                </c:pt>
                <c:pt idx="377">
                  <c:v>21.89556488170043</c:v>
                </c:pt>
                <c:pt idx="378">
                  <c:v>21.446182073635008</c:v>
                </c:pt>
                <c:pt idx="379">
                  <c:v>21.086852850754632</c:v>
                </c:pt>
                <c:pt idx="380">
                  <c:v>20.390722043348106</c:v>
                </c:pt>
                <c:pt idx="381">
                  <c:v>19.812433443391793</c:v>
                </c:pt>
                <c:pt idx="382">
                  <c:v>19.222022004714198</c:v>
                </c:pt>
                <c:pt idx="383">
                  <c:v>18.544796825807708</c:v>
                </c:pt>
                <c:pt idx="384">
                  <c:v>18.002993020667958</c:v>
                </c:pt>
                <c:pt idx="385">
                  <c:v>17.338054695368477</c:v>
                </c:pt>
                <c:pt idx="386">
                  <c:v>16.767986940511786</c:v>
                </c:pt>
                <c:pt idx="387">
                  <c:v>16.027425422295714</c:v>
                </c:pt>
                <c:pt idx="388">
                  <c:v>15.551369819503858</c:v>
                </c:pt>
                <c:pt idx="389">
                  <c:v>15.042828474634469</c:v>
                </c:pt>
                <c:pt idx="390">
                  <c:v>14.398333724363189</c:v>
                </c:pt>
                <c:pt idx="391">
                  <c:v>14.117501737993276</c:v>
                </c:pt>
                <c:pt idx="392">
                  <c:v>13.814434655515566</c:v>
                </c:pt>
                <c:pt idx="393">
                  <c:v>13.294232680661487</c:v>
                </c:pt>
                <c:pt idx="394">
                  <c:v>13.007613468437116</c:v>
                </c:pt>
                <c:pt idx="395">
                  <c:v>13.109473409393548</c:v>
                </c:pt>
                <c:pt idx="396">
                  <c:v>12.673553946358039</c:v>
                </c:pt>
                <c:pt idx="397">
                  <c:v>12.581790823553886</c:v>
                </c:pt>
                <c:pt idx="398">
                  <c:v>12.491529656203671</c:v>
                </c:pt>
                <c:pt idx="399">
                  <c:v>12.250544401147351</c:v>
                </c:pt>
                <c:pt idx="400">
                  <c:v>11.940872308546414</c:v>
                </c:pt>
              </c:numCache>
            </c:numRef>
          </c:yVal>
          <c:smooth val="1"/>
          <c:extLst>
            <c:ext xmlns:c16="http://schemas.microsoft.com/office/drawing/2014/chart" uri="{C3380CC4-5D6E-409C-BE32-E72D297353CC}">
              <c16:uniqueId val="{00000007-6E90-4472-9EC1-0343BAA5C61F}"/>
            </c:ext>
          </c:extLst>
        </c:ser>
        <c:dLbls>
          <c:showLegendKey val="0"/>
          <c:showVal val="0"/>
          <c:showCatName val="0"/>
          <c:showSerName val="0"/>
          <c:showPercent val="0"/>
          <c:showBubbleSize val="0"/>
        </c:dLbls>
        <c:axId val="747697391"/>
        <c:axId val="747701551"/>
        <c:extLst>
          <c:ext xmlns:c15="http://schemas.microsoft.com/office/drawing/2012/chart" uri="{02D57815-91ED-43cb-92C2-25804820EDAC}">
            <c15:filteredScatterSeries>
              <c15:ser>
                <c:idx val="8"/>
                <c:order val="8"/>
                <c:tx>
                  <c:strRef>
                    <c:extLst>
                      <c:ext uri="{02D57815-91ED-43cb-92C2-25804820EDAC}">
                        <c15:formulaRef>
                          <c15:sqref>'Typical AS7341 filters'!$J$4</c15:sqref>
                        </c15:formulaRef>
                      </c:ext>
                    </c:extLst>
                    <c:strCache>
                      <c:ptCount val="1"/>
                      <c:pt idx="0">
                        <c:v>CLEAR - 256x</c:v>
                      </c:pt>
                    </c:strCache>
                  </c:strRef>
                </c:tx>
                <c:spPr>
                  <a:ln w="19050" cap="rnd">
                    <a:solidFill>
                      <a:schemeClr val="accent3">
                        <a:lumMod val="60000"/>
                      </a:schemeClr>
                    </a:solidFill>
                    <a:round/>
                  </a:ln>
                  <a:effectLst/>
                </c:spPr>
                <c:marker>
                  <c:symbol val="none"/>
                </c:marker>
                <c:xVal>
                  <c:numRef>
                    <c:extLst>
                      <c:ext uri="{02D57815-91ED-43cb-92C2-25804820EDAC}">
                        <c15:formulaRef>
                          <c15:sqref>'Typical AS7341 filters'!$A$5:$A$405</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c:ext uri="{02D57815-91ED-43cb-92C2-25804820EDAC}">
                        <c15:formulaRef>
                          <c15:sqref>'Typical AS7341 filters'!$J$5:$J$405</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6.3107952771419402</c:v>
                      </c:pt>
                      <c:pt idx="44">
                        <c:v>15.358377696776108</c:v>
                      </c:pt>
                      <c:pt idx="45">
                        <c:v>32.926330169243791</c:v>
                      </c:pt>
                      <c:pt idx="46">
                        <c:v>55.416570253540144</c:v>
                      </c:pt>
                      <c:pt idx="47">
                        <c:v>71.074560414196924</c:v>
                      </c:pt>
                      <c:pt idx="48">
                        <c:v>105.52291055930908</c:v>
                      </c:pt>
                      <c:pt idx="49">
                        <c:v>135.81908089736265</c:v>
                      </c:pt>
                      <c:pt idx="50">
                        <c:v>164.97115804470545</c:v>
                      </c:pt>
                      <c:pt idx="51">
                        <c:v>195.8681315697668</c:v>
                      </c:pt>
                      <c:pt idx="52">
                        <c:v>226.15558215403101</c:v>
                      </c:pt>
                      <c:pt idx="53">
                        <c:v>252.60810068971622</c:v>
                      </c:pt>
                      <c:pt idx="54">
                        <c:v>273.23597741258379</c:v>
                      </c:pt>
                      <c:pt idx="55">
                        <c:v>292.8230709751324</c:v>
                      </c:pt>
                      <c:pt idx="56">
                        <c:v>304.54342991005916</c:v>
                      </c:pt>
                      <c:pt idx="57">
                        <c:v>322.18731400363089</c:v>
                      </c:pt>
                      <c:pt idx="58">
                        <c:v>331.91807856416716</c:v>
                      </c:pt>
                      <c:pt idx="59">
                        <c:v>342.69490705746682</c:v>
                      </c:pt>
                      <c:pt idx="60">
                        <c:v>343.85267456648432</c:v>
                      </c:pt>
                      <c:pt idx="61">
                        <c:v>361.65906984422452</c:v>
                      </c:pt>
                      <c:pt idx="62">
                        <c:v>369.90791033217431</c:v>
                      </c:pt>
                      <c:pt idx="63">
                        <c:v>386.53117910521047</c:v>
                      </c:pt>
                      <c:pt idx="64">
                        <c:v>386.89319676503374</c:v>
                      </c:pt>
                      <c:pt idx="65">
                        <c:v>396.25771476276259</c:v>
                      </c:pt>
                      <c:pt idx="66">
                        <c:v>401.86467666311688</c:v>
                      </c:pt>
                      <c:pt idx="67">
                        <c:v>409.50373031509707</c:v>
                      </c:pt>
                      <c:pt idx="68">
                        <c:v>417.79178503438067</c:v>
                      </c:pt>
                      <c:pt idx="69">
                        <c:v>425.76185352942503</c:v>
                      </c:pt>
                      <c:pt idx="70">
                        <c:v>432.12832110031007</c:v>
                      </c:pt>
                      <c:pt idx="71">
                        <c:v>439.57305876778855</c:v>
                      </c:pt>
                      <c:pt idx="72">
                        <c:v>443.32038648219361</c:v>
                      </c:pt>
                      <c:pt idx="73">
                        <c:v>456.84733153748545</c:v>
                      </c:pt>
                      <c:pt idx="74">
                        <c:v>465.0348922740647</c:v>
                      </c:pt>
                      <c:pt idx="75">
                        <c:v>473.05832949613534</c:v>
                      </c:pt>
                      <c:pt idx="76">
                        <c:v>479.29516559587927</c:v>
                      </c:pt>
                      <c:pt idx="77">
                        <c:v>484.1248311963318</c:v>
                      </c:pt>
                      <c:pt idx="78">
                        <c:v>493.75457093151749</c:v>
                      </c:pt>
                      <c:pt idx="79">
                        <c:v>502.02251971222847</c:v>
                      </c:pt>
                      <c:pt idx="80">
                        <c:v>507.29895645504013</c:v>
                      </c:pt>
                      <c:pt idx="81">
                        <c:v>517.65311750745013</c:v>
                      </c:pt>
                      <c:pt idx="82">
                        <c:v>524.62614690181601</c:v>
                      </c:pt>
                      <c:pt idx="83">
                        <c:v>528.72506333979561</c:v>
                      </c:pt>
                      <c:pt idx="84">
                        <c:v>537.77344092939268</c:v>
                      </c:pt>
                      <c:pt idx="85">
                        <c:v>545.21332342877167</c:v>
                      </c:pt>
                      <c:pt idx="86">
                        <c:v>549.99067169319324</c:v>
                      </c:pt>
                      <c:pt idx="87">
                        <c:v>558.94096567801614</c:v>
                      </c:pt>
                      <c:pt idx="88">
                        <c:v>566.64575586344381</c:v>
                      </c:pt>
                      <c:pt idx="89">
                        <c:v>570.00942564649813</c:v>
                      </c:pt>
                      <c:pt idx="90">
                        <c:v>578.0631646774782</c:v>
                      </c:pt>
                      <c:pt idx="91">
                        <c:v>584.89898044286508</c:v>
                      </c:pt>
                      <c:pt idx="92">
                        <c:v>593.05153504455814</c:v>
                      </c:pt>
                      <c:pt idx="93">
                        <c:v>598.65586413873939</c:v>
                      </c:pt>
                      <c:pt idx="94">
                        <c:v>605.39158623807873</c:v>
                      </c:pt>
                      <c:pt idx="95">
                        <c:v>612.42374122718252</c:v>
                      </c:pt>
                      <c:pt idx="96">
                        <c:v>620.99826945994459</c:v>
                      </c:pt>
                      <c:pt idx="97">
                        <c:v>623.91923486107601</c:v>
                      </c:pt>
                      <c:pt idx="98">
                        <c:v>632.52086217471913</c:v>
                      </c:pt>
                      <c:pt idx="99">
                        <c:v>638.49310810237978</c:v>
                      </c:pt>
                      <c:pt idx="100">
                        <c:v>647.63212996981713</c:v>
                      </c:pt>
                      <c:pt idx="101">
                        <c:v>653.85780639059351</c:v>
                      </c:pt>
                      <c:pt idx="102">
                        <c:v>661.83899187908821</c:v>
                      </c:pt>
                      <c:pt idx="103">
                        <c:v>668.68859988832173</c:v>
                      </c:pt>
                      <c:pt idx="104">
                        <c:v>668.8159313932282</c:v>
                      </c:pt>
                      <c:pt idx="105">
                        <c:v>677.03067151632138</c:v>
                      </c:pt>
                      <c:pt idx="106">
                        <c:v>684.15365193478181</c:v>
                      </c:pt>
                      <c:pt idx="107">
                        <c:v>689.83503121635476</c:v>
                      </c:pt>
                      <c:pt idx="108">
                        <c:v>690.83326658383555</c:v>
                      </c:pt>
                      <c:pt idx="109">
                        <c:v>699.32464808015914</c:v>
                      </c:pt>
                      <c:pt idx="110">
                        <c:v>703.16476709151618</c:v>
                      </c:pt>
                      <c:pt idx="111">
                        <c:v>710.75765421095173</c:v>
                      </c:pt>
                      <c:pt idx="112">
                        <c:v>713.71965080879443</c:v>
                      </c:pt>
                      <c:pt idx="113">
                        <c:v>730.19371952878976</c:v>
                      </c:pt>
                      <c:pt idx="114">
                        <c:v>736.838522786103</c:v>
                      </c:pt>
                      <c:pt idx="115">
                        <c:v>743.57407924202187</c:v>
                      </c:pt>
                      <c:pt idx="116">
                        <c:v>747.08700907796799</c:v>
                      </c:pt>
                      <c:pt idx="117">
                        <c:v>749.27156382555029</c:v>
                      </c:pt>
                      <c:pt idx="118">
                        <c:v>760.11943550652586</c:v>
                      </c:pt>
                      <c:pt idx="119">
                        <c:v>779.12495069920374</c:v>
                      </c:pt>
                      <c:pt idx="120">
                        <c:v>787.48986562677044</c:v>
                      </c:pt>
                      <c:pt idx="121">
                        <c:v>793.99265111122816</c:v>
                      </c:pt>
                      <c:pt idx="122">
                        <c:v>800.68192059153739</c:v>
                      </c:pt>
                      <c:pt idx="123">
                        <c:v>806.94066590871</c:v>
                      </c:pt>
                      <c:pt idx="124">
                        <c:v>812.55391579532852</c:v>
                      </c:pt>
                      <c:pt idx="125">
                        <c:v>821.16203670707637</c:v>
                      </c:pt>
                      <c:pt idx="126">
                        <c:v>827.68241842810835</c:v>
                      </c:pt>
                      <c:pt idx="127">
                        <c:v>836.20918880022134</c:v>
                      </c:pt>
                      <c:pt idx="128">
                        <c:v>842.20427116479084</c:v>
                      </c:pt>
                      <c:pt idx="129">
                        <c:v>847.70024584455007</c:v>
                      </c:pt>
                      <c:pt idx="130">
                        <c:v>853.67817988989907</c:v>
                      </c:pt>
                      <c:pt idx="131">
                        <c:v>860.58467252691457</c:v>
                      </c:pt>
                      <c:pt idx="132">
                        <c:v>867.18766879729083</c:v>
                      </c:pt>
                      <c:pt idx="133">
                        <c:v>874.20713532039167</c:v>
                      </c:pt>
                      <c:pt idx="134">
                        <c:v>879.61282671370861</c:v>
                      </c:pt>
                      <c:pt idx="135">
                        <c:v>884.87694115839906</c:v>
                      </c:pt>
                      <c:pt idx="136">
                        <c:v>890.65127169825462</c:v>
                      </c:pt>
                      <c:pt idx="137">
                        <c:v>895.78357892972679</c:v>
                      </c:pt>
                      <c:pt idx="138">
                        <c:v>902.60176377550351</c:v>
                      </c:pt>
                      <c:pt idx="139">
                        <c:v>907.31624337448216</c:v>
                      </c:pt>
                      <c:pt idx="140">
                        <c:v>914.38260215198591</c:v>
                      </c:pt>
                      <c:pt idx="141">
                        <c:v>919.37440659726133</c:v>
                      </c:pt>
                      <c:pt idx="142">
                        <c:v>923.65389832490098</c:v>
                      </c:pt>
                      <c:pt idx="143">
                        <c:v>926.16837009158564</c:v>
                      </c:pt>
                      <c:pt idx="144">
                        <c:v>930.36869030096864</c:v>
                      </c:pt>
                      <c:pt idx="145">
                        <c:v>934.09382932111805</c:v>
                      </c:pt>
                      <c:pt idx="146">
                        <c:v>942.61044182516378</c:v>
                      </c:pt>
                      <c:pt idx="147">
                        <c:v>949.89501833864858</c:v>
                      </c:pt>
                      <c:pt idx="148">
                        <c:v>955.8512533945476</c:v>
                      </c:pt>
                      <c:pt idx="149">
                        <c:v>960.63899789652805</c:v>
                      </c:pt>
                      <c:pt idx="150">
                        <c:v>963.91472157936812</c:v>
                      </c:pt>
                      <c:pt idx="151">
                        <c:v>970.07196837152901</c:v>
                      </c:pt>
                      <c:pt idx="152">
                        <c:v>974.7273641497078</c:v>
                      </c:pt>
                      <c:pt idx="153">
                        <c:v>980.22922016864936</c:v>
                      </c:pt>
                      <c:pt idx="154">
                        <c:v>985.89540906525497</c:v>
                      </c:pt>
                      <c:pt idx="155">
                        <c:v>991.80176070299979</c:v>
                      </c:pt>
                      <c:pt idx="156">
                        <c:v>996.54777607828521</c:v>
                      </c:pt>
                      <c:pt idx="157">
                        <c:v>1001.0126472310742</c:v>
                      </c:pt>
                      <c:pt idx="158">
                        <c:v>1004.8757330636093</c:v>
                      </c:pt>
                      <c:pt idx="159">
                        <c:v>1009.7486948099424</c:v>
                      </c:pt>
                      <c:pt idx="160">
                        <c:v>1014.5954425867625</c:v>
                      </c:pt>
                      <c:pt idx="161">
                        <c:v>1020.3521683963767</c:v>
                      </c:pt>
                      <c:pt idx="162">
                        <c:v>1027.07121290839</c:v>
                      </c:pt>
                      <c:pt idx="163">
                        <c:v>1032.5073507817219</c:v>
                      </c:pt>
                      <c:pt idx="164">
                        <c:v>1037.7709093904343</c:v>
                      </c:pt>
                      <c:pt idx="165">
                        <c:v>1040.2204198210825</c:v>
                      </c:pt>
                      <c:pt idx="166">
                        <c:v>1043.4837686542714</c:v>
                      </c:pt>
                      <c:pt idx="167">
                        <c:v>1046.3211758132722</c:v>
                      </c:pt>
                      <c:pt idx="168">
                        <c:v>1050.8119127148386</c:v>
                      </c:pt>
                      <c:pt idx="169">
                        <c:v>1055.1068736266318</c:v>
                      </c:pt>
                      <c:pt idx="170">
                        <c:v>1060.4721281923696</c:v>
                      </c:pt>
                      <c:pt idx="171">
                        <c:v>1065.9593546889271</c:v>
                      </c:pt>
                      <c:pt idx="172">
                        <c:v>1070.8687152759562</c:v>
                      </c:pt>
                      <c:pt idx="173">
                        <c:v>1075.8183913229814</c:v>
                      </c:pt>
                      <c:pt idx="174">
                        <c:v>1079.9696833381056</c:v>
                      </c:pt>
                      <c:pt idx="175">
                        <c:v>1083.8565664496539</c:v>
                      </c:pt>
                      <c:pt idx="176">
                        <c:v>1087.1829225918075</c:v>
                      </c:pt>
                      <c:pt idx="177">
                        <c:v>1089.4289348011275</c:v>
                      </c:pt>
                      <c:pt idx="178">
                        <c:v>1094.3316289132113</c:v>
                      </c:pt>
                      <c:pt idx="179">
                        <c:v>1099.4404111961976</c:v>
                      </c:pt>
                      <c:pt idx="180">
                        <c:v>1104.5323310935344</c:v>
                      </c:pt>
                      <c:pt idx="181">
                        <c:v>1109.7725543313534</c:v>
                      </c:pt>
                      <c:pt idx="182">
                        <c:v>1114.1204751308021</c:v>
                      </c:pt>
                      <c:pt idx="183">
                        <c:v>1118.6552095942664</c:v>
                      </c:pt>
                      <c:pt idx="184">
                        <c:v>1122.5280236686726</c:v>
                      </c:pt>
                      <c:pt idx="185">
                        <c:v>1125.7292094054233</c:v>
                      </c:pt>
                      <c:pt idx="186">
                        <c:v>1129.5871526172614</c:v>
                      </c:pt>
                      <c:pt idx="187">
                        <c:v>1131.439776748972</c:v>
                      </c:pt>
                      <c:pt idx="188">
                        <c:v>1136.7374495153431</c:v>
                      </c:pt>
                      <c:pt idx="189">
                        <c:v>1140.7667833748847</c:v>
                      </c:pt>
                      <c:pt idx="190">
                        <c:v>1146.8465833232076</c:v>
                      </c:pt>
                      <c:pt idx="191">
                        <c:v>1150.9552921381119</c:v>
                      </c:pt>
                      <c:pt idx="192">
                        <c:v>1155.5697386539885</c:v>
                      </c:pt>
                      <c:pt idx="193">
                        <c:v>1159.7906279763126</c:v>
                      </c:pt>
                      <c:pt idx="194">
                        <c:v>1162.6768531223759</c:v>
                      </c:pt>
                      <c:pt idx="195">
                        <c:v>1165.3143028291656</c:v>
                      </c:pt>
                      <c:pt idx="196">
                        <c:v>1168.1671551893664</c:v>
                      </c:pt>
                      <c:pt idx="197">
                        <c:v>1171.2141043086019</c:v>
                      </c:pt>
                      <c:pt idx="198">
                        <c:v>1173.9020352876744</c:v>
                      </c:pt>
                      <c:pt idx="199">
                        <c:v>1177.3991226999422</c:v>
                      </c:pt>
                      <c:pt idx="200">
                        <c:v>1180.6816721924697</c:v>
                      </c:pt>
                      <c:pt idx="201">
                        <c:v>1184.5208469642153</c:v>
                      </c:pt>
                      <c:pt idx="202">
                        <c:v>1188.0074303849447</c:v>
                      </c:pt>
                      <c:pt idx="203">
                        <c:v>1190.4676214297453</c:v>
                      </c:pt>
                      <c:pt idx="204">
                        <c:v>1193.5572320831982</c:v>
                      </c:pt>
                      <c:pt idx="205">
                        <c:v>1195.294628787778</c:v>
                      </c:pt>
                      <c:pt idx="206">
                        <c:v>1197.7456811337036</c:v>
                      </c:pt>
                      <c:pt idx="207">
                        <c:v>1199.3474335451338</c:v>
                      </c:pt>
                      <c:pt idx="208">
                        <c:v>1202.0169071158327</c:v>
                      </c:pt>
                      <c:pt idx="209">
                        <c:v>1205.6587756027197</c:v>
                      </c:pt>
                      <c:pt idx="210">
                        <c:v>1209.3308627835891</c:v>
                      </c:pt>
                      <c:pt idx="211">
                        <c:v>1213.0251182211948</c:v>
                      </c:pt>
                      <c:pt idx="212">
                        <c:v>1215.6060810106185</c:v>
                      </c:pt>
                      <c:pt idx="213">
                        <c:v>1218.8414180923999</c:v>
                      </c:pt>
                      <c:pt idx="214">
                        <c:v>1219.8738030794116</c:v>
                      </c:pt>
                      <c:pt idx="215">
                        <c:v>1220.1846194261186</c:v>
                      </c:pt>
                      <c:pt idx="216">
                        <c:v>1220.490961609476</c:v>
                      </c:pt>
                      <c:pt idx="217">
                        <c:v>1220.2867316303762</c:v>
                      </c:pt>
                      <c:pt idx="218">
                        <c:v>1220.3357569731522</c:v>
                      </c:pt>
                      <c:pt idx="219">
                        <c:v>1220.734796178785</c:v>
                      </c:pt>
                      <c:pt idx="220">
                        <c:v>1222.3427805015028</c:v>
                      </c:pt>
                      <c:pt idx="221">
                        <c:v>1224.4365075009362</c:v>
                      </c:pt>
                      <c:pt idx="222">
                        <c:v>1226.1566207040421</c:v>
                      </c:pt>
                      <c:pt idx="223">
                        <c:v>1228.8861152851262</c:v>
                      </c:pt>
                      <c:pt idx="224">
                        <c:v>1229.9120841374736</c:v>
                      </c:pt>
                      <c:pt idx="225">
                        <c:v>1231.3180955522382</c:v>
                      </c:pt>
                      <c:pt idx="226">
                        <c:v>1232.6379464036734</c:v>
                      </c:pt>
                      <c:pt idx="227">
                        <c:v>1232.9094527659979</c:v>
                      </c:pt>
                      <c:pt idx="228">
                        <c:v>1232.3642529265639</c:v>
                      </c:pt>
                      <c:pt idx="229">
                        <c:v>1232.000052529484</c:v>
                      </c:pt>
                      <c:pt idx="230">
                        <c:v>1229.7594560507823</c:v>
                      </c:pt>
                      <c:pt idx="231">
                        <c:v>1228.8393825703572</c:v>
                      </c:pt>
                      <c:pt idx="232">
                        <c:v>1228.5665588706979</c:v>
                      </c:pt>
                      <c:pt idx="233">
                        <c:v>1227.4473453714847</c:v>
                      </c:pt>
                      <c:pt idx="234">
                        <c:v>1228.777921110571</c:v>
                      </c:pt>
                      <c:pt idx="235">
                        <c:v>1228.8189584583506</c:v>
                      </c:pt>
                      <c:pt idx="236">
                        <c:v>1228.4437860182641</c:v>
                      </c:pt>
                      <c:pt idx="237">
                        <c:v>1227.8458270643468</c:v>
                      </c:pt>
                      <c:pt idx="238">
                        <c:v>1228.1604131352965</c:v>
                      </c:pt>
                      <c:pt idx="239">
                        <c:v>1228.3370649505898</c:v>
                      </c:pt>
                      <c:pt idx="240">
                        <c:v>1225.0137272324691</c:v>
                      </c:pt>
                      <c:pt idx="241">
                        <c:v>1222.1887947272928</c:v>
                      </c:pt>
                      <c:pt idx="242">
                        <c:v>1219.8003130311417</c:v>
                      </c:pt>
                      <c:pt idx="243">
                        <c:v>1216.440100052723</c:v>
                      </c:pt>
                      <c:pt idx="244">
                        <c:v>1214.0976055498652</c:v>
                      </c:pt>
                      <c:pt idx="245">
                        <c:v>1211.5760413673088</c:v>
                      </c:pt>
                      <c:pt idx="246">
                        <c:v>1208.4224029202596</c:v>
                      </c:pt>
                      <c:pt idx="247">
                        <c:v>1205.6133985693775</c:v>
                      </c:pt>
                      <c:pt idx="248">
                        <c:v>1203.9360006528027</c:v>
                      </c:pt>
                      <c:pt idx="249">
                        <c:v>1201.0597295982632</c:v>
                      </c:pt>
                      <c:pt idx="250">
                        <c:v>1198.9691424846326</c:v>
                      </c:pt>
                      <c:pt idx="251">
                        <c:v>1195.5718960391405</c:v>
                      </c:pt>
                      <c:pt idx="252">
                        <c:v>1190.7499001228509</c:v>
                      </c:pt>
                      <c:pt idx="253">
                        <c:v>1186.7424825174853</c:v>
                      </c:pt>
                      <c:pt idx="254">
                        <c:v>1182.0685534142619</c:v>
                      </c:pt>
                      <c:pt idx="255">
                        <c:v>1176.819133031401</c:v>
                      </c:pt>
                      <c:pt idx="256">
                        <c:v>1170.6093021313295</c:v>
                      </c:pt>
                      <c:pt idx="257">
                        <c:v>1164.6137758347832</c:v>
                      </c:pt>
                      <c:pt idx="258">
                        <c:v>1158.6236800688916</c:v>
                      </c:pt>
                      <c:pt idx="259">
                        <c:v>1151.6424139456562</c:v>
                      </c:pt>
                      <c:pt idx="260">
                        <c:v>1144.3957591968181</c:v>
                      </c:pt>
                      <c:pt idx="261">
                        <c:v>1139.0972702645906</c:v>
                      </c:pt>
                      <c:pt idx="262">
                        <c:v>1133.4386026950879</c:v>
                      </c:pt>
                      <c:pt idx="263">
                        <c:v>1127.7333384352048</c:v>
                      </c:pt>
                      <c:pt idx="264">
                        <c:v>1121.8926043866479</c:v>
                      </c:pt>
                      <c:pt idx="265">
                        <c:v>1115.3858034958885</c:v>
                      </c:pt>
                      <c:pt idx="266">
                        <c:v>1109.6275133088432</c:v>
                      </c:pt>
                      <c:pt idx="267">
                        <c:v>1103.8138666576401</c:v>
                      </c:pt>
                      <c:pt idx="268">
                        <c:v>1096.4003553447508</c:v>
                      </c:pt>
                      <c:pt idx="269">
                        <c:v>1089.6566431029112</c:v>
                      </c:pt>
                      <c:pt idx="270">
                        <c:v>1081.9280209277617</c:v>
                      </c:pt>
                      <c:pt idx="271">
                        <c:v>1073.5288495980694</c:v>
                      </c:pt>
                      <c:pt idx="272">
                        <c:v>1065.5250811724727</c:v>
                      </c:pt>
                      <c:pt idx="273">
                        <c:v>1057.685763587911</c:v>
                      </c:pt>
                      <c:pt idx="274">
                        <c:v>1049.1830107727817</c:v>
                      </c:pt>
                      <c:pt idx="275">
                        <c:v>1041.8347997674414</c:v>
                      </c:pt>
                      <c:pt idx="276">
                        <c:v>1034.6024737833316</c:v>
                      </c:pt>
                      <c:pt idx="277">
                        <c:v>1026.5168006839376</c:v>
                      </c:pt>
                      <c:pt idx="278">
                        <c:v>1019.0252620821381</c:v>
                      </c:pt>
                      <c:pt idx="279">
                        <c:v>1011.1594424184856</c:v>
                      </c:pt>
                      <c:pt idx="280">
                        <c:v>1003.0749412714916</c:v>
                      </c:pt>
                      <c:pt idx="281">
                        <c:v>994.61397672349267</c:v>
                      </c:pt>
                      <c:pt idx="282">
                        <c:v>985.75798250105152</c:v>
                      </c:pt>
                      <c:pt idx="283">
                        <c:v>976.28107668141183</c:v>
                      </c:pt>
                      <c:pt idx="284">
                        <c:v>966.46279682007594</c:v>
                      </c:pt>
                      <c:pt idx="285">
                        <c:v>955.28671082453786</c:v>
                      </c:pt>
                      <c:pt idx="286">
                        <c:v>944.96998847594705</c:v>
                      </c:pt>
                      <c:pt idx="287">
                        <c:v>934.46322118105843</c:v>
                      </c:pt>
                      <c:pt idx="288">
                        <c:v>923.84870209056487</c:v>
                      </c:pt>
                      <c:pt idx="289">
                        <c:v>914.09813953513481</c:v>
                      </c:pt>
                      <c:pt idx="290">
                        <c:v>903.76136495538901</c:v>
                      </c:pt>
                      <c:pt idx="291">
                        <c:v>893.10384517845398</c:v>
                      </c:pt>
                      <c:pt idx="292">
                        <c:v>883.10883604806384</c:v>
                      </c:pt>
                      <c:pt idx="293">
                        <c:v>872.95819590559927</c:v>
                      </c:pt>
                      <c:pt idx="294">
                        <c:v>862.6460944672275</c:v>
                      </c:pt>
                      <c:pt idx="295">
                        <c:v>853.09770665333667</c:v>
                      </c:pt>
                      <c:pt idx="296">
                        <c:v>842.60415538113295</c:v>
                      </c:pt>
                      <c:pt idx="297">
                        <c:v>831.65573447287852</c:v>
                      </c:pt>
                      <c:pt idx="298">
                        <c:v>820.96429761955494</c:v>
                      </c:pt>
                      <c:pt idx="299">
                        <c:v>808.48769372491631</c:v>
                      </c:pt>
                      <c:pt idx="300">
                        <c:v>797.76668371235689</c:v>
                      </c:pt>
                      <c:pt idx="301">
                        <c:v>786.60478333826961</c:v>
                      </c:pt>
                      <c:pt idx="302">
                        <c:v>775.71435216810994</c:v>
                      </c:pt>
                      <c:pt idx="303">
                        <c:v>763.81263831916624</c:v>
                      </c:pt>
                      <c:pt idx="304">
                        <c:v>752.62683420653104</c:v>
                      </c:pt>
                      <c:pt idx="305">
                        <c:v>739.6758403133208</c:v>
                      </c:pt>
                      <c:pt idx="306">
                        <c:v>728.3173587172688</c:v>
                      </c:pt>
                      <c:pt idx="307">
                        <c:v>716.72796842247863</c:v>
                      </c:pt>
                      <c:pt idx="308">
                        <c:v>705.26429118004853</c:v>
                      </c:pt>
                      <c:pt idx="309">
                        <c:v>694.16558177566799</c:v>
                      </c:pt>
                      <c:pt idx="310">
                        <c:v>682.51939777871883</c:v>
                      </c:pt>
                      <c:pt idx="311">
                        <c:v>671.69005087757068</c:v>
                      </c:pt>
                      <c:pt idx="312">
                        <c:v>660.8011634603082</c:v>
                      </c:pt>
                      <c:pt idx="313">
                        <c:v>650.17525086678563</c:v>
                      </c:pt>
                      <c:pt idx="314">
                        <c:v>639.15776698528464</c:v>
                      </c:pt>
                      <c:pt idx="315">
                        <c:v>628.80313894616893</c:v>
                      </c:pt>
                      <c:pt idx="316">
                        <c:v>617.68347236116165</c:v>
                      </c:pt>
                      <c:pt idx="317">
                        <c:v>606.93253274073504</c:v>
                      </c:pt>
                      <c:pt idx="318">
                        <c:v>595.70210350752382</c:v>
                      </c:pt>
                      <c:pt idx="319">
                        <c:v>584.06519162850259</c:v>
                      </c:pt>
                      <c:pt idx="320">
                        <c:v>573.09031852531359</c:v>
                      </c:pt>
                      <c:pt idx="321">
                        <c:v>560.50175706325183</c:v>
                      </c:pt>
                      <c:pt idx="322">
                        <c:v>548.95476630687654</c:v>
                      </c:pt>
                      <c:pt idx="323">
                        <c:v>536.78315522629134</c:v>
                      </c:pt>
                      <c:pt idx="324">
                        <c:v>525.09079521202625</c:v>
                      </c:pt>
                      <c:pt idx="325">
                        <c:v>512.63310163534175</c:v>
                      </c:pt>
                      <c:pt idx="326">
                        <c:v>501.96943354578855</c:v>
                      </c:pt>
                      <c:pt idx="327">
                        <c:v>491.15798722791953</c:v>
                      </c:pt>
                      <c:pt idx="328">
                        <c:v>480.02887014870481</c:v>
                      </c:pt>
                      <c:pt idx="329">
                        <c:v>469.06285673203297</c:v>
                      </c:pt>
                      <c:pt idx="330">
                        <c:v>458.54060043493007</c:v>
                      </c:pt>
                      <c:pt idx="331">
                        <c:v>448.23621737813039</c:v>
                      </c:pt>
                      <c:pt idx="332">
                        <c:v>437.23027259754804</c:v>
                      </c:pt>
                      <c:pt idx="333">
                        <c:v>426.76314411606035</c:v>
                      </c:pt>
                      <c:pt idx="334">
                        <c:v>416.61049004414252</c:v>
                      </c:pt>
                      <c:pt idx="335">
                        <c:v>406.1412583547928</c:v>
                      </c:pt>
                      <c:pt idx="336">
                        <c:v>396.06500332289255</c:v>
                      </c:pt>
                      <c:pt idx="337">
                        <c:v>386.42015761147843</c:v>
                      </c:pt>
                      <c:pt idx="338">
                        <c:v>376.35568153303223</c:v>
                      </c:pt>
                      <c:pt idx="339">
                        <c:v>366.6495898486815</c:v>
                      </c:pt>
                      <c:pt idx="340">
                        <c:v>356.24260990569212</c:v>
                      </c:pt>
                      <c:pt idx="341">
                        <c:v>345.89209151175567</c:v>
                      </c:pt>
                      <c:pt idx="342">
                        <c:v>335.49058213036369</c:v>
                      </c:pt>
                      <c:pt idx="343">
                        <c:v>325.1050186121866</c:v>
                      </c:pt>
                      <c:pt idx="344">
                        <c:v>315.53590456968749</c:v>
                      </c:pt>
                      <c:pt idx="345">
                        <c:v>305.42414565512013</c:v>
                      </c:pt>
                      <c:pt idx="346">
                        <c:v>295.97713727626632</c:v>
                      </c:pt>
                      <c:pt idx="347">
                        <c:v>286.30579139147716</c:v>
                      </c:pt>
                      <c:pt idx="348">
                        <c:v>277.36360236914084</c:v>
                      </c:pt>
                      <c:pt idx="349">
                        <c:v>268.77917592531753</c:v>
                      </c:pt>
                      <c:pt idx="350">
                        <c:v>259.48041124631908</c:v>
                      </c:pt>
                      <c:pt idx="351">
                        <c:v>250.84254988957053</c:v>
                      </c:pt>
                      <c:pt idx="352">
                        <c:v>241.69836831073889</c:v>
                      </c:pt>
                      <c:pt idx="353">
                        <c:v>234.1130886170898</c:v>
                      </c:pt>
                      <c:pt idx="354">
                        <c:v>225.02500576057201</c:v>
                      </c:pt>
                      <c:pt idx="355">
                        <c:v>217.13083035382408</c:v>
                      </c:pt>
                      <c:pt idx="356">
                        <c:v>209.23384915293056</c:v>
                      </c:pt>
                      <c:pt idx="357">
                        <c:v>201.39081431049891</c:v>
                      </c:pt>
                      <c:pt idx="358">
                        <c:v>193.53747506804064</c:v>
                      </c:pt>
                      <c:pt idx="359">
                        <c:v>185.63656503940979</c:v>
                      </c:pt>
                      <c:pt idx="360">
                        <c:v>177.71317119531366</c:v>
                      </c:pt>
                      <c:pt idx="361">
                        <c:v>170.2462269784501</c:v>
                      </c:pt>
                      <c:pt idx="362">
                        <c:v>162.69513248688565</c:v>
                      </c:pt>
                      <c:pt idx="363">
                        <c:v>155.16230399866669</c:v>
                      </c:pt>
                      <c:pt idx="364">
                        <c:v>147.63373005249031</c:v>
                      </c:pt>
                      <c:pt idx="365">
                        <c:v>140.77536327693358</c:v>
                      </c:pt>
                      <c:pt idx="366">
                        <c:v>133.70933421116189</c:v>
                      </c:pt>
                      <c:pt idx="367">
                        <c:v>127.08500925459771</c:v>
                      </c:pt>
                      <c:pt idx="368">
                        <c:v>120.47049839409436</c:v>
                      </c:pt>
                      <c:pt idx="369">
                        <c:v>114.08097890802803</c:v>
                      </c:pt>
                      <c:pt idx="370">
                        <c:v>107.72986177567988</c:v>
                      </c:pt>
                      <c:pt idx="371">
                        <c:v>101.78477356627585</c:v>
                      </c:pt>
                      <c:pt idx="372">
                        <c:v>96.354810284267813</c:v>
                      </c:pt>
                      <c:pt idx="373">
                        <c:v>90.903574785342514</c:v>
                      </c:pt>
                      <c:pt idx="374">
                        <c:v>85.657625966796786</c:v>
                      </c:pt>
                      <c:pt idx="375">
                        <c:v>80.682116736165028</c:v>
                      </c:pt>
                      <c:pt idx="376">
                        <c:v>75.822955958960861</c:v>
                      </c:pt>
                      <c:pt idx="377">
                        <c:v>71.160585865526386</c:v>
                      </c:pt>
                      <c:pt idx="378">
                        <c:v>66.833856713749356</c:v>
                      </c:pt>
                      <c:pt idx="379">
                        <c:v>62.788967593940306</c:v>
                      </c:pt>
                      <c:pt idx="380">
                        <c:v>58.936638464162293</c:v>
                      </c:pt>
                      <c:pt idx="381">
                        <c:v>55.406494905485317</c:v>
                      </c:pt>
                      <c:pt idx="382">
                        <c:v>52.193604233441043</c:v>
                      </c:pt>
                      <c:pt idx="383">
                        <c:v>49.225526868504289</c:v>
                      </c:pt>
                      <c:pt idx="384">
                        <c:v>46.468102740139187</c:v>
                      </c:pt>
                      <c:pt idx="385">
                        <c:v>44.090131276112807</c:v>
                      </c:pt>
                      <c:pt idx="386">
                        <c:v>41.852354500712885</c:v>
                      </c:pt>
                      <c:pt idx="387">
                        <c:v>39.493740281099988</c:v>
                      </c:pt>
                      <c:pt idx="388">
                        <c:v>37.526131520976698</c:v>
                      </c:pt>
                      <c:pt idx="389">
                        <c:v>35.64201701647626</c:v>
                      </c:pt>
                      <c:pt idx="390">
                        <c:v>33.958334255573561</c:v>
                      </c:pt>
                      <c:pt idx="391">
                        <c:v>32.307359746561538</c:v>
                      </c:pt>
                      <c:pt idx="392">
                        <c:v>30.827285216495326</c:v>
                      </c:pt>
                      <c:pt idx="393">
                        <c:v>29.110960793038227</c:v>
                      </c:pt>
                      <c:pt idx="394">
                        <c:v>27.649691456468421</c:v>
                      </c:pt>
                      <c:pt idx="395">
                        <c:v>26.218946818787096</c:v>
                      </c:pt>
                      <c:pt idx="396">
                        <c:v>24.665734024632311</c:v>
                      </c:pt>
                      <c:pt idx="397">
                        <c:v>23.522478496209438</c:v>
                      </c:pt>
                      <c:pt idx="398">
                        <c:v>22.184410591618537</c:v>
                      </c:pt>
                      <c:pt idx="399">
                        <c:v>21.010710229900763</c:v>
                      </c:pt>
                      <c:pt idx="400">
                        <c:v>19.855964810211468</c:v>
                      </c:pt>
                    </c:numCache>
                  </c:numRef>
                </c:yVal>
                <c:smooth val="1"/>
                <c:extLst>
                  <c:ext xmlns:c16="http://schemas.microsoft.com/office/drawing/2014/chart" uri="{C3380CC4-5D6E-409C-BE32-E72D297353CC}">
                    <c16:uniqueId val="{00000008-6E90-4472-9EC1-0343BAA5C61F}"/>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'Typical AS7341 filters'!$K$4</c15:sqref>
                        </c15:formulaRef>
                      </c:ext>
                    </c:extLst>
                    <c:strCache>
                      <c:ptCount val="1"/>
                      <c:pt idx="0">
                        <c:v>DARK - 256x</c:v>
                      </c:pt>
                    </c:strCache>
                  </c:strRef>
                </c:tx>
                <c:spPr>
                  <a:ln w="19050"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filters'!$A$5:$A$405</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filters'!$K$5:$K$405</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0.19209106457172881</c:v>
                      </c:pt>
                      <c:pt idx="277">
                        <c:v>0.37788212798966969</c:v>
                      </c:pt>
                      <c:pt idx="278">
                        <c:v>0.37143257229164867</c:v>
                      </c:pt>
                      <c:pt idx="279">
                        <c:v>0.91259877474592555</c:v>
                      </c:pt>
                      <c:pt idx="280">
                        <c:v>1.2540676172352994</c:v>
                      </c:pt>
                      <c:pt idx="281">
                        <c:v>1.407057792004941</c:v>
                      </c:pt>
                      <c:pt idx="282">
                        <c:v>1.8973469479460308</c:v>
                      </c:pt>
                      <c:pt idx="283">
                        <c:v>2.3671519005091382</c:v>
                      </c:pt>
                      <c:pt idx="284">
                        <c:v>2.321235058411574</c:v>
                      </c:pt>
                      <c:pt idx="285">
                        <c:v>3.412899102979805</c:v>
                      </c:pt>
                      <c:pt idx="286">
                        <c:v>3.024668089798348</c:v>
                      </c:pt>
                      <c:pt idx="287">
                        <c:v>3.5880891631326119</c:v>
                      </c:pt>
                      <c:pt idx="288">
                        <c:v>4.2791999435129551</c:v>
                      </c:pt>
                      <c:pt idx="289">
                        <c:v>4.7921265506429087</c:v>
                      </c:pt>
                      <c:pt idx="290">
                        <c:v>5.1375097894166988</c:v>
                      </c:pt>
                      <c:pt idx="291">
                        <c:v>5.4641677856675663</c:v>
                      </c:pt>
                      <c:pt idx="292">
                        <c:v>5.9183933483355169</c:v>
                      </c:pt>
                      <c:pt idx="293">
                        <c:v>5.7994691914006902</c:v>
                      </c:pt>
                      <c:pt idx="294">
                        <c:v>6.625338343086856</c:v>
                      </c:pt>
                      <c:pt idx="295">
                        <c:v>6.7538005338901232</c:v>
                      </c:pt>
                      <c:pt idx="296">
                        <c:v>7.1341176948833613</c:v>
                      </c:pt>
                      <c:pt idx="297">
                        <c:v>7.5015576110533297</c:v>
                      </c:pt>
                      <c:pt idx="298">
                        <c:v>7.6061394524290478</c:v>
                      </c:pt>
                      <c:pt idx="299">
                        <c:v>7.5072992378230952</c:v>
                      </c:pt>
                      <c:pt idx="300">
                        <c:v>8.0726390613750407</c:v>
                      </c:pt>
                      <c:pt idx="301">
                        <c:v>8.2641224647850162</c:v>
                      </c:pt>
                      <c:pt idx="302">
                        <c:v>7.8770110816187771</c:v>
                      </c:pt>
                      <c:pt idx="303">
                        <c:v>8.2901342381370338</c:v>
                      </c:pt>
                      <c:pt idx="304">
                        <c:v>8.5876086992553287</c:v>
                      </c:pt>
                      <c:pt idx="305">
                        <c:v>8.6524443961201456</c:v>
                      </c:pt>
                      <c:pt idx="306">
                        <c:v>8.9285840823483031</c:v>
                      </c:pt>
                      <c:pt idx="307">
                        <c:v>8.6717815421378592</c:v>
                      </c:pt>
                      <c:pt idx="308">
                        <c:v>9.1512643118565862</c:v>
                      </c:pt>
                      <c:pt idx="309">
                        <c:v>8.8061250531471433</c:v>
                      </c:pt>
                      <c:pt idx="310">
                        <c:v>9.0657225511404782</c:v>
                      </c:pt>
                      <c:pt idx="311">
                        <c:v>8.6340526551601258</c:v>
                      </c:pt>
                      <c:pt idx="312">
                        <c:v>8.7977916422659899</c:v>
                      </c:pt>
                      <c:pt idx="313">
                        <c:v>8.5787674209075959</c:v>
                      </c:pt>
                      <c:pt idx="314">
                        <c:v>8.5609886363940113</c:v>
                      </c:pt>
                      <c:pt idx="315">
                        <c:v>8.1892372690932174</c:v>
                      </c:pt>
                      <c:pt idx="316">
                        <c:v>8.2960024641851291</c:v>
                      </c:pt>
                      <c:pt idx="317">
                        <c:v>8.3153960372488545</c:v>
                      </c:pt>
                      <c:pt idx="318">
                        <c:v>8.0390427918376979</c:v>
                      </c:pt>
                      <c:pt idx="319">
                        <c:v>7.9288898802527044</c:v>
                      </c:pt>
                      <c:pt idx="320">
                        <c:v>7.8276608883905627</c:v>
                      </c:pt>
                      <c:pt idx="321">
                        <c:v>7.8526086761663541</c:v>
                      </c:pt>
                      <c:pt idx="322">
                        <c:v>7.4593316325472241</c:v>
                      </c:pt>
                      <c:pt idx="323">
                        <c:v>7.5688059060909536</c:v>
                      </c:pt>
                      <c:pt idx="324">
                        <c:v>7.337960414077715</c:v>
                      </c:pt>
                      <c:pt idx="325">
                        <c:v>7.284607855360111</c:v>
                      </c:pt>
                      <c:pt idx="326">
                        <c:v>7.1433788467088615</c:v>
                      </c:pt>
                      <c:pt idx="327">
                        <c:v>7.1738428841034434</c:v>
                      </c:pt>
                      <c:pt idx="328">
                        <c:v>7.0373325220144727</c:v>
                      </c:pt>
                      <c:pt idx="329">
                        <c:v>6.98254690406704</c:v>
                      </c:pt>
                      <c:pt idx="330">
                        <c:v>7.0130698270325418</c:v>
                      </c:pt>
                      <c:pt idx="331">
                        <c:v>6.7215187068445932</c:v>
                      </c:pt>
                      <c:pt idx="332">
                        <c:v>7.0754439111041245</c:v>
                      </c:pt>
                      <c:pt idx="333">
                        <c:v>6.9476784315301741</c:v>
                      </c:pt>
                      <c:pt idx="334">
                        <c:v>6.6619610058457965</c:v>
                      </c:pt>
                      <c:pt idx="335">
                        <c:v>6.8530429551720271</c:v>
                      </c:pt>
                      <c:pt idx="336">
                        <c:v>6.7315395821677395</c:v>
                      </c:pt>
                      <c:pt idx="337">
                        <c:v>6.6919318474802942</c:v>
                      </c:pt>
                      <c:pt idx="338">
                        <c:v>6.7289240224771483</c:v>
                      </c:pt>
                      <c:pt idx="339">
                        <c:v>6.4594306936428803</c:v>
                      </c:pt>
                      <c:pt idx="340">
                        <c:v>6.6508813437328786</c:v>
                      </c:pt>
                      <c:pt idx="341">
                        <c:v>6.6137608706643389</c:v>
                      </c:pt>
                      <c:pt idx="342">
                        <c:v>6.5782467084385035</c:v>
                      </c:pt>
                      <c:pt idx="343">
                        <c:v>6.5442241136650239</c:v>
                      </c:pt>
                      <c:pt idx="344">
                        <c:v>6.3616109792275699</c:v>
                      </c:pt>
                      <c:pt idx="345">
                        <c:v>6.2559444611143844</c:v>
                      </c:pt>
                      <c:pt idx="346">
                        <c:v>6.300540112317214</c:v>
                      </c:pt>
                      <c:pt idx="347">
                        <c:v>6.4197432605820905</c:v>
                      </c:pt>
                      <c:pt idx="348">
                        <c:v>6.170164883211819</c:v>
                      </c:pt>
                      <c:pt idx="349">
                        <c:v>6.362935593334047</c:v>
                      </c:pt>
                      <c:pt idx="350">
                        <c:v>6.4815483022515856</c:v>
                      </c:pt>
                      <c:pt idx="351">
                        <c:v>6.526692538323605</c:v>
                      </c:pt>
                      <c:pt idx="352">
                        <c:v>6.3547823159082828</c:v>
                      </c:pt>
                      <c:pt idx="353">
                        <c:v>6.5450971011229404</c:v>
                      </c:pt>
                      <c:pt idx="354">
                        <c:v>6.378097297035322</c:v>
                      </c:pt>
                      <c:pt idx="355">
                        <c:v>6.4261015231319192</c:v>
                      </c:pt>
                      <c:pt idx="356">
                        <c:v>6.3296439750546636</c:v>
                      </c:pt>
                      <c:pt idx="357">
                        <c:v>6.0233002168868435</c:v>
                      </c:pt>
                      <c:pt idx="358">
                        <c:v>6.1406857516117936</c:v>
                      </c:pt>
                      <c:pt idx="359">
                        <c:v>6.192576847410181</c:v>
                      </c:pt>
                      <c:pt idx="360">
                        <c:v>6.1062582519716777</c:v>
                      </c:pt>
                      <c:pt idx="361">
                        <c:v>6.0902227578639634</c:v>
                      </c:pt>
                      <c:pt idx="362">
                        <c:v>6.0748826293386484</c:v>
                      </c:pt>
                      <c:pt idx="363">
                        <c:v>5.9945903611344731</c:v>
                      </c:pt>
                      <c:pt idx="364">
                        <c:v>5.8468803981184285</c:v>
                      </c:pt>
                      <c:pt idx="365">
                        <c:v>5.689295115184108</c:v>
                      </c:pt>
                      <c:pt idx="366">
                        <c:v>5.5366183938369318</c:v>
                      </c:pt>
                      <c:pt idx="367">
                        <c:v>5.3814499032891536</c:v>
                      </c:pt>
                      <c:pt idx="368">
                        <c:v>5.2318616445435273</c:v>
                      </c:pt>
                      <c:pt idx="369">
                        <c:v>5.0077639568767562</c:v>
                      </c:pt>
                      <c:pt idx="370">
                        <c:v>4.862568459042131</c:v>
                      </c:pt>
                      <c:pt idx="371">
                        <c:v>4.5176832921144623</c:v>
                      </c:pt>
                      <c:pt idx="372">
                        <c:v>4.5070286879955184</c:v>
                      </c:pt>
                      <c:pt idx="373">
                        <c:v>4.2962679756013342</c:v>
                      </c:pt>
                      <c:pt idx="374">
                        <c:v>4.2999445704447794</c:v>
                      </c:pt>
                      <c:pt idx="375">
                        <c:v>4.0204771008730882</c:v>
                      </c:pt>
                      <c:pt idx="376">
                        <c:v>3.8692108233310378</c:v>
                      </c:pt>
                      <c:pt idx="377">
                        <c:v>3.5141030057050071</c:v>
                      </c:pt>
                      <c:pt idx="378">
                        <c:v>3.4394820306773122</c:v>
                      </c:pt>
                      <c:pt idx="379">
                        <c:v>3.1663964344583628</c:v>
                      </c:pt>
                      <c:pt idx="380">
                        <c:v>2.9807035545093576</c:v>
                      </c:pt>
                      <c:pt idx="381">
                        <c:v>2.5961119684444416</c:v>
                      </c:pt>
                      <c:pt idx="382">
                        <c:v>2.6678251180920065</c:v>
                      </c:pt>
                      <c:pt idx="383">
                        <c:v>2.454458403415726</c:v>
                      </c:pt>
                      <c:pt idx="384">
                        <c:v>2.1060105043045536</c:v>
                      </c:pt>
                      <c:pt idx="385">
                        <c:v>2.0995300607672767</c:v>
                      </c:pt>
                      <c:pt idx="386">
                        <c:v>1.9607726664308136</c:v>
                      </c:pt>
                      <c:pt idx="387">
                        <c:v>1.7582829577202048</c:v>
                      </c:pt>
                      <c:pt idx="388">
                        <c:v>1.3522930277829439</c:v>
                      </c:pt>
                      <c:pt idx="389">
                        <c:v>1.4907307497385509</c:v>
                      </c:pt>
                      <c:pt idx="390">
                        <c:v>1.3583333702229423</c:v>
                      </c:pt>
                      <c:pt idx="391">
                        <c:v>1.0859616721533289</c:v>
                      </c:pt>
                      <c:pt idx="392">
                        <c:v>0.88466822917094756</c:v>
                      </c:pt>
                      <c:pt idx="393">
                        <c:v>0.95445773091928621</c:v>
                      </c:pt>
                      <c:pt idx="394">
                        <c:v>0.9534376364299455</c:v>
                      </c:pt>
                      <c:pt idx="395">
                        <c:v>0.6145065660653225</c:v>
                      </c:pt>
                      <c:pt idx="396">
                        <c:v>0.61323648127538899</c:v>
                      </c:pt>
                      <c:pt idx="397">
                        <c:v>0.61541368158687493</c:v>
                      </c:pt>
                      <c:pt idx="398">
                        <c:v>0.47781807428101469</c:v>
                      </c:pt>
                      <c:pt idx="399">
                        <c:v>0.41063277322281627</c:v>
                      </c:pt>
                      <c:pt idx="400">
                        <c:v>0.34116778024418326</c:v>
                      </c:pt>
                    </c:numCache>
                  </c:numRef>
                </c:yVal>
                <c:smooth val="1"/>
                <c:extLst xmlns:c15="http://schemas.microsoft.com/office/drawing/2012/chart">
                  <c:ext xmlns:c16="http://schemas.microsoft.com/office/drawing/2014/chart" uri="{C3380CC4-5D6E-409C-BE32-E72D297353CC}">
                    <c16:uniqueId val="{00000009-6E90-4472-9EC1-0343BAA5C61F}"/>
                  </c:ext>
                </c:extLst>
              </c15:ser>
            </c15:filteredScatterSeries>
            <c15:filteredScatterSeries>
              <c15:ser>
                <c:idx val="10"/>
                <c:order val="10"/>
                <c:tx>
                  <c:strRef>
                    <c:extLst xmlns:c15="http://schemas.microsoft.com/office/drawing/2012/chart">
                      <c:ext xmlns:c15="http://schemas.microsoft.com/office/drawing/2012/chart" uri="{02D57815-91ED-43cb-92C2-25804820EDAC}">
                        <c15:formulaRef>
                          <c15:sqref>'Typical AS7341 filters'!$L$4</c15:sqref>
                        </c15:formulaRef>
                      </c:ext>
                    </c:extLst>
                    <c:strCache>
                      <c:ptCount val="1"/>
                      <c:pt idx="0">
                        <c:v>PROX - 16x</c:v>
                      </c:pt>
                    </c:strCache>
                  </c:strRef>
                </c:tx>
                <c:spPr>
                  <a:ln w="19050" cap="rnd">
                    <a:solidFill>
                      <a:schemeClr val="accent5">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filters'!$A$5:$A$405</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filters'!$L$5:$L$405</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0.89657646800828961</c:v>
                      </c:pt>
                      <c:pt idx="120">
                        <c:v>0.86537347871073678</c:v>
                      </c:pt>
                      <c:pt idx="121">
                        <c:v>0.83315073568859199</c:v>
                      </c:pt>
                      <c:pt idx="122">
                        <c:v>0.79908375308536661</c:v>
                      </c:pt>
                      <c:pt idx="123">
                        <c:v>1.5355673946883159</c:v>
                      </c:pt>
                      <c:pt idx="124">
                        <c:v>1.4733525218410308</c:v>
                      </c:pt>
                      <c:pt idx="125">
                        <c:v>2.1200396816878051</c:v>
                      </c:pt>
                      <c:pt idx="126">
                        <c:v>2.7248803898867764</c:v>
                      </c:pt>
                      <c:pt idx="127">
                        <c:v>3.3182904317469104</c:v>
                      </c:pt>
                      <c:pt idx="128">
                        <c:v>2.6034135121013624</c:v>
                      </c:pt>
                      <c:pt idx="129">
                        <c:v>2.5475589657236664</c:v>
                      </c:pt>
                      <c:pt idx="130">
                        <c:v>2.4906730266663724</c:v>
                      </c:pt>
                      <c:pt idx="131">
                        <c:v>3.0238393272203603</c:v>
                      </c:pt>
                      <c:pt idx="132">
                        <c:v>2.9061248954332801</c:v>
                      </c:pt>
                      <c:pt idx="133">
                        <c:v>2.7858735988540206</c:v>
                      </c:pt>
                      <c:pt idx="134">
                        <c:v>3.2220250062773208</c:v>
                      </c:pt>
                      <c:pt idx="135">
                        <c:v>3.6479025842807973</c:v>
                      </c:pt>
                      <c:pt idx="136">
                        <c:v>3.5585381860090086</c:v>
                      </c:pt>
                      <c:pt idx="137">
                        <c:v>3.9856888940143573</c:v>
                      </c:pt>
                      <c:pt idx="138">
                        <c:v>4.9001181529614737</c:v>
                      </c:pt>
                      <c:pt idx="139">
                        <c:v>5.3172502275542373</c:v>
                      </c:pt>
                      <c:pt idx="140">
                        <c:v>6.2202898105577269</c:v>
                      </c:pt>
                      <c:pt idx="141">
                        <c:v>6.1671141825409688</c:v>
                      </c:pt>
                      <c:pt idx="142">
                        <c:v>5.6521401223349361</c:v>
                      </c:pt>
                      <c:pt idx="143">
                        <c:v>4.6847160854404946</c:v>
                      </c:pt>
                      <c:pt idx="144">
                        <c:v>4.1971519863201596</c:v>
                      </c:pt>
                      <c:pt idx="145">
                        <c:v>4.1804298676728306</c:v>
                      </c:pt>
                      <c:pt idx="146">
                        <c:v>4.1626565144388978</c:v>
                      </c:pt>
                      <c:pt idx="147">
                        <c:v>4.6066683721563946</c:v>
                      </c:pt>
                      <c:pt idx="148">
                        <c:v>5.0452801282821609</c:v>
                      </c:pt>
                      <c:pt idx="149">
                        <c:v>5.9326873979358021</c:v>
                      </c:pt>
                      <c:pt idx="150">
                        <c:v>5.9477961994870379</c:v>
                      </c:pt>
                      <c:pt idx="151">
                        <c:v>6.1997080685398469</c:v>
                      </c:pt>
                      <c:pt idx="152">
                        <c:v>6.0719549983675458</c:v>
                      </c:pt>
                      <c:pt idx="153">
                        <c:v>5.6033110120394385</c:v>
                      </c:pt>
                      <c:pt idx="154">
                        <c:v>5.1455919053510168</c:v>
                      </c:pt>
                      <c:pt idx="155">
                        <c:v>5.0362310123713598</c:v>
                      </c:pt>
                      <c:pt idx="156">
                        <c:v>4.9269006727667364</c:v>
                      </c:pt>
                      <c:pt idx="157">
                        <c:v>5.1449413285246353</c:v>
                      </c:pt>
                      <c:pt idx="158">
                        <c:v>5.0243786653180464</c:v>
                      </c:pt>
                      <c:pt idx="159">
                        <c:v>5.2223084307176819</c:v>
                      </c:pt>
                      <c:pt idx="160">
                        <c:v>5.411175693796066</c:v>
                      </c:pt>
                      <c:pt idx="161">
                        <c:v>5.8809923250511629</c:v>
                      </c:pt>
                      <c:pt idx="162">
                        <c:v>6.0483722577330878</c:v>
                      </c:pt>
                      <c:pt idx="163">
                        <c:v>6.2063283380322085</c:v>
                      </c:pt>
                      <c:pt idx="164">
                        <c:v>6.6328899668096994</c:v>
                      </c:pt>
                      <c:pt idx="165">
                        <c:v>7.032171324843512</c:v>
                      </c:pt>
                      <c:pt idx="166">
                        <c:v>7.4231568908332326</c:v>
                      </c:pt>
                      <c:pt idx="167">
                        <c:v>7.2769480682492844</c:v>
                      </c:pt>
                      <c:pt idx="168">
                        <c:v>6.6297281559295822</c:v>
                      </c:pt>
                      <c:pt idx="169">
                        <c:v>5.7574040553766386</c:v>
                      </c:pt>
                      <c:pt idx="170">
                        <c:v>5.4068103870758124</c:v>
                      </c:pt>
                      <c:pt idx="171">
                        <c:v>5.3153004993554847</c:v>
                      </c:pt>
                      <c:pt idx="172">
                        <c:v>5.2272269216931528</c:v>
                      </c:pt>
                      <c:pt idx="173">
                        <c:v>5.144100110651074</c:v>
                      </c:pt>
                      <c:pt idx="174">
                        <c:v>5.0648759397651508</c:v>
                      </c:pt>
                      <c:pt idx="175">
                        <c:v>4.9895050139971513</c:v>
                      </c:pt>
                      <c:pt idx="176">
                        <c:v>4.9214041763415146</c:v>
                      </c:pt>
                      <c:pt idx="177">
                        <c:v>4.8536728565461331</c:v>
                      </c:pt>
                      <c:pt idx="178">
                        <c:v>5.0078844936338758</c:v>
                      </c:pt>
                      <c:pt idx="179">
                        <c:v>4.942753998731928</c:v>
                      </c:pt>
                      <c:pt idx="180">
                        <c:v>5.0958815736725924</c:v>
                      </c:pt>
                      <c:pt idx="181">
                        <c:v>5.2436805628962073</c:v>
                      </c:pt>
                      <c:pt idx="182">
                        <c:v>5.3932475057532772</c:v>
                      </c:pt>
                      <c:pt idx="183">
                        <c:v>5.3347460472213726</c:v>
                      </c:pt>
                      <c:pt idx="184">
                        <c:v>5.6847141730372286</c:v>
                      </c:pt>
                      <c:pt idx="185">
                        <c:v>5.8265477552663363</c:v>
                      </c:pt>
                      <c:pt idx="186">
                        <c:v>6.1704320231075069</c:v>
                      </c:pt>
                      <c:pt idx="187">
                        <c:v>6.3120768577348505</c:v>
                      </c:pt>
                      <c:pt idx="188">
                        <c:v>6.6498749627532119</c:v>
                      </c:pt>
                      <c:pt idx="189">
                        <c:v>7.174633857703677</c:v>
                      </c:pt>
                      <c:pt idx="190">
                        <c:v>7.309656183542752</c:v>
                      </c:pt>
                      <c:pt idx="191">
                        <c:v>7.445224148844976</c:v>
                      </c:pt>
                      <c:pt idx="192">
                        <c:v>7.3941295828557099</c:v>
                      </c:pt>
                      <c:pt idx="193">
                        <c:v>7.3487952056988126</c:v>
                      </c:pt>
                      <c:pt idx="194">
                        <c:v>7.3041877048602872</c:v>
                      </c:pt>
                      <c:pt idx="195">
                        <c:v>7.074923071977679</c:v>
                      </c:pt>
                      <c:pt idx="196">
                        <c:v>6.850877277224054</c:v>
                      </c:pt>
                      <c:pt idx="197">
                        <c:v>6.6315992065287306</c:v>
                      </c:pt>
                      <c:pt idx="198">
                        <c:v>6.4167688950599091</c:v>
                      </c:pt>
                      <c:pt idx="199">
                        <c:v>6.3860172469390948</c:v>
                      </c:pt>
                      <c:pt idx="200">
                        <c:v>6.5401662100213738</c:v>
                      </c:pt>
                      <c:pt idx="201">
                        <c:v>6.6962981417381151</c:v>
                      </c:pt>
                      <c:pt idx="202">
                        <c:v>6.8525018753229965</c:v>
                      </c:pt>
                      <c:pt idx="203">
                        <c:v>7.0101520814978207</c:v>
                      </c:pt>
                      <c:pt idx="204">
                        <c:v>6.9882498200337384</c:v>
                      </c:pt>
                      <c:pt idx="205">
                        <c:v>7.3254229865917635</c:v>
                      </c:pt>
                      <c:pt idx="206">
                        <c:v>7.4870246476582158</c:v>
                      </c:pt>
                      <c:pt idx="207">
                        <c:v>7.8284063308093579</c:v>
                      </c:pt>
                      <c:pt idx="208">
                        <c:v>8.3498070698262108</c:v>
                      </c:pt>
                      <c:pt idx="209">
                        <c:v>8.696787870533381</c:v>
                      </c:pt>
                      <c:pt idx="210">
                        <c:v>9.0433832847453139</c:v>
                      </c:pt>
                      <c:pt idx="211">
                        <c:v>9.3895620367640316</c:v>
                      </c:pt>
                      <c:pt idx="212">
                        <c:v>9.7418526090024802</c:v>
                      </c:pt>
                      <c:pt idx="213">
                        <c:v>10.096491909790263</c:v>
                      </c:pt>
                      <c:pt idx="214">
                        <c:v>10.632252786862971</c:v>
                      </c:pt>
                      <c:pt idx="215">
                        <c:v>10.813782040533667</c:v>
                      </c:pt>
                      <c:pt idx="216">
                        <c:v>11.001808610030169</c:v>
                      </c:pt>
                      <c:pt idx="217">
                        <c:v>10.838306731137585</c:v>
                      </c:pt>
                      <c:pt idx="218">
                        <c:v>10.50019099626892</c:v>
                      </c:pt>
                      <c:pt idx="219">
                        <c:v>10.16535915006439</c:v>
                      </c:pt>
                      <c:pt idx="220">
                        <c:v>10.010411773630324</c:v>
                      </c:pt>
                      <c:pt idx="221">
                        <c:v>10.036364815581443</c:v>
                      </c:pt>
                      <c:pt idx="222">
                        <c:v>10.066672153559061</c:v>
                      </c:pt>
                      <c:pt idx="223">
                        <c:v>10.281301713085599</c:v>
                      </c:pt>
                      <c:pt idx="224">
                        <c:v>10.320180891481819</c:v>
                      </c:pt>
                      <c:pt idx="225">
                        <c:v>10.362488032847716</c:v>
                      </c:pt>
                      <c:pt idx="226">
                        <c:v>10.407400821361188</c:v>
                      </c:pt>
                      <c:pt idx="227">
                        <c:v>10.639599503113805</c:v>
                      </c:pt>
                      <c:pt idx="228">
                        <c:v>10.693765210912733</c:v>
                      </c:pt>
                      <c:pt idx="229">
                        <c:v>10.759825786283704</c:v>
                      </c:pt>
                      <c:pt idx="230">
                        <c:v>10.838177853053544</c:v>
                      </c:pt>
                      <c:pt idx="231">
                        <c:v>11.094341786021587</c:v>
                      </c:pt>
                      <c:pt idx="232">
                        <c:v>11.349344654694669</c:v>
                      </c:pt>
                      <c:pt idx="233">
                        <c:v>11.610216788286644</c:v>
                      </c:pt>
                      <c:pt idx="234">
                        <c:v>11.88892495456545</c:v>
                      </c:pt>
                      <c:pt idx="235">
                        <c:v>12.185675174386287</c:v>
                      </c:pt>
                      <c:pt idx="236">
                        <c:v>12.465578294778643</c:v>
                      </c:pt>
                      <c:pt idx="237">
                        <c:v>12.32737643108428</c:v>
                      </c:pt>
                      <c:pt idx="238">
                        <c:v>12.181402273938312</c:v>
                      </c:pt>
                      <c:pt idx="239">
                        <c:v>12.038650540164841</c:v>
                      </c:pt>
                      <c:pt idx="240">
                        <c:v>11.698900923715714</c:v>
                      </c:pt>
                      <c:pt idx="241">
                        <c:v>11.161541504358839</c:v>
                      </c:pt>
                      <c:pt idx="242">
                        <c:v>10.624390565431472</c:v>
                      </c:pt>
                      <c:pt idx="243">
                        <c:v>10.081552296143899</c:v>
                      </c:pt>
                      <c:pt idx="244">
                        <c:v>9.5358602040179932</c:v>
                      </c:pt>
                      <c:pt idx="245">
                        <c:v>9.1878870680028459</c:v>
                      </c:pt>
                      <c:pt idx="246">
                        <c:v>9.2481306345938243</c:v>
                      </c:pt>
                      <c:pt idx="247">
                        <c:v>9.3089572641767315</c:v>
                      </c:pt>
                      <c:pt idx="248">
                        <c:v>9.7864047095610029</c:v>
                      </c:pt>
                      <c:pt idx="249">
                        <c:v>10.476794570815276</c:v>
                      </c:pt>
                      <c:pt idx="250">
                        <c:v>10.96103998052055</c:v>
                      </c:pt>
                      <c:pt idx="251">
                        <c:v>11.663081639260861</c:v>
                      </c:pt>
                      <c:pt idx="252">
                        <c:v>12.365889741651811</c:v>
                      </c:pt>
                      <c:pt idx="253">
                        <c:v>13.286029959567369</c:v>
                      </c:pt>
                      <c:pt idx="254">
                        <c:v>14.208072213684446</c:v>
                      </c:pt>
                      <c:pt idx="255">
                        <c:v>15.347935056067129</c:v>
                      </c:pt>
                      <c:pt idx="256">
                        <c:v>16.487454959596192</c:v>
                      </c:pt>
                      <c:pt idx="257">
                        <c:v>17.840151245741122</c:v>
                      </c:pt>
                      <c:pt idx="258">
                        <c:v>19.186843027109987</c:v>
                      </c:pt>
                      <c:pt idx="259">
                        <c:v>20.740479492860157</c:v>
                      </c:pt>
                      <c:pt idx="260">
                        <c:v>22.708864521364067</c:v>
                      </c:pt>
                      <c:pt idx="261">
                        <c:v>24.445084167394928</c:v>
                      </c:pt>
                      <c:pt idx="262">
                        <c:v>26.587100466987255</c:v>
                      </c:pt>
                      <c:pt idx="263">
                        <c:v>28.910665769445306</c:v>
                      </c:pt>
                      <c:pt idx="264">
                        <c:v>31.193770038941359</c:v>
                      </c:pt>
                      <c:pt idx="265">
                        <c:v>33.642727251616122</c:v>
                      </c:pt>
                      <c:pt idx="266">
                        <c:v>36.673039191305023</c:v>
                      </c:pt>
                      <c:pt idx="267">
                        <c:v>39.635015289251172</c:v>
                      </c:pt>
                      <c:pt idx="268">
                        <c:v>42.925606969138741</c:v>
                      </c:pt>
                      <c:pt idx="269">
                        <c:v>46.337140297429926</c:v>
                      </c:pt>
                      <c:pt idx="270">
                        <c:v>50.244978135582109</c:v>
                      </c:pt>
                      <c:pt idx="271">
                        <c:v>54.220703327700463</c:v>
                      </c:pt>
                      <c:pt idx="272">
                        <c:v>58.451661595747076</c:v>
                      </c:pt>
                      <c:pt idx="273">
                        <c:v>63.136444102746246</c:v>
                      </c:pt>
                      <c:pt idx="274">
                        <c:v>68.020911365593079</c:v>
                      </c:pt>
                      <c:pt idx="275">
                        <c:v>72.940137610075453</c:v>
                      </c:pt>
                      <c:pt idx="276">
                        <c:v>78.373154345265363</c:v>
                      </c:pt>
                      <c:pt idx="277">
                        <c:v>84.456655605691168</c:v>
                      </c:pt>
                      <c:pt idx="278">
                        <c:v>90.443831353016463</c:v>
                      </c:pt>
                      <c:pt idx="279">
                        <c:v>96.917989878017295</c:v>
                      </c:pt>
                      <c:pt idx="280">
                        <c:v>103.55015468028616</c:v>
                      </c:pt>
                      <c:pt idx="281">
                        <c:v>110.45403667238786</c:v>
                      </c:pt>
                      <c:pt idx="282">
                        <c:v>117.80799685883082</c:v>
                      </c:pt>
                      <c:pt idx="283">
                        <c:v>125.45905072698434</c:v>
                      </c:pt>
                      <c:pt idx="284">
                        <c:v>133.13941085032098</c:v>
                      </c:pt>
                      <c:pt idx="285">
                        <c:v>141.22901526140242</c:v>
                      </c:pt>
                      <c:pt idx="286">
                        <c:v>149.48228085898151</c:v>
                      </c:pt>
                      <c:pt idx="287">
                        <c:v>157.87592317783492</c:v>
                      </c:pt>
                      <c:pt idx="288">
                        <c:v>166.73596922759407</c:v>
                      </c:pt>
                      <c:pt idx="289">
                        <c:v>175.96089678141931</c:v>
                      </c:pt>
                      <c:pt idx="290">
                        <c:v>185.09713841298446</c:v>
                      </c:pt>
                      <c:pt idx="291">
                        <c:v>195.12830750397072</c:v>
                      </c:pt>
                      <c:pt idx="292">
                        <c:v>205.03005528162328</c:v>
                      </c:pt>
                      <c:pt idx="293">
                        <c:v>214.02802968264456</c:v>
                      </c:pt>
                      <c:pt idx="294">
                        <c:v>221.34038505373846</c:v>
                      </c:pt>
                      <c:pt idx="295">
                        <c:v>226.71581400039</c:v>
                      </c:pt>
                      <c:pt idx="296">
                        <c:v>232.1831031607494</c:v>
                      </c:pt>
                      <c:pt idx="297">
                        <c:v>238.77839311115517</c:v>
                      </c:pt>
                      <c:pt idx="298">
                        <c:v>245.89027869164067</c:v>
                      </c:pt>
                      <c:pt idx="299">
                        <c:v>251.97886635338489</c:v>
                      </c:pt>
                      <c:pt idx="300">
                        <c:v>256.66243603960055</c:v>
                      </c:pt>
                      <c:pt idx="301">
                        <c:v>258.74851041150828</c:v>
                      </c:pt>
                      <c:pt idx="302">
                        <c:v>259.59888695074056</c:v>
                      </c:pt>
                      <c:pt idx="303">
                        <c:v>260.91517081920477</c:v>
                      </c:pt>
                      <c:pt idx="304">
                        <c:v>263.90382118096181</c:v>
                      </c:pt>
                      <c:pt idx="305">
                        <c:v>267.90130961486994</c:v>
                      </c:pt>
                      <c:pt idx="306">
                        <c:v>272.21552184397626</c:v>
                      </c:pt>
                      <c:pt idx="307">
                        <c:v>276.24325780015062</c:v>
                      </c:pt>
                      <c:pt idx="308">
                        <c:v>277.93109477470057</c:v>
                      </c:pt>
                      <c:pt idx="309">
                        <c:v>276.6337904626568</c:v>
                      </c:pt>
                      <c:pt idx="310">
                        <c:v>272.07129985895216</c:v>
                      </c:pt>
                      <c:pt idx="311">
                        <c:v>266.28203302391569</c:v>
                      </c:pt>
                      <c:pt idx="312">
                        <c:v>260.84002033883121</c:v>
                      </c:pt>
                      <c:pt idx="313">
                        <c:v>256.02854769508667</c:v>
                      </c:pt>
                      <c:pt idx="314">
                        <c:v>251.65543519070303</c:v>
                      </c:pt>
                      <c:pt idx="315">
                        <c:v>247.25912981796225</c:v>
                      </c:pt>
                      <c:pt idx="316">
                        <c:v>241.96673853873293</c:v>
                      </c:pt>
                      <c:pt idx="317">
                        <c:v>236.48620818022016</c:v>
                      </c:pt>
                      <c:pt idx="318">
                        <c:v>230.603103905187</c:v>
                      </c:pt>
                      <c:pt idx="319">
                        <c:v>224.94884210829301</c:v>
                      </c:pt>
                      <c:pt idx="320">
                        <c:v>219.79016359649458</c:v>
                      </c:pt>
                      <c:pt idx="321">
                        <c:v>214.72522168939329</c:v>
                      </c:pt>
                      <c:pt idx="322">
                        <c:v>209.64191344030976</c:v>
                      </c:pt>
                      <c:pt idx="323">
                        <c:v>203.92771367433693</c:v>
                      </c:pt>
                      <c:pt idx="324">
                        <c:v>197.78363069572259</c:v>
                      </c:pt>
                      <c:pt idx="325">
                        <c:v>191.51742280196754</c:v>
                      </c:pt>
                      <c:pt idx="326">
                        <c:v>185.72785001443037</c:v>
                      </c:pt>
                      <c:pt idx="327">
                        <c:v>180.84757410158448</c:v>
                      </c:pt>
                      <c:pt idx="328">
                        <c:v>176.76123452354</c:v>
                      </c:pt>
                      <c:pt idx="329">
                        <c:v>173.24931083149869</c:v>
                      </c:pt>
                      <c:pt idx="330">
                        <c:v>170.10771696732422</c:v>
                      </c:pt>
                      <c:pt idx="331">
                        <c:v>166.90421752779164</c:v>
                      </c:pt>
                      <c:pt idx="332">
                        <c:v>163.13722381398034</c:v>
                      </c:pt>
                      <c:pt idx="333">
                        <c:v>158.83830345187948</c:v>
                      </c:pt>
                      <c:pt idx="334">
                        <c:v>153.78026655160716</c:v>
                      </c:pt>
                      <c:pt idx="335">
                        <c:v>148.40382675338046</c:v>
                      </c:pt>
                      <c:pt idx="336">
                        <c:v>143.16262669517204</c:v>
                      </c:pt>
                      <c:pt idx="337">
                        <c:v>138.58523977165586</c:v>
                      </c:pt>
                      <c:pt idx="338">
                        <c:v>134.19176067813623</c:v>
                      </c:pt>
                      <c:pt idx="339">
                        <c:v>130.4958796084758</c:v>
                      </c:pt>
                      <c:pt idx="340">
                        <c:v>126.29029861892775</c:v>
                      </c:pt>
                      <c:pt idx="341">
                        <c:v>121.93646478788047</c:v>
                      </c:pt>
                      <c:pt idx="342">
                        <c:v>117.04742419152647</c:v>
                      </c:pt>
                      <c:pt idx="343">
                        <c:v>111.85357766689529</c:v>
                      </c:pt>
                      <c:pt idx="344">
                        <c:v>106.80022196891463</c:v>
                      </c:pt>
                      <c:pt idx="345">
                        <c:v>102.32937725679957</c:v>
                      </c:pt>
                      <c:pt idx="346">
                        <c:v>98.65904575875544</c:v>
                      </c:pt>
                      <c:pt idx="347">
                        <c:v>95.705827689367496</c:v>
                      </c:pt>
                      <c:pt idx="348">
                        <c:v>93.213562342807137</c:v>
                      </c:pt>
                      <c:pt idx="349">
                        <c:v>91.202076837788013</c:v>
                      </c:pt>
                      <c:pt idx="350">
                        <c:v>88.993842981476831</c:v>
                      </c:pt>
                      <c:pt idx="351">
                        <c:v>86.659973147741198</c:v>
                      </c:pt>
                      <c:pt idx="352">
                        <c:v>83.623158202520358</c:v>
                      </c:pt>
                      <c:pt idx="353">
                        <c:v>80.123496380779727</c:v>
                      </c:pt>
                      <c:pt idx="354">
                        <c:v>75.605535374969264</c:v>
                      </c:pt>
                      <c:pt idx="355">
                        <c:v>71.472529162833908</c:v>
                      </c:pt>
                      <c:pt idx="356">
                        <c:v>67.776974249742636</c:v>
                      </c:pt>
                      <c:pt idx="357">
                        <c:v>64.768192920406761</c:v>
                      </c:pt>
                      <c:pt idx="358">
                        <c:v>62.465596438809619</c:v>
                      </c:pt>
                      <c:pt idx="359">
                        <c:v>60.447994453697113</c:v>
                      </c:pt>
                      <c:pt idx="360">
                        <c:v>58.74641559655511</c:v>
                      </c:pt>
                      <c:pt idx="361">
                        <c:v>57.262094436008297</c:v>
                      </c:pt>
                      <c:pt idx="362">
                        <c:v>55.651510983711525</c:v>
                      </c:pt>
                      <c:pt idx="363">
                        <c:v>53.811904172044336</c:v>
                      </c:pt>
                      <c:pt idx="364">
                        <c:v>51.647443516712784</c:v>
                      </c:pt>
                      <c:pt idx="365">
                        <c:v>49.191588252018683</c:v>
                      </c:pt>
                      <c:pt idx="366">
                        <c:v>46.438386778307262</c:v>
                      </c:pt>
                      <c:pt idx="367">
                        <c:v>43.741528701093884</c:v>
                      </c:pt>
                      <c:pt idx="368">
                        <c:v>41.30417087797521</c:v>
                      </c:pt>
                      <c:pt idx="369">
                        <c:v>39.238917579911025</c:v>
                      </c:pt>
                      <c:pt idx="370">
                        <c:v>37.462323198535856</c:v>
                      </c:pt>
                      <c:pt idx="371">
                        <c:v>36.004566843215258</c:v>
                      </c:pt>
                      <c:pt idx="372">
                        <c:v>34.690463234874592</c:v>
                      </c:pt>
                      <c:pt idx="373">
                        <c:v>33.551807047553275</c:v>
                      </c:pt>
                      <c:pt idx="374">
                        <c:v>32.351963910965488</c:v>
                      </c:pt>
                      <c:pt idx="375">
                        <c:v>31.209805291523299</c:v>
                      </c:pt>
                      <c:pt idx="376">
                        <c:v>29.867592320450115</c:v>
                      </c:pt>
                      <c:pt idx="377">
                        <c:v>28.315560757507654</c:v>
                      </c:pt>
                      <c:pt idx="378">
                        <c:v>26.706566355847368</c:v>
                      </c:pt>
                      <c:pt idx="379">
                        <c:v>24.926950654246685</c:v>
                      </c:pt>
                      <c:pt idx="380">
                        <c:v>23.235939072652492</c:v>
                      </c:pt>
                      <c:pt idx="381">
                        <c:v>21.657039315707582</c:v>
                      </c:pt>
                      <c:pt idx="382">
                        <c:v>20.316514360854509</c:v>
                      </c:pt>
                      <c:pt idx="383">
                        <c:v>19.09023202656676</c:v>
                      </c:pt>
                      <c:pt idx="384">
                        <c:v>18.07092884338746</c:v>
                      </c:pt>
                      <c:pt idx="385">
                        <c:v>17.20260114306091</c:v>
                      </c:pt>
                      <c:pt idx="386">
                        <c:v>16.36230983711231</c:v>
                      </c:pt>
                      <c:pt idx="387">
                        <c:v>15.486415281458727</c:v>
                      </c:pt>
                      <c:pt idx="388">
                        <c:v>14.739994002834091</c:v>
                      </c:pt>
                      <c:pt idx="389">
                        <c:v>13.890900168018312</c:v>
                      </c:pt>
                      <c:pt idx="390">
                        <c:v>13.107917022651394</c:v>
                      </c:pt>
                      <c:pt idx="391">
                        <c:v>12.284941416234533</c:v>
                      </c:pt>
                      <c:pt idx="392">
                        <c:v>11.500686979222317</c:v>
                      </c:pt>
                      <c:pt idx="393">
                        <c:v>10.908088353363272</c:v>
                      </c:pt>
                      <c:pt idx="394">
                        <c:v>10.283505935780127</c:v>
                      </c:pt>
                      <c:pt idx="395">
                        <c:v>9.83210505704516</c:v>
                      </c:pt>
                      <c:pt idx="396">
                        <c:v>9.3348219927475871</c:v>
                      </c:pt>
                      <c:pt idx="397">
                        <c:v>8.9576880319867342</c:v>
                      </c:pt>
                      <c:pt idx="398">
                        <c:v>8.5324656121609763</c:v>
                      </c:pt>
                      <c:pt idx="399">
                        <c:v>8.1442166689191886</c:v>
                      </c:pt>
                      <c:pt idx="400">
                        <c:v>7.7103918335185426</c:v>
                      </c:pt>
                    </c:numCache>
                  </c:numRef>
                </c:yVal>
                <c:smooth val="1"/>
                <c:extLst xmlns:c15="http://schemas.microsoft.com/office/drawing/2012/chart">
                  <c:ext xmlns:c16="http://schemas.microsoft.com/office/drawing/2014/chart" uri="{C3380CC4-5D6E-409C-BE32-E72D297353CC}">
                    <c16:uniqueId val="{0000000A-6E90-4472-9EC1-0343BAA5C61F}"/>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'Typical AS7341 filters'!$M$4</c15:sqref>
                        </c15:formulaRef>
                      </c:ext>
                    </c:extLst>
                    <c:strCache>
                      <c:ptCount val="1"/>
                      <c:pt idx="0">
                        <c:v>FD - 16x</c:v>
                      </c:pt>
                    </c:strCache>
                  </c:strRef>
                </c:tx>
                <c:spPr>
                  <a:ln w="19050" cap="rnd">
                    <a:solidFill>
                      <a:schemeClr val="accent6">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'Typical AS7341 filters'!$A$5:$A$405</c15:sqref>
                        </c15:formulaRef>
                      </c:ext>
                    </c:extLst>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extLst xmlns:c15="http://schemas.microsoft.com/office/drawing/2012/chart">
                      <c:ext xmlns:c15="http://schemas.microsoft.com/office/drawing/2012/chart" uri="{02D57815-91ED-43cb-92C2-25804820EDAC}">
                        <c15:formulaRef>
                          <c15:sqref>'Typical AS7341 filters'!$M$5:$M$405</c15:sqref>
                        </c15:formulaRef>
                      </c:ext>
                    </c:extLst>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4.967926862046979</c:v>
                      </c:pt>
                      <c:pt idx="55">
                        <c:v>7.3205767743783099</c:v>
                      </c:pt>
                      <c:pt idx="56">
                        <c:v>9.591919052285327</c:v>
                      </c:pt>
                      <c:pt idx="57">
                        <c:v>14.110393314027631</c:v>
                      </c:pt>
                      <c:pt idx="58">
                        <c:v>18.439893253564843</c:v>
                      </c:pt>
                      <c:pt idx="59">
                        <c:v>20.291145812613166</c:v>
                      </c:pt>
                      <c:pt idx="60">
                        <c:v>24.246021924559791</c:v>
                      </c:pt>
                      <c:pt idx="61">
                        <c:v>30.138255820352043</c:v>
                      </c:pt>
                      <c:pt idx="62">
                        <c:v>33.62799184837948</c:v>
                      </c:pt>
                      <c:pt idx="63">
                        <c:v>39.064321292547859</c:v>
                      </c:pt>
                      <c:pt idx="64">
                        <c:v>44.331512129326782</c:v>
                      </c:pt>
                      <c:pt idx="65">
                        <c:v>49.532214345345324</c:v>
                      </c:pt>
                      <c:pt idx="66">
                        <c:v>52.671583834486185</c:v>
                      </c:pt>
                      <c:pt idx="67">
                        <c:v>57.676581734520717</c:v>
                      </c:pt>
                      <c:pt idx="68">
                        <c:v>64.567821323495195</c:v>
                      </c:pt>
                      <c:pt idx="69">
                        <c:v>69.397306522417296</c:v>
                      </c:pt>
                      <c:pt idx="70">
                        <c:v>76.039747489754149</c:v>
                      </c:pt>
                      <c:pt idx="71">
                        <c:v>82.419948518960354</c:v>
                      </c:pt>
                      <c:pt idx="72">
                        <c:v>86.854606331205275</c:v>
                      </c:pt>
                      <c:pt idx="73">
                        <c:v>92.797114218551727</c:v>
                      </c:pt>
                      <c:pt idx="74">
                        <c:v>100.40526083190035</c:v>
                      </c:pt>
                      <c:pt idx="75">
                        <c:v>106.090287129648</c:v>
                      </c:pt>
                      <c:pt idx="76">
                        <c:v>113.38165207644455</c:v>
                      </c:pt>
                      <c:pt idx="77">
                        <c:v>120.60653689452478</c:v>
                      </c:pt>
                      <c:pt idx="78">
                        <c:v>125.95779870701978</c:v>
                      </c:pt>
                      <c:pt idx="79">
                        <c:v>132.98609793701416</c:v>
                      </c:pt>
                      <c:pt idx="80">
                        <c:v>140.00133538531952</c:v>
                      </c:pt>
                      <c:pt idx="81">
                        <c:v>146.96776206836122</c:v>
                      </c:pt>
                      <c:pt idx="82">
                        <c:v>153.82556776442135</c:v>
                      </c:pt>
                      <c:pt idx="83">
                        <c:v>162.31377324413182</c:v>
                      </c:pt>
                      <c:pt idx="84">
                        <c:v>169.15129002526891</c:v>
                      </c:pt>
                      <c:pt idx="85">
                        <c:v>174.3414697010607</c:v>
                      </c:pt>
                      <c:pt idx="86">
                        <c:v>181.22901789317254</c:v>
                      </c:pt>
                      <c:pt idx="87">
                        <c:v>189.44497716257692</c:v>
                      </c:pt>
                      <c:pt idx="88">
                        <c:v>196.14660779888439</c:v>
                      </c:pt>
                      <c:pt idx="89">
                        <c:v>202.91096402090017</c:v>
                      </c:pt>
                      <c:pt idx="90">
                        <c:v>209.64424105636544</c:v>
                      </c:pt>
                      <c:pt idx="91">
                        <c:v>217.99384572936182</c:v>
                      </c:pt>
                      <c:pt idx="92">
                        <c:v>224.68705064832483</c:v>
                      </c:pt>
                      <c:pt idx="93">
                        <c:v>231.54119936154808</c:v>
                      </c:pt>
                      <c:pt idx="94">
                        <c:v>239.72899906169536</c:v>
                      </c:pt>
                      <c:pt idx="95">
                        <c:v>246.48165387661913</c:v>
                      </c:pt>
                      <c:pt idx="96">
                        <c:v>253.22259531376378</c:v>
                      </c:pt>
                      <c:pt idx="97">
                        <c:v>261.59505268874028</c:v>
                      </c:pt>
                      <c:pt idx="98">
                        <c:v>268.29676381344723</c:v>
                      </c:pt>
                      <c:pt idx="99">
                        <c:v>276.63050351039874</c:v>
                      </c:pt>
                      <c:pt idx="100">
                        <c:v>283.52558685314574</c:v>
                      </c:pt>
                      <c:pt idx="101">
                        <c:v>290.43797778169869</c:v>
                      </c:pt>
                      <c:pt idx="102">
                        <c:v>297.45572668723065</c:v>
                      </c:pt>
                      <c:pt idx="103">
                        <c:v>302.88520826451338</c:v>
                      </c:pt>
                      <c:pt idx="104">
                        <c:v>309.45214736104589</c:v>
                      </c:pt>
                      <c:pt idx="105">
                        <c:v>315.85322123041772</c:v>
                      </c:pt>
                      <c:pt idx="106">
                        <c:v>323.03337380013409</c:v>
                      </c:pt>
                      <c:pt idx="107">
                        <c:v>329.49437466634834</c:v>
                      </c:pt>
                      <c:pt idx="108">
                        <c:v>336.38159056999632</c:v>
                      </c:pt>
                      <c:pt idx="109">
                        <c:v>343.4553005364096</c:v>
                      </c:pt>
                      <c:pt idx="110">
                        <c:v>349.52634621508116</c:v>
                      </c:pt>
                      <c:pt idx="111">
                        <c:v>355.37882710547586</c:v>
                      </c:pt>
                      <c:pt idx="112">
                        <c:v>361.65448716606858</c:v>
                      </c:pt>
                      <c:pt idx="113">
                        <c:v>372.66007154859136</c:v>
                      </c:pt>
                      <c:pt idx="114">
                        <c:v>380.16996954254842</c:v>
                      </c:pt>
                      <c:pt idx="115">
                        <c:v>387.83038279415024</c:v>
                      </c:pt>
                      <c:pt idx="116">
                        <c:v>393.86763517994183</c:v>
                      </c:pt>
                      <c:pt idx="117">
                        <c:v>399.98707542566973</c:v>
                      </c:pt>
                      <c:pt idx="118">
                        <c:v>407.97370832271167</c:v>
                      </c:pt>
                      <c:pt idx="119">
                        <c:v>413.32175175182152</c:v>
                      </c:pt>
                      <c:pt idx="120">
                        <c:v>421.43688413212874</c:v>
                      </c:pt>
                      <c:pt idx="121">
                        <c:v>427.40632740824776</c:v>
                      </c:pt>
                      <c:pt idx="122">
                        <c:v>434.70156167843948</c:v>
                      </c:pt>
                      <c:pt idx="123">
                        <c:v>441.47562597289078</c:v>
                      </c:pt>
                      <c:pt idx="124">
                        <c:v>446.42581411783232</c:v>
                      </c:pt>
                      <c:pt idx="125">
                        <c:v>454.39517177508617</c:v>
                      </c:pt>
                      <c:pt idx="126">
                        <c:v>460.50478589086521</c:v>
                      </c:pt>
                      <c:pt idx="127">
                        <c:v>467.21529278996496</c:v>
                      </c:pt>
                      <c:pt idx="128">
                        <c:v>473.82125920244795</c:v>
                      </c:pt>
                      <c:pt idx="129">
                        <c:v>480.21486503891117</c:v>
                      </c:pt>
                      <c:pt idx="130">
                        <c:v>486.30390845660918</c:v>
                      </c:pt>
                      <c:pt idx="131">
                        <c:v>492.88581033691878</c:v>
                      </c:pt>
                      <c:pt idx="132">
                        <c:v>499.27225703543758</c:v>
                      </c:pt>
                      <c:pt idx="133">
                        <c:v>505.9146455518902</c:v>
                      </c:pt>
                      <c:pt idx="134">
                        <c:v>512.30197599809401</c:v>
                      </c:pt>
                      <c:pt idx="135">
                        <c:v>519.04442484909634</c:v>
                      </c:pt>
                      <c:pt idx="136">
                        <c:v>525.1385637353294</c:v>
                      </c:pt>
                      <c:pt idx="137">
                        <c:v>530.59483401566138</c:v>
                      </c:pt>
                      <c:pt idx="138">
                        <c:v>537.54296137987365</c:v>
                      </c:pt>
                      <c:pt idx="139">
                        <c:v>542.84290959485531</c:v>
                      </c:pt>
                      <c:pt idx="140">
                        <c:v>549.29943865540542</c:v>
                      </c:pt>
                      <c:pt idx="141">
                        <c:v>555.04027642868721</c:v>
                      </c:pt>
                      <c:pt idx="142">
                        <c:v>560.50389546488123</c:v>
                      </c:pt>
                      <c:pt idx="143">
                        <c:v>565.44523151266765</c:v>
                      </c:pt>
                      <c:pt idx="144">
                        <c:v>570.34631991883953</c:v>
                      </c:pt>
                      <c:pt idx="145">
                        <c:v>575.50584511629302</c:v>
                      </c:pt>
                      <c:pt idx="146">
                        <c:v>581.38435984996602</c:v>
                      </c:pt>
                      <c:pt idx="147">
                        <c:v>587.810884287156</c:v>
                      </c:pt>
                      <c:pt idx="148">
                        <c:v>593.50840781791965</c:v>
                      </c:pt>
                      <c:pt idx="149">
                        <c:v>599.20142719151602</c:v>
                      </c:pt>
                      <c:pt idx="150">
                        <c:v>604.81652603533814</c:v>
                      </c:pt>
                      <c:pt idx="151">
                        <c:v>609.75952297638969</c:v>
                      </c:pt>
                      <c:pt idx="152">
                        <c:v>615.41049777572243</c:v>
                      </c:pt>
                      <c:pt idx="153">
                        <c:v>620.56669458336785</c:v>
                      </c:pt>
                      <c:pt idx="154">
                        <c:v>626.04701515104045</c:v>
                      </c:pt>
                      <c:pt idx="155">
                        <c:v>631.54336895136851</c:v>
                      </c:pt>
                      <c:pt idx="156">
                        <c:v>636.5555669214624</c:v>
                      </c:pt>
                      <c:pt idx="157">
                        <c:v>641.8314307334482</c:v>
                      </c:pt>
                      <c:pt idx="158">
                        <c:v>646.88875315969847</c:v>
                      </c:pt>
                      <c:pt idx="159">
                        <c:v>651.55977538542379</c:v>
                      </c:pt>
                      <c:pt idx="160">
                        <c:v>656.85660505246699</c:v>
                      </c:pt>
                      <c:pt idx="161">
                        <c:v>662.19973580076089</c:v>
                      </c:pt>
                      <c:pt idx="162">
                        <c:v>667.91310788966814</c:v>
                      </c:pt>
                      <c:pt idx="163">
                        <c:v>673.66873051004154</c:v>
                      </c:pt>
                      <c:pt idx="164">
                        <c:v>679.04211035214291</c:v>
                      </c:pt>
                      <c:pt idx="165">
                        <c:v>683.74342727709222</c:v>
                      </c:pt>
                      <c:pt idx="166">
                        <c:v>687.17223789427635</c:v>
                      </c:pt>
                      <c:pt idx="167">
                        <c:v>692.08973949099448</c:v>
                      </c:pt>
                      <c:pt idx="168">
                        <c:v>696.37644591706487</c:v>
                      </c:pt>
                      <c:pt idx="169">
                        <c:v>700.90136326324296</c:v>
                      </c:pt>
                      <c:pt idx="170">
                        <c:v>705.8345196218969</c:v>
                      </c:pt>
                      <c:pt idx="171">
                        <c:v>711.04224407287234</c:v>
                      </c:pt>
                      <c:pt idx="172">
                        <c:v>716.13008827196188</c:v>
                      </c:pt>
                      <c:pt idx="173">
                        <c:v>721.34312915266196</c:v>
                      </c:pt>
                      <c:pt idx="174">
                        <c:v>725.88881082179648</c:v>
                      </c:pt>
                      <c:pt idx="175">
                        <c:v>730.50889318567386</c:v>
                      </c:pt>
                      <c:pt idx="176">
                        <c:v>734.40772322405417</c:v>
                      </c:pt>
                      <c:pt idx="177">
                        <c:v>738.19951718197103</c:v>
                      </c:pt>
                      <c:pt idx="178">
                        <c:v>742.47330970832684</c:v>
                      </c:pt>
                      <c:pt idx="179">
                        <c:v>746.78565850406301</c:v>
                      </c:pt>
                      <c:pt idx="180">
                        <c:v>751.43020371780426</c:v>
                      </c:pt>
                      <c:pt idx="181">
                        <c:v>755.71924272460137</c:v>
                      </c:pt>
                      <c:pt idx="182">
                        <c:v>760.24046571483711</c:v>
                      </c:pt>
                      <c:pt idx="183">
                        <c:v>764.71532761515596</c:v>
                      </c:pt>
                      <c:pt idx="184">
                        <c:v>768.85759190328508</c:v>
                      </c:pt>
                      <c:pt idx="185">
                        <c:v>772.92169705205492</c:v>
                      </c:pt>
                      <c:pt idx="186">
                        <c:v>776.87729632866444</c:v>
                      </c:pt>
                      <c:pt idx="187">
                        <c:v>780.9222587428834</c:v>
                      </c:pt>
                      <c:pt idx="188">
                        <c:v>785.27199927806316</c:v>
                      </c:pt>
                      <c:pt idx="189">
                        <c:v>789.98536044012917</c:v>
                      </c:pt>
                      <c:pt idx="190">
                        <c:v>794.6365709003976</c:v>
                      </c:pt>
                      <c:pt idx="191">
                        <c:v>799.31162849266457</c:v>
                      </c:pt>
                      <c:pt idx="192">
                        <c:v>804.06419386900166</c:v>
                      </c:pt>
                      <c:pt idx="193">
                        <c:v>808.17904198056942</c:v>
                      </c:pt>
                      <c:pt idx="194">
                        <c:v>812.26313015330936</c:v>
                      </c:pt>
                      <c:pt idx="195">
                        <c:v>815.47797513847991</c:v>
                      </c:pt>
                      <c:pt idx="196">
                        <c:v>819.14273174160053</c:v>
                      </c:pt>
                      <c:pt idx="197">
                        <c:v>823.05514596584362</c:v>
                      </c:pt>
                      <c:pt idx="198">
                        <c:v>826.47983368371627</c:v>
                      </c:pt>
                      <c:pt idx="199">
                        <c:v>829.99978446645548</c:v>
                      </c:pt>
                      <c:pt idx="200">
                        <c:v>833.50784921050172</c:v>
                      </c:pt>
                      <c:pt idx="201">
                        <c:v>837.0372677172644</c:v>
                      </c:pt>
                      <c:pt idx="202">
                        <c:v>840.69378270410027</c:v>
                      </c:pt>
                      <c:pt idx="203">
                        <c:v>844.09420960804528</c:v>
                      </c:pt>
                      <c:pt idx="204">
                        <c:v>847.19090125947469</c:v>
                      </c:pt>
                      <c:pt idx="205">
                        <c:v>850.46374185797072</c:v>
                      </c:pt>
                      <c:pt idx="206">
                        <c:v>853.52080983303665</c:v>
                      </c:pt>
                      <c:pt idx="207">
                        <c:v>856.49881992082396</c:v>
                      </c:pt>
                      <c:pt idx="208">
                        <c:v>860.03012819209971</c:v>
                      </c:pt>
                      <c:pt idx="209">
                        <c:v>863.46679571724292</c:v>
                      </c:pt>
                      <c:pt idx="210">
                        <c:v>867.27818913116323</c:v>
                      </c:pt>
                      <c:pt idx="211">
                        <c:v>870.74900774896639</c:v>
                      </c:pt>
                      <c:pt idx="212">
                        <c:v>874.10986591685889</c:v>
                      </c:pt>
                      <c:pt idx="213">
                        <c:v>877.15487609265585</c:v>
                      </c:pt>
                      <c:pt idx="214">
                        <c:v>879.99612232602522</c:v>
                      </c:pt>
                      <c:pt idx="215">
                        <c:v>882.29824943829624</c:v>
                      </c:pt>
                      <c:pt idx="216">
                        <c:v>884.04855637371475</c:v>
                      </c:pt>
                      <c:pt idx="217">
                        <c:v>885.54296308179892</c:v>
                      </c:pt>
                      <c:pt idx="218">
                        <c:v>886.82121583742423</c:v>
                      </c:pt>
                      <c:pt idx="219">
                        <c:v>888.3097180082583</c:v>
                      </c:pt>
                      <c:pt idx="220">
                        <c:v>890.03286108759596</c:v>
                      </c:pt>
                      <c:pt idx="221">
                        <c:v>891.9819229848008</c:v>
                      </c:pt>
                      <c:pt idx="222">
                        <c:v>894.31596364207724</c:v>
                      </c:pt>
                      <c:pt idx="223">
                        <c:v>896.63773360962307</c:v>
                      </c:pt>
                      <c:pt idx="224">
                        <c:v>898.76101658448692</c:v>
                      </c:pt>
                      <c:pt idx="225">
                        <c:v>900.62746867943133</c:v>
                      </c:pt>
                      <c:pt idx="226">
                        <c:v>901.97473785130296</c:v>
                      </c:pt>
                      <c:pt idx="227">
                        <c:v>902.89842679872663</c:v>
                      </c:pt>
                      <c:pt idx="228">
                        <c:v>903.62316032212584</c:v>
                      </c:pt>
                      <c:pt idx="229">
                        <c:v>904.01088028552579</c:v>
                      </c:pt>
                      <c:pt idx="230">
                        <c:v>904.42725532377858</c:v>
                      </c:pt>
                      <c:pt idx="231">
                        <c:v>904.65895478898074</c:v>
                      </c:pt>
                      <c:pt idx="232">
                        <c:v>905.48854770038974</c:v>
                      </c:pt>
                      <c:pt idx="233">
                        <c:v>905.97757233187588</c:v>
                      </c:pt>
                      <c:pt idx="234">
                        <c:v>907.00991992088029</c:v>
                      </c:pt>
                      <c:pt idx="235">
                        <c:v>907.92951219951158</c:v>
                      </c:pt>
                      <c:pt idx="236">
                        <c:v>908.62379289284945</c:v>
                      </c:pt>
                      <c:pt idx="237">
                        <c:v>909.48643891555128</c:v>
                      </c:pt>
                      <c:pt idx="238">
                        <c:v>909.6756859408772</c:v>
                      </c:pt>
                      <c:pt idx="239">
                        <c:v>909.80621295344133</c:v>
                      </c:pt>
                      <c:pt idx="240">
                        <c:v>909.73826166114736</c:v>
                      </c:pt>
                      <c:pt idx="241">
                        <c:v>909.0676928817976</c:v>
                      </c:pt>
                      <c:pt idx="242">
                        <c:v>908.4856234440648</c:v>
                      </c:pt>
                      <c:pt idx="243">
                        <c:v>907.33970665295101</c:v>
                      </c:pt>
                      <c:pt idx="244">
                        <c:v>906.10961002434794</c:v>
                      </c:pt>
                      <c:pt idx="245">
                        <c:v>905.10896383236934</c:v>
                      </c:pt>
                      <c:pt idx="246">
                        <c:v>904.05614803507183</c:v>
                      </c:pt>
                      <c:pt idx="247">
                        <c:v>903.38258605910642</c:v>
                      </c:pt>
                      <c:pt idx="248">
                        <c:v>902.43144704760402</c:v>
                      </c:pt>
                      <c:pt idx="249">
                        <c:v>901.42340487294621</c:v>
                      </c:pt>
                      <c:pt idx="250">
                        <c:v>900.70238147623672</c:v>
                      </c:pt>
                      <c:pt idx="251">
                        <c:v>899.32962240191466</c:v>
                      </c:pt>
                      <c:pt idx="252">
                        <c:v>897.59303124748476</c:v>
                      </c:pt>
                      <c:pt idx="253">
                        <c:v>895.73556824180002</c:v>
                      </c:pt>
                      <c:pt idx="254">
                        <c:v>893.17108506934494</c:v>
                      </c:pt>
                      <c:pt idx="255">
                        <c:v>889.96406515251238</c:v>
                      </c:pt>
                      <c:pt idx="256">
                        <c:v>886.85152466880572</c:v>
                      </c:pt>
                      <c:pt idx="257">
                        <c:v>883.08748666418546</c:v>
                      </c:pt>
                      <c:pt idx="258">
                        <c:v>878.88823002591323</c:v>
                      </c:pt>
                      <c:pt idx="259">
                        <c:v>875.02991376193165</c:v>
                      </c:pt>
                      <c:pt idx="260">
                        <c:v>871.01596707424301</c:v>
                      </c:pt>
                      <c:pt idx="261">
                        <c:v>867.36396858238788</c:v>
                      </c:pt>
                      <c:pt idx="262">
                        <c:v>863.6449110710696</c:v>
                      </c:pt>
                      <c:pt idx="263">
                        <c:v>859.92927657086932</c:v>
                      </c:pt>
                      <c:pt idx="264">
                        <c:v>856.3123122495499</c:v>
                      </c:pt>
                      <c:pt idx="265">
                        <c:v>852.28242370760847</c:v>
                      </c:pt>
                      <c:pt idx="266">
                        <c:v>848.19807018486188</c:v>
                      </c:pt>
                      <c:pt idx="267">
                        <c:v>843.62916951691079</c:v>
                      </c:pt>
                      <c:pt idx="268">
                        <c:v>839.05816972188438</c:v>
                      </c:pt>
                      <c:pt idx="269">
                        <c:v>834.06852535373878</c:v>
                      </c:pt>
                      <c:pt idx="270">
                        <c:v>828.62689148391803</c:v>
                      </c:pt>
                      <c:pt idx="271">
                        <c:v>823.1688596114526</c:v>
                      </c:pt>
                      <c:pt idx="272">
                        <c:v>817.30847654886622</c:v>
                      </c:pt>
                      <c:pt idx="273">
                        <c:v>811.95471447690488</c:v>
                      </c:pt>
                      <c:pt idx="274">
                        <c:v>806.36417601421101</c:v>
                      </c:pt>
                      <c:pt idx="275">
                        <c:v>800.78129686355567</c:v>
                      </c:pt>
                      <c:pt idx="276">
                        <c:v>795.25700732695725</c:v>
                      </c:pt>
                      <c:pt idx="277">
                        <c:v>789.77364749840967</c:v>
                      </c:pt>
                      <c:pt idx="278">
                        <c:v>783.90844382152454</c:v>
                      </c:pt>
                      <c:pt idx="279">
                        <c:v>778.26423510332529</c:v>
                      </c:pt>
                      <c:pt idx="280">
                        <c:v>771.78904214995271</c:v>
                      </c:pt>
                      <c:pt idx="281">
                        <c:v>765.26355662668732</c:v>
                      </c:pt>
                      <c:pt idx="282">
                        <c:v>758.59380700605846</c:v>
                      </c:pt>
                      <c:pt idx="283">
                        <c:v>751.73981069025933</c:v>
                      </c:pt>
                      <c:pt idx="284">
                        <c:v>745.11645375011517</c:v>
                      </c:pt>
                      <c:pt idx="285">
                        <c:v>737.83628226325311</c:v>
                      </c:pt>
                      <c:pt idx="286">
                        <c:v>730.21855410026433</c:v>
                      </c:pt>
                      <c:pt idx="287">
                        <c:v>722.76596055623429</c:v>
                      </c:pt>
                      <c:pt idx="288">
                        <c:v>714.93204770548596</c:v>
                      </c:pt>
                      <c:pt idx="289">
                        <c:v>707.13817412924425</c:v>
                      </c:pt>
                      <c:pt idx="290">
                        <c:v>700.02240530652102</c:v>
                      </c:pt>
                      <c:pt idx="291">
                        <c:v>692.36757599971929</c:v>
                      </c:pt>
                      <c:pt idx="292">
                        <c:v>684.98357300616544</c:v>
                      </c:pt>
                      <c:pt idx="293">
                        <c:v>677.4332345955188</c:v>
                      </c:pt>
                      <c:pt idx="294">
                        <c:v>669.83522758474055</c:v>
                      </c:pt>
                      <c:pt idx="295">
                        <c:v>662.00487978268086</c:v>
                      </c:pt>
                      <c:pt idx="296">
                        <c:v>654.39315946702834</c:v>
                      </c:pt>
                      <c:pt idx="297">
                        <c:v>646.40540499313784</c:v>
                      </c:pt>
                      <c:pt idx="298">
                        <c:v>638.79102319334447</c:v>
                      </c:pt>
                      <c:pt idx="299">
                        <c:v>630.00770861925116</c:v>
                      </c:pt>
                      <c:pt idx="300">
                        <c:v>621.83063828650677</c:v>
                      </c:pt>
                      <c:pt idx="301">
                        <c:v>613.29100375989083</c:v>
                      </c:pt>
                      <c:pt idx="302">
                        <c:v>604.81745957125042</c:v>
                      </c:pt>
                      <c:pt idx="303">
                        <c:v>595.88140557636336</c:v>
                      </c:pt>
                      <c:pt idx="304">
                        <c:v>587.59061061443185</c:v>
                      </c:pt>
                      <c:pt idx="305">
                        <c:v>578.84853010043764</c:v>
                      </c:pt>
                      <c:pt idx="306">
                        <c:v>570.26016192617442</c:v>
                      </c:pt>
                      <c:pt idx="307">
                        <c:v>561.47173502950432</c:v>
                      </c:pt>
                      <c:pt idx="308">
                        <c:v>553.3944328810353</c:v>
                      </c:pt>
                      <c:pt idx="309">
                        <c:v>544.96755501315192</c:v>
                      </c:pt>
                      <c:pt idx="310">
                        <c:v>536.37198038835527</c:v>
                      </c:pt>
                      <c:pt idx="311">
                        <c:v>527.75646854666275</c:v>
                      </c:pt>
                      <c:pt idx="312">
                        <c:v>519.16638592272932</c:v>
                      </c:pt>
                      <c:pt idx="313">
                        <c:v>510.62730082002213</c:v>
                      </c:pt>
                      <c:pt idx="314">
                        <c:v>501.8997184083741</c:v>
                      </c:pt>
                      <c:pt idx="315">
                        <c:v>493.40154546286635</c:v>
                      </c:pt>
                      <c:pt idx="316">
                        <c:v>484.30218829809633</c:v>
                      </c:pt>
                      <c:pt idx="317">
                        <c:v>475.6223777349482</c:v>
                      </c:pt>
                      <c:pt idx="318">
                        <c:v>466.80643986760919</c:v>
                      </c:pt>
                      <c:pt idx="319">
                        <c:v>457.91566274717866</c:v>
                      </c:pt>
                      <c:pt idx="320">
                        <c:v>448.99111050824519</c:v>
                      </c:pt>
                      <c:pt idx="321">
                        <c:v>439.74608586531576</c:v>
                      </c:pt>
                      <c:pt idx="322">
                        <c:v>430.81976998676816</c:v>
                      </c:pt>
                      <c:pt idx="323">
                        <c:v>421.70290179049942</c:v>
                      </c:pt>
                      <c:pt idx="324">
                        <c:v>412.7176107313245</c:v>
                      </c:pt>
                      <c:pt idx="325">
                        <c:v>404.04162174497355</c:v>
                      </c:pt>
                      <c:pt idx="326">
                        <c:v>395.49106885425766</c:v>
                      </c:pt>
                      <c:pt idx="327">
                        <c:v>387.30409896386379</c:v>
                      </c:pt>
                      <c:pt idx="328">
                        <c:v>378.93965827364991</c:v>
                      </c:pt>
                      <c:pt idx="329">
                        <c:v>370.32142874746131</c:v>
                      </c:pt>
                      <c:pt idx="330">
                        <c:v>362.07011665144745</c:v>
                      </c:pt>
                      <c:pt idx="331">
                        <c:v>353.97299117611703</c:v>
                      </c:pt>
                      <c:pt idx="332">
                        <c:v>345.73191838349697</c:v>
                      </c:pt>
                      <c:pt idx="333">
                        <c:v>337.80091684336361</c:v>
                      </c:pt>
                      <c:pt idx="334">
                        <c:v>329.84637884896034</c:v>
                      </c:pt>
                      <c:pt idx="335">
                        <c:v>321.77793645836471</c:v>
                      </c:pt>
                      <c:pt idx="336">
                        <c:v>313.79932773151711</c:v>
                      </c:pt>
                      <c:pt idx="337">
                        <c:v>306.03916228069767</c:v>
                      </c:pt>
                      <c:pt idx="338">
                        <c:v>298.00625584602818</c:v>
                      </c:pt>
                      <c:pt idx="339">
                        <c:v>290.44368726058519</c:v>
                      </c:pt>
                      <c:pt idx="340">
                        <c:v>282.31844600466115</c:v>
                      </c:pt>
                      <c:pt idx="341">
                        <c:v>274.43306601262373</c:v>
                      </c:pt>
                      <c:pt idx="342">
                        <c:v>266.60802176958805</c:v>
                      </c:pt>
                      <c:pt idx="343">
                        <c:v>258.91056780729895</c:v>
                      </c:pt>
                      <c:pt idx="344">
                        <c:v>251.39589740265188</c:v>
                      </c:pt>
                      <c:pt idx="345">
                        <c:v>243.83288292486304</c:v>
                      </c:pt>
                      <c:pt idx="346">
                        <c:v>236.67793621916312</c:v>
                      </c:pt>
                      <c:pt idx="347">
                        <c:v>229.33979372286367</c:v>
                      </c:pt>
                      <c:pt idx="348">
                        <c:v>222.05248145177777</c:v>
                      </c:pt>
                      <c:pt idx="349">
                        <c:v>215.24275231243794</c:v>
                      </c:pt>
                      <c:pt idx="350">
                        <c:v>208.28346229707344</c:v>
                      </c:pt>
                      <c:pt idx="351">
                        <c:v>201.89235585214348</c:v>
                      </c:pt>
                      <c:pt idx="352">
                        <c:v>195.19291590795552</c:v>
                      </c:pt>
                      <c:pt idx="353">
                        <c:v>188.87280206097626</c:v>
                      </c:pt>
                      <c:pt idx="354">
                        <c:v>181.95493300194022</c:v>
                      </c:pt>
                      <c:pt idx="355">
                        <c:v>175.6467749656058</c:v>
                      </c:pt>
                      <c:pt idx="356">
                        <c:v>169.26463663629326</c:v>
                      </c:pt>
                      <c:pt idx="357">
                        <c:v>163.0542799889015</c:v>
                      </c:pt>
                      <c:pt idx="358">
                        <c:v>157.04627353260045</c:v>
                      </c:pt>
                      <c:pt idx="359">
                        <c:v>150.87369046417533</c:v>
                      </c:pt>
                      <c:pt idx="360">
                        <c:v>144.72533925937472</c:v>
                      </c:pt>
                      <c:pt idx="361">
                        <c:v>138.74507478260202</c:v>
                      </c:pt>
                      <c:pt idx="362">
                        <c:v>132.87932923714308</c:v>
                      </c:pt>
                      <c:pt idx="363">
                        <c:v>127.00167020915127</c:v>
                      </c:pt>
                      <c:pt idx="364">
                        <c:v>121.11395110388173</c:v>
                      </c:pt>
                      <c:pt idx="365">
                        <c:v>115.58982514508199</c:v>
                      </c:pt>
                      <c:pt idx="366">
                        <c:v>109.90187511766308</c:v>
                      </c:pt>
                      <c:pt idx="367">
                        <c:v>104.45532248179204</c:v>
                      </c:pt>
                      <c:pt idx="368">
                        <c:v>99.061169822343885</c:v>
                      </c:pt>
                      <c:pt idx="369">
                        <c:v>93.981323574262404</c:v>
                      </c:pt>
                      <c:pt idx="370">
                        <c:v>88.895969856854734</c:v>
                      </c:pt>
                      <c:pt idx="371">
                        <c:v>84.124738878919302</c:v>
                      </c:pt>
                      <c:pt idx="372">
                        <c:v>79.692461801375288</c:v>
                      </c:pt>
                      <c:pt idx="373">
                        <c:v>75.35517639745197</c:v>
                      </c:pt>
                      <c:pt idx="374">
                        <c:v>71.119718133388261</c:v>
                      </c:pt>
                      <c:pt idx="375">
                        <c:v>67.121524480677834</c:v>
                      </c:pt>
                      <c:pt idx="376">
                        <c:v>63.129229222769567</c:v>
                      </c:pt>
                      <c:pt idx="377">
                        <c:v>59.401856577205791</c:v>
                      </c:pt>
                      <c:pt idx="378">
                        <c:v>55.706120732146282</c:v>
                      </c:pt>
                      <c:pt idx="379">
                        <c:v>52.34659637391804</c:v>
                      </c:pt>
                      <c:pt idx="380">
                        <c:v>49.181608649404403</c:v>
                      </c:pt>
                      <c:pt idx="381">
                        <c:v>46.320103015929782</c:v>
                      </c:pt>
                      <c:pt idx="382">
                        <c:v>43.71128847335364</c:v>
                      </c:pt>
                      <c:pt idx="383">
                        <c:v>41.31671645749806</c:v>
                      </c:pt>
                      <c:pt idx="384">
                        <c:v>39.131033886433002</c:v>
                      </c:pt>
                      <c:pt idx="385">
                        <c:v>37.11427333227315</c:v>
                      </c:pt>
                      <c:pt idx="386">
                        <c:v>35.158682294621492</c:v>
                      </c:pt>
                      <c:pt idx="387">
                        <c:v>33.272123661474652</c:v>
                      </c:pt>
                      <c:pt idx="388">
                        <c:v>31.778886152899187</c:v>
                      </c:pt>
                      <c:pt idx="389">
                        <c:v>30.288938415142372</c:v>
                      </c:pt>
                      <c:pt idx="390">
                        <c:v>28.796667448726378</c:v>
                      </c:pt>
                      <c:pt idx="391">
                        <c:v>27.420532221871554</c:v>
                      </c:pt>
                      <c:pt idx="392">
                        <c:v>26.063687059420989</c:v>
                      </c:pt>
                      <c:pt idx="393">
                        <c:v>24.6795498994844</c:v>
                      </c:pt>
                      <c:pt idx="394">
                        <c:v>23.563530157482941</c:v>
                      </c:pt>
                      <c:pt idx="395">
                        <c:v>22.395350407713973</c:v>
                      </c:pt>
                      <c:pt idx="396">
                        <c:v>21.258864684213485</c:v>
                      </c:pt>
                      <c:pt idx="397">
                        <c:v>20.171892896458676</c:v>
                      </c:pt>
                      <c:pt idx="398">
                        <c:v>19.112722971240586</c:v>
                      </c:pt>
                      <c:pt idx="399">
                        <c:v>18.136280817341053</c:v>
                      </c:pt>
                      <c:pt idx="400">
                        <c:v>17.126622568258</c:v>
                      </c:pt>
                    </c:numCache>
                  </c:numRef>
                </c:yVal>
                <c:smooth val="1"/>
                <c:extLst xmlns:c15="http://schemas.microsoft.com/office/drawing/2012/chart">
                  <c:ext xmlns:c16="http://schemas.microsoft.com/office/drawing/2014/chart" uri="{C3380CC4-5D6E-409C-BE32-E72D297353CC}">
                    <c16:uniqueId val="{0000000B-6E90-4472-9EC1-0343BAA5C61F}"/>
                  </c:ext>
                </c:extLst>
              </c15:ser>
            </c15:filteredScatterSeries>
          </c:ext>
        </c:extLst>
      </c:scatterChart>
      <c:valAx>
        <c:axId val="747697391"/>
        <c:scaling>
          <c:orientation val="minMax"/>
          <c:max val="1000"/>
          <c:min val="3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7701551"/>
        <c:crosses val="autoZero"/>
        <c:crossBetween val="midCat"/>
      </c:valAx>
      <c:valAx>
        <c:axId val="74770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76973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cap="none" spc="20" baseline="0">
                <a:solidFill>
                  <a:sysClr val="windowText" lastClr="000000">
                    <a:lumMod val="50000"/>
                    <a:lumOff val="50000"/>
                  </a:sysClr>
                </a:solidFill>
                <a:latin typeface="+mn-lt"/>
                <a:ea typeface="+mn-ea"/>
                <a:cs typeface="+mn-cs"/>
              </a:defRPr>
            </a:pPr>
            <a:r>
              <a:rPr lang="en-US" baseline="0"/>
              <a:t>Reconstructed Spectrum</a:t>
            </a:r>
            <a:endParaRPr lang="en-US"/>
          </a:p>
        </c:rich>
      </c:tx>
      <c:layout>
        <c:manualLayout>
          <c:xMode val="edge"/>
          <c:yMode val="edge"/>
          <c:x val="0.347387504474158"/>
          <c:y val="3.3866729884562449E-2"/>
        </c:manualLayout>
      </c:layout>
      <c:overlay val="0"/>
      <c:spPr>
        <a:noFill/>
        <a:ln>
          <a:noFill/>
        </a:ln>
        <a:effectLst/>
      </c:spPr>
    </c:title>
    <c:autoTitleDeleted val="0"/>
    <c:plotArea>
      <c:layout>
        <c:manualLayout>
          <c:layoutTarget val="inner"/>
          <c:xMode val="edge"/>
          <c:yMode val="edge"/>
          <c:x val="0.10092825896762905"/>
          <c:y val="0.12768610501406269"/>
          <c:w val="0.84596062992125987"/>
          <c:h val="0.63789319073395601"/>
        </c:manualLayout>
      </c:layout>
      <c:scatterChart>
        <c:scatterStyle val="lineMarker"/>
        <c:varyColors val="0"/>
        <c:ser>
          <c:idx val="0"/>
          <c:order val="0"/>
          <c:tx>
            <c:strRef>
              <c:f>'Demonstration Calculations'!$P$9</c:f>
              <c:strCache>
                <c:ptCount val="1"/>
                <c:pt idx="0">
                  <c:v>Reconstructed Sensor Spec Normalized</c:v>
                </c:pt>
              </c:strCache>
            </c:strRef>
          </c:tx>
          <c:spPr>
            <a:ln w="9525" cap="flat" cmpd="sng" algn="ctr">
              <a:solidFill>
                <a:schemeClr val="tx1"/>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xVal>
            <c:numRef>
              <c:f>'Demonstration Calculations'!$N$10:$N$630</c:f>
              <c:numCache>
                <c:formatCode>0</c:formatCode>
                <c:ptCount val="62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pt idx="401">
                  <c:v>781</c:v>
                </c:pt>
                <c:pt idx="402">
                  <c:v>782</c:v>
                </c:pt>
                <c:pt idx="403">
                  <c:v>783</c:v>
                </c:pt>
                <c:pt idx="404">
                  <c:v>784</c:v>
                </c:pt>
                <c:pt idx="405">
                  <c:v>785</c:v>
                </c:pt>
                <c:pt idx="406">
                  <c:v>786</c:v>
                </c:pt>
                <c:pt idx="407">
                  <c:v>787</c:v>
                </c:pt>
                <c:pt idx="408">
                  <c:v>788</c:v>
                </c:pt>
                <c:pt idx="409">
                  <c:v>789</c:v>
                </c:pt>
                <c:pt idx="410">
                  <c:v>790</c:v>
                </c:pt>
                <c:pt idx="411">
                  <c:v>791</c:v>
                </c:pt>
                <c:pt idx="412">
                  <c:v>792</c:v>
                </c:pt>
                <c:pt idx="413">
                  <c:v>793</c:v>
                </c:pt>
                <c:pt idx="414">
                  <c:v>794</c:v>
                </c:pt>
                <c:pt idx="415">
                  <c:v>795</c:v>
                </c:pt>
                <c:pt idx="416">
                  <c:v>796</c:v>
                </c:pt>
                <c:pt idx="417">
                  <c:v>797</c:v>
                </c:pt>
                <c:pt idx="418">
                  <c:v>798</c:v>
                </c:pt>
                <c:pt idx="419">
                  <c:v>799</c:v>
                </c:pt>
                <c:pt idx="420">
                  <c:v>800</c:v>
                </c:pt>
                <c:pt idx="421">
                  <c:v>801</c:v>
                </c:pt>
                <c:pt idx="422">
                  <c:v>802</c:v>
                </c:pt>
                <c:pt idx="423">
                  <c:v>803</c:v>
                </c:pt>
                <c:pt idx="424">
                  <c:v>804</c:v>
                </c:pt>
                <c:pt idx="425">
                  <c:v>805</c:v>
                </c:pt>
                <c:pt idx="426">
                  <c:v>806</c:v>
                </c:pt>
                <c:pt idx="427">
                  <c:v>807</c:v>
                </c:pt>
                <c:pt idx="428">
                  <c:v>808</c:v>
                </c:pt>
                <c:pt idx="429">
                  <c:v>809</c:v>
                </c:pt>
                <c:pt idx="430">
                  <c:v>810</c:v>
                </c:pt>
                <c:pt idx="431">
                  <c:v>811</c:v>
                </c:pt>
                <c:pt idx="432">
                  <c:v>812</c:v>
                </c:pt>
                <c:pt idx="433">
                  <c:v>813</c:v>
                </c:pt>
                <c:pt idx="434">
                  <c:v>814</c:v>
                </c:pt>
                <c:pt idx="435">
                  <c:v>815</c:v>
                </c:pt>
                <c:pt idx="436">
                  <c:v>816</c:v>
                </c:pt>
                <c:pt idx="437">
                  <c:v>817</c:v>
                </c:pt>
                <c:pt idx="438">
                  <c:v>818</c:v>
                </c:pt>
                <c:pt idx="439">
                  <c:v>819</c:v>
                </c:pt>
                <c:pt idx="440">
                  <c:v>820</c:v>
                </c:pt>
                <c:pt idx="441">
                  <c:v>821</c:v>
                </c:pt>
                <c:pt idx="442">
                  <c:v>822</c:v>
                </c:pt>
                <c:pt idx="443">
                  <c:v>823</c:v>
                </c:pt>
                <c:pt idx="444">
                  <c:v>824</c:v>
                </c:pt>
                <c:pt idx="445">
                  <c:v>825</c:v>
                </c:pt>
                <c:pt idx="446">
                  <c:v>826</c:v>
                </c:pt>
                <c:pt idx="447">
                  <c:v>827</c:v>
                </c:pt>
                <c:pt idx="448">
                  <c:v>828</c:v>
                </c:pt>
                <c:pt idx="449">
                  <c:v>829</c:v>
                </c:pt>
                <c:pt idx="450">
                  <c:v>830</c:v>
                </c:pt>
                <c:pt idx="451">
                  <c:v>831</c:v>
                </c:pt>
                <c:pt idx="452">
                  <c:v>832</c:v>
                </c:pt>
                <c:pt idx="453">
                  <c:v>833</c:v>
                </c:pt>
                <c:pt idx="454">
                  <c:v>834</c:v>
                </c:pt>
                <c:pt idx="455">
                  <c:v>835</c:v>
                </c:pt>
                <c:pt idx="456">
                  <c:v>836</c:v>
                </c:pt>
                <c:pt idx="457">
                  <c:v>837</c:v>
                </c:pt>
                <c:pt idx="458">
                  <c:v>838</c:v>
                </c:pt>
                <c:pt idx="459">
                  <c:v>839</c:v>
                </c:pt>
                <c:pt idx="460">
                  <c:v>840</c:v>
                </c:pt>
                <c:pt idx="461">
                  <c:v>841</c:v>
                </c:pt>
                <c:pt idx="462">
                  <c:v>842</c:v>
                </c:pt>
                <c:pt idx="463">
                  <c:v>843</c:v>
                </c:pt>
                <c:pt idx="464">
                  <c:v>844</c:v>
                </c:pt>
                <c:pt idx="465">
                  <c:v>845</c:v>
                </c:pt>
                <c:pt idx="466">
                  <c:v>846</c:v>
                </c:pt>
                <c:pt idx="467">
                  <c:v>847</c:v>
                </c:pt>
                <c:pt idx="468">
                  <c:v>848</c:v>
                </c:pt>
                <c:pt idx="469">
                  <c:v>849</c:v>
                </c:pt>
                <c:pt idx="470">
                  <c:v>850</c:v>
                </c:pt>
                <c:pt idx="471">
                  <c:v>851</c:v>
                </c:pt>
                <c:pt idx="472">
                  <c:v>852</c:v>
                </c:pt>
                <c:pt idx="473">
                  <c:v>853</c:v>
                </c:pt>
                <c:pt idx="474">
                  <c:v>854</c:v>
                </c:pt>
                <c:pt idx="475">
                  <c:v>855</c:v>
                </c:pt>
                <c:pt idx="476">
                  <c:v>856</c:v>
                </c:pt>
                <c:pt idx="477">
                  <c:v>857</c:v>
                </c:pt>
                <c:pt idx="478">
                  <c:v>858</c:v>
                </c:pt>
                <c:pt idx="479">
                  <c:v>859</c:v>
                </c:pt>
                <c:pt idx="480">
                  <c:v>860</c:v>
                </c:pt>
                <c:pt idx="481">
                  <c:v>861</c:v>
                </c:pt>
                <c:pt idx="482">
                  <c:v>862</c:v>
                </c:pt>
                <c:pt idx="483">
                  <c:v>863</c:v>
                </c:pt>
                <c:pt idx="484">
                  <c:v>864</c:v>
                </c:pt>
                <c:pt idx="485">
                  <c:v>865</c:v>
                </c:pt>
                <c:pt idx="486">
                  <c:v>866</c:v>
                </c:pt>
                <c:pt idx="487">
                  <c:v>867</c:v>
                </c:pt>
                <c:pt idx="488">
                  <c:v>868</c:v>
                </c:pt>
                <c:pt idx="489">
                  <c:v>869</c:v>
                </c:pt>
                <c:pt idx="490">
                  <c:v>870</c:v>
                </c:pt>
                <c:pt idx="491">
                  <c:v>871</c:v>
                </c:pt>
                <c:pt idx="492">
                  <c:v>872</c:v>
                </c:pt>
                <c:pt idx="493">
                  <c:v>873</c:v>
                </c:pt>
                <c:pt idx="494">
                  <c:v>874</c:v>
                </c:pt>
                <c:pt idx="495">
                  <c:v>875</c:v>
                </c:pt>
                <c:pt idx="496">
                  <c:v>876</c:v>
                </c:pt>
                <c:pt idx="497">
                  <c:v>877</c:v>
                </c:pt>
                <c:pt idx="498">
                  <c:v>878</c:v>
                </c:pt>
                <c:pt idx="499">
                  <c:v>879</c:v>
                </c:pt>
                <c:pt idx="500">
                  <c:v>880</c:v>
                </c:pt>
                <c:pt idx="501">
                  <c:v>881</c:v>
                </c:pt>
                <c:pt idx="502">
                  <c:v>882</c:v>
                </c:pt>
                <c:pt idx="503">
                  <c:v>883</c:v>
                </c:pt>
                <c:pt idx="504">
                  <c:v>884</c:v>
                </c:pt>
                <c:pt idx="505">
                  <c:v>885</c:v>
                </c:pt>
                <c:pt idx="506">
                  <c:v>886</c:v>
                </c:pt>
                <c:pt idx="507">
                  <c:v>887</c:v>
                </c:pt>
                <c:pt idx="508">
                  <c:v>888</c:v>
                </c:pt>
                <c:pt idx="509">
                  <c:v>889</c:v>
                </c:pt>
                <c:pt idx="510">
                  <c:v>890</c:v>
                </c:pt>
                <c:pt idx="511">
                  <c:v>891</c:v>
                </c:pt>
                <c:pt idx="512">
                  <c:v>892</c:v>
                </c:pt>
                <c:pt idx="513">
                  <c:v>893</c:v>
                </c:pt>
                <c:pt idx="514">
                  <c:v>894</c:v>
                </c:pt>
                <c:pt idx="515">
                  <c:v>895</c:v>
                </c:pt>
                <c:pt idx="516">
                  <c:v>896</c:v>
                </c:pt>
                <c:pt idx="517">
                  <c:v>897</c:v>
                </c:pt>
                <c:pt idx="518">
                  <c:v>898</c:v>
                </c:pt>
                <c:pt idx="519">
                  <c:v>899</c:v>
                </c:pt>
                <c:pt idx="520">
                  <c:v>900</c:v>
                </c:pt>
                <c:pt idx="521">
                  <c:v>901</c:v>
                </c:pt>
                <c:pt idx="522">
                  <c:v>902</c:v>
                </c:pt>
                <c:pt idx="523">
                  <c:v>903</c:v>
                </c:pt>
                <c:pt idx="524">
                  <c:v>904</c:v>
                </c:pt>
                <c:pt idx="525">
                  <c:v>905</c:v>
                </c:pt>
                <c:pt idx="526">
                  <c:v>906</c:v>
                </c:pt>
                <c:pt idx="527">
                  <c:v>907</c:v>
                </c:pt>
                <c:pt idx="528">
                  <c:v>908</c:v>
                </c:pt>
                <c:pt idx="529">
                  <c:v>909</c:v>
                </c:pt>
                <c:pt idx="530">
                  <c:v>910</c:v>
                </c:pt>
                <c:pt idx="531">
                  <c:v>911</c:v>
                </c:pt>
                <c:pt idx="532">
                  <c:v>912</c:v>
                </c:pt>
                <c:pt idx="533">
                  <c:v>913</c:v>
                </c:pt>
                <c:pt idx="534">
                  <c:v>914</c:v>
                </c:pt>
                <c:pt idx="535">
                  <c:v>915</c:v>
                </c:pt>
                <c:pt idx="536">
                  <c:v>916</c:v>
                </c:pt>
                <c:pt idx="537">
                  <c:v>917</c:v>
                </c:pt>
                <c:pt idx="538">
                  <c:v>918</c:v>
                </c:pt>
                <c:pt idx="539">
                  <c:v>919</c:v>
                </c:pt>
                <c:pt idx="540">
                  <c:v>920</c:v>
                </c:pt>
                <c:pt idx="541">
                  <c:v>921</c:v>
                </c:pt>
                <c:pt idx="542">
                  <c:v>922</c:v>
                </c:pt>
                <c:pt idx="543">
                  <c:v>923</c:v>
                </c:pt>
                <c:pt idx="544">
                  <c:v>924</c:v>
                </c:pt>
                <c:pt idx="545">
                  <c:v>925</c:v>
                </c:pt>
                <c:pt idx="546">
                  <c:v>926</c:v>
                </c:pt>
                <c:pt idx="547">
                  <c:v>927</c:v>
                </c:pt>
                <c:pt idx="548">
                  <c:v>928</c:v>
                </c:pt>
                <c:pt idx="549">
                  <c:v>929</c:v>
                </c:pt>
                <c:pt idx="550">
                  <c:v>930</c:v>
                </c:pt>
                <c:pt idx="551">
                  <c:v>931</c:v>
                </c:pt>
                <c:pt idx="552">
                  <c:v>932</c:v>
                </c:pt>
                <c:pt idx="553">
                  <c:v>933</c:v>
                </c:pt>
                <c:pt idx="554">
                  <c:v>934</c:v>
                </c:pt>
                <c:pt idx="555">
                  <c:v>935</c:v>
                </c:pt>
                <c:pt idx="556">
                  <c:v>936</c:v>
                </c:pt>
                <c:pt idx="557">
                  <c:v>937</c:v>
                </c:pt>
                <c:pt idx="558">
                  <c:v>938</c:v>
                </c:pt>
                <c:pt idx="559">
                  <c:v>939</c:v>
                </c:pt>
                <c:pt idx="560">
                  <c:v>940</c:v>
                </c:pt>
                <c:pt idx="561">
                  <c:v>941</c:v>
                </c:pt>
                <c:pt idx="562">
                  <c:v>942</c:v>
                </c:pt>
                <c:pt idx="563">
                  <c:v>943</c:v>
                </c:pt>
                <c:pt idx="564">
                  <c:v>944</c:v>
                </c:pt>
                <c:pt idx="565">
                  <c:v>945</c:v>
                </c:pt>
                <c:pt idx="566">
                  <c:v>946</c:v>
                </c:pt>
                <c:pt idx="567">
                  <c:v>947</c:v>
                </c:pt>
                <c:pt idx="568">
                  <c:v>948</c:v>
                </c:pt>
                <c:pt idx="569">
                  <c:v>949</c:v>
                </c:pt>
                <c:pt idx="570">
                  <c:v>950</c:v>
                </c:pt>
                <c:pt idx="571">
                  <c:v>951</c:v>
                </c:pt>
                <c:pt idx="572">
                  <c:v>952</c:v>
                </c:pt>
                <c:pt idx="573">
                  <c:v>953</c:v>
                </c:pt>
                <c:pt idx="574">
                  <c:v>954</c:v>
                </c:pt>
                <c:pt idx="575">
                  <c:v>955</c:v>
                </c:pt>
                <c:pt idx="576">
                  <c:v>956</c:v>
                </c:pt>
                <c:pt idx="577">
                  <c:v>957</c:v>
                </c:pt>
                <c:pt idx="578">
                  <c:v>958</c:v>
                </c:pt>
                <c:pt idx="579">
                  <c:v>959</c:v>
                </c:pt>
                <c:pt idx="580">
                  <c:v>960</c:v>
                </c:pt>
                <c:pt idx="581">
                  <c:v>961</c:v>
                </c:pt>
                <c:pt idx="582">
                  <c:v>962</c:v>
                </c:pt>
                <c:pt idx="583">
                  <c:v>963</c:v>
                </c:pt>
                <c:pt idx="584">
                  <c:v>964</c:v>
                </c:pt>
                <c:pt idx="585">
                  <c:v>965</c:v>
                </c:pt>
                <c:pt idx="586">
                  <c:v>966</c:v>
                </c:pt>
                <c:pt idx="587">
                  <c:v>967</c:v>
                </c:pt>
                <c:pt idx="588">
                  <c:v>968</c:v>
                </c:pt>
                <c:pt idx="589">
                  <c:v>969</c:v>
                </c:pt>
                <c:pt idx="590">
                  <c:v>970</c:v>
                </c:pt>
                <c:pt idx="591">
                  <c:v>971</c:v>
                </c:pt>
                <c:pt idx="592">
                  <c:v>972</c:v>
                </c:pt>
                <c:pt idx="593">
                  <c:v>973</c:v>
                </c:pt>
                <c:pt idx="594">
                  <c:v>974</c:v>
                </c:pt>
                <c:pt idx="595">
                  <c:v>975</c:v>
                </c:pt>
                <c:pt idx="596">
                  <c:v>976</c:v>
                </c:pt>
                <c:pt idx="597">
                  <c:v>977</c:v>
                </c:pt>
                <c:pt idx="598">
                  <c:v>978</c:v>
                </c:pt>
                <c:pt idx="599">
                  <c:v>979</c:v>
                </c:pt>
                <c:pt idx="600">
                  <c:v>980</c:v>
                </c:pt>
                <c:pt idx="601">
                  <c:v>981</c:v>
                </c:pt>
                <c:pt idx="602">
                  <c:v>982</c:v>
                </c:pt>
                <c:pt idx="603">
                  <c:v>983</c:v>
                </c:pt>
                <c:pt idx="604">
                  <c:v>984</c:v>
                </c:pt>
                <c:pt idx="605">
                  <c:v>985</c:v>
                </c:pt>
                <c:pt idx="606">
                  <c:v>986</c:v>
                </c:pt>
                <c:pt idx="607">
                  <c:v>987</c:v>
                </c:pt>
                <c:pt idx="608">
                  <c:v>988</c:v>
                </c:pt>
                <c:pt idx="609">
                  <c:v>989</c:v>
                </c:pt>
                <c:pt idx="610">
                  <c:v>990</c:v>
                </c:pt>
                <c:pt idx="611">
                  <c:v>991</c:v>
                </c:pt>
                <c:pt idx="612">
                  <c:v>992</c:v>
                </c:pt>
                <c:pt idx="613">
                  <c:v>993</c:v>
                </c:pt>
                <c:pt idx="614">
                  <c:v>994</c:v>
                </c:pt>
                <c:pt idx="615">
                  <c:v>995</c:v>
                </c:pt>
                <c:pt idx="616">
                  <c:v>996</c:v>
                </c:pt>
                <c:pt idx="617">
                  <c:v>997</c:v>
                </c:pt>
                <c:pt idx="618">
                  <c:v>998</c:v>
                </c:pt>
                <c:pt idx="619">
                  <c:v>999</c:v>
                </c:pt>
                <c:pt idx="620">
                  <c:v>1000</c:v>
                </c:pt>
              </c:numCache>
            </c:numRef>
          </c:xVal>
          <c:yVal>
            <c:numRef>
              <c:f>'Demonstration Calculations'!$P$10:$P$630</c:f>
              <c:numCache>
                <c:formatCode>0.000</c:formatCode>
                <c:ptCount val="621"/>
                <c:pt idx="0">
                  <c:v>0.48152542152758848</c:v>
                </c:pt>
                <c:pt idx="1">
                  <c:v>0.48645070351011466</c:v>
                </c:pt>
                <c:pt idx="2">
                  <c:v>0.49134879706729157</c:v>
                </c:pt>
                <c:pt idx="3">
                  <c:v>0.49630386716175245</c:v>
                </c:pt>
                <c:pt idx="4">
                  <c:v>0.50131203915342792</c:v>
                </c:pt>
                <c:pt idx="5">
                  <c:v>0.50636309789114387</c:v>
                </c:pt>
                <c:pt idx="6">
                  <c:v>0.51147155754760265</c:v>
                </c:pt>
                <c:pt idx="7">
                  <c:v>0.51661423435978637</c:v>
                </c:pt>
                <c:pt idx="8">
                  <c:v>0.52186961438711743</c:v>
                </c:pt>
                <c:pt idx="9">
                  <c:v>0.52711893980058921</c:v>
                </c:pt>
                <c:pt idx="10">
                  <c:v>0.53245476485830068</c:v>
                </c:pt>
                <c:pt idx="11">
                  <c:v>0.53784250708165371</c:v>
                </c:pt>
                <c:pt idx="12">
                  <c:v>0.54327729437074701</c:v>
                </c:pt>
                <c:pt idx="13">
                  <c:v>0.54877259669346456</c:v>
                </c:pt>
                <c:pt idx="14">
                  <c:v>0.55429420337184898</c:v>
                </c:pt>
                <c:pt idx="15">
                  <c:v>0.55989675591142885</c:v>
                </c:pt>
                <c:pt idx="16">
                  <c:v>0.56558461968710316</c:v>
                </c:pt>
                <c:pt idx="17">
                  <c:v>0.57127433686359652</c:v>
                </c:pt>
                <c:pt idx="18">
                  <c:v>0.57710686376998233</c:v>
                </c:pt>
                <c:pt idx="19">
                  <c:v>0.58295746645529112</c:v>
                </c:pt>
                <c:pt idx="20">
                  <c:v>0.58894915035640538</c:v>
                </c:pt>
                <c:pt idx="21">
                  <c:v>0.59494632939048786</c:v>
                </c:pt>
                <c:pt idx="22">
                  <c:v>0.60110747064060432</c:v>
                </c:pt>
                <c:pt idx="23">
                  <c:v>0.60732939694813448</c:v>
                </c:pt>
                <c:pt idx="24">
                  <c:v>0.61372567470564177</c:v>
                </c:pt>
                <c:pt idx="25">
                  <c:v>0.62021606477077873</c:v>
                </c:pt>
                <c:pt idx="26">
                  <c:v>0.62684776335724723</c:v>
                </c:pt>
                <c:pt idx="27">
                  <c:v>0.63366678340613547</c:v>
                </c:pt>
                <c:pt idx="28">
                  <c:v>0.64059636130284436</c:v>
                </c:pt>
                <c:pt idx="29">
                  <c:v>0.64771719155942997</c:v>
                </c:pt>
                <c:pt idx="30">
                  <c:v>0.65499265124649564</c:v>
                </c:pt>
                <c:pt idx="31">
                  <c:v>0.66241704191080331</c:v>
                </c:pt>
                <c:pt idx="32">
                  <c:v>0.67008102263677261</c:v>
                </c:pt>
                <c:pt idx="33">
                  <c:v>0.67784995604421505</c:v>
                </c:pt>
                <c:pt idx="34">
                  <c:v>0.68580913071103577</c:v>
                </c:pt>
                <c:pt idx="35">
                  <c:v>0.69395209471199137</c:v>
                </c:pt>
                <c:pt idx="36">
                  <c:v>0.70223978600859516</c:v>
                </c:pt>
                <c:pt idx="37">
                  <c:v>0.71065025053446085</c:v>
                </c:pt>
                <c:pt idx="38">
                  <c:v>0.71924662536102124</c:v>
                </c:pt>
                <c:pt idx="39">
                  <c:v>0.72793620718311391</c:v>
                </c:pt>
                <c:pt idx="40">
                  <c:v>0.73672052843098312</c:v>
                </c:pt>
                <c:pt idx="41">
                  <c:v>0.74562589211805474</c:v>
                </c:pt>
                <c:pt idx="42">
                  <c:v>0.75460608352363201</c:v>
                </c:pt>
                <c:pt idx="43">
                  <c:v>0.76370546241526283</c:v>
                </c:pt>
                <c:pt idx="44">
                  <c:v>0.7727838994941667</c:v>
                </c:pt>
                <c:pt idx="45">
                  <c:v>0.78193513615437571</c:v>
                </c:pt>
                <c:pt idx="46">
                  <c:v>0.79111150370182881</c:v>
                </c:pt>
                <c:pt idx="47">
                  <c:v>0.80027299922356765</c:v>
                </c:pt>
                <c:pt idx="48">
                  <c:v>0.80943414757185994</c:v>
                </c:pt>
                <c:pt idx="49">
                  <c:v>0.81851829134419074</c:v>
                </c:pt>
                <c:pt idx="50">
                  <c:v>0.82755268677823679</c:v>
                </c:pt>
                <c:pt idx="51">
                  <c:v>0.83649807368695095</c:v>
                </c:pt>
                <c:pt idx="52">
                  <c:v>0.84534501296765241</c:v>
                </c:pt>
                <c:pt idx="53">
                  <c:v>0.85408901931916381</c:v>
                </c:pt>
                <c:pt idx="54">
                  <c:v>0.8626267657771427</c:v>
                </c:pt>
                <c:pt idx="55">
                  <c:v>0.87112360436021541</c:v>
                </c:pt>
                <c:pt idx="56">
                  <c:v>0.8792954293058306</c:v>
                </c:pt>
                <c:pt idx="57">
                  <c:v>0.88741686163767908</c:v>
                </c:pt>
                <c:pt idx="58">
                  <c:v>0.89521988814747</c:v>
                </c:pt>
                <c:pt idx="59">
                  <c:v>0.90280787489959469</c:v>
                </c:pt>
                <c:pt idx="60">
                  <c:v>0.91017426536391699</c:v>
                </c:pt>
                <c:pt idx="61">
                  <c:v>0.91728177543499778</c:v>
                </c:pt>
                <c:pt idx="62">
                  <c:v>0.92404308071427843</c:v>
                </c:pt>
                <c:pt idx="63">
                  <c:v>0.93057950805590739</c:v>
                </c:pt>
                <c:pt idx="64">
                  <c:v>0.93673410924459444</c:v>
                </c:pt>
                <c:pt idx="65">
                  <c:v>0.94272393529798981</c:v>
                </c:pt>
                <c:pt idx="66">
                  <c:v>0.94831299187690543</c:v>
                </c:pt>
                <c:pt idx="67">
                  <c:v>0.95351131559117508</c:v>
                </c:pt>
                <c:pt idx="68">
                  <c:v>0.95849056030232715</c:v>
                </c:pt>
                <c:pt idx="69">
                  <c:v>0.96312532242139848</c:v>
                </c:pt>
                <c:pt idx="70">
                  <c:v>0.96737883991618101</c:v>
                </c:pt>
                <c:pt idx="71">
                  <c:v>0.97130405276298759</c:v>
                </c:pt>
                <c:pt idx="72">
                  <c:v>0.97505546244759067</c:v>
                </c:pt>
                <c:pt idx="73">
                  <c:v>0.97836187796625629</c:v>
                </c:pt>
                <c:pt idx="74">
                  <c:v>0.98138005590900446</c:v>
                </c:pt>
                <c:pt idx="75">
                  <c:v>0.98418700190224684</c:v>
                </c:pt>
                <c:pt idx="76">
                  <c:v>0.98671231052505015</c:v>
                </c:pt>
                <c:pt idx="77">
                  <c:v>0.98892765032332508</c:v>
                </c:pt>
                <c:pt idx="78">
                  <c:v>0.9909276455469328</c:v>
                </c:pt>
                <c:pt idx="79">
                  <c:v>0.99270082869921616</c:v>
                </c:pt>
                <c:pt idx="80">
                  <c:v>0.99424243225832354</c:v>
                </c:pt>
                <c:pt idx="81">
                  <c:v>0.99557659823033595</c:v>
                </c:pt>
                <c:pt idx="82">
                  <c:v>0.99674577650283336</c:v>
                </c:pt>
                <c:pt idx="83">
                  <c:v>0.99770243956212168</c:v>
                </c:pt>
                <c:pt idx="84">
                  <c:v>0.99849439445808663</c:v>
                </c:pt>
                <c:pt idx="85">
                  <c:v>0.99909168233411905</c:v>
                </c:pt>
                <c:pt idx="86">
                  <c:v>0.99956893942351588</c:v>
                </c:pt>
                <c:pt idx="87">
                  <c:v>0.99985674891805865</c:v>
                </c:pt>
                <c:pt idx="88">
                  <c:v>1</c:v>
                </c:pt>
                <c:pt idx="89">
                  <c:v>0.99994891298098232</c:v>
                </c:pt>
                <c:pt idx="90">
                  <c:v>0.99977108629504974</c:v>
                </c:pt>
                <c:pt idx="91">
                  <c:v>0.99941586827600026</c:v>
                </c:pt>
                <c:pt idx="92">
                  <c:v>0.99890675980578081</c:v>
                </c:pt>
                <c:pt idx="93">
                  <c:v>0.99822009881685758</c:v>
                </c:pt>
                <c:pt idx="94">
                  <c:v>0.99737965749884994</c:v>
                </c:pt>
                <c:pt idx="95">
                  <c:v>0.99635312701200085</c:v>
                </c:pt>
                <c:pt idx="96">
                  <c:v>0.99512843897939074</c:v>
                </c:pt>
                <c:pt idx="97">
                  <c:v>0.99373009810385127</c:v>
                </c:pt>
                <c:pt idx="98">
                  <c:v>0.99214394415568818</c:v>
                </c:pt>
                <c:pt idx="99">
                  <c:v>0.99036642270675024</c:v>
                </c:pt>
                <c:pt idx="100">
                  <c:v>0.9884083897405529</c:v>
                </c:pt>
                <c:pt idx="101">
                  <c:v>0.98624160848349052</c:v>
                </c:pt>
                <c:pt idx="102">
                  <c:v>0.98392776037625707</c:v>
                </c:pt>
                <c:pt idx="103">
                  <c:v>0.98143028570315194</c:v>
                </c:pt>
                <c:pt idx="104">
                  <c:v>0.97875053388283251</c:v>
                </c:pt>
                <c:pt idx="105">
                  <c:v>0.97589612405645743</c:v>
                </c:pt>
                <c:pt idx="106">
                  <c:v>0.97291421678081735</c:v>
                </c:pt>
                <c:pt idx="107">
                  <c:v>0.96977319420160801</c:v>
                </c:pt>
                <c:pt idx="108">
                  <c:v>0.96652284660504972</c:v>
                </c:pt>
                <c:pt idx="109">
                  <c:v>0.96312349836312638</c:v>
                </c:pt>
                <c:pt idx="110">
                  <c:v>0.95962540720026157</c:v>
                </c:pt>
                <c:pt idx="111">
                  <c:v>0.95604502017396187</c:v>
                </c:pt>
                <c:pt idx="112">
                  <c:v>0.95237936369609988</c:v>
                </c:pt>
                <c:pt idx="113">
                  <c:v>0.94863965475455292</c:v>
                </c:pt>
                <c:pt idx="114">
                  <c:v>0.94486112272952461</c:v>
                </c:pt>
                <c:pt idx="115">
                  <c:v>0.94101597296978623</c:v>
                </c:pt>
                <c:pt idx="116">
                  <c:v>0.93716029549189117</c:v>
                </c:pt>
                <c:pt idx="117">
                  <c:v>0.9333054615246692</c:v>
                </c:pt>
                <c:pt idx="118">
                  <c:v>0.92945959033979342</c:v>
                </c:pt>
                <c:pt idx="119">
                  <c:v>0.92562504019561931</c:v>
                </c:pt>
                <c:pt idx="120">
                  <c:v>0.92183171831334376</c:v>
                </c:pt>
                <c:pt idx="121">
                  <c:v>0.91805592761046229</c:v>
                </c:pt>
                <c:pt idx="122">
                  <c:v>0.91435596428018939</c:v>
                </c:pt>
                <c:pt idx="123">
                  <c:v>0.91071865417279618</c:v>
                </c:pt>
                <c:pt idx="124">
                  <c:v>0.90716738705605093</c:v>
                </c:pt>
                <c:pt idx="125">
                  <c:v>0.90369707875604088</c:v>
                </c:pt>
                <c:pt idx="126">
                  <c:v>0.90031435165439266</c:v>
                </c:pt>
                <c:pt idx="127">
                  <c:v>0.89703611903296343</c:v>
                </c:pt>
                <c:pt idx="128">
                  <c:v>0.89386823807952998</c:v>
                </c:pt>
                <c:pt idx="129">
                  <c:v>0.89080111013985552</c:v>
                </c:pt>
                <c:pt idx="130">
                  <c:v>0.88790612490573229</c:v>
                </c:pt>
                <c:pt idx="131">
                  <c:v>0.88510448386747331</c:v>
                </c:pt>
                <c:pt idx="132">
                  <c:v>0.88245705063274604</c:v>
                </c:pt>
                <c:pt idx="133">
                  <c:v>0.87994369287661434</c:v>
                </c:pt>
                <c:pt idx="134">
                  <c:v>0.87759595045169603</c:v>
                </c:pt>
                <c:pt idx="135">
                  <c:v>0.87539177898215859</c:v>
                </c:pt>
                <c:pt idx="136">
                  <c:v>0.87333722111841228</c:v>
                </c:pt>
                <c:pt idx="137">
                  <c:v>0.87146012823593966</c:v>
                </c:pt>
                <c:pt idx="138">
                  <c:v>0.86971838887853514</c:v>
                </c:pt>
                <c:pt idx="139">
                  <c:v>0.86813658168897878</c:v>
                </c:pt>
                <c:pt idx="140">
                  <c:v>0.86672972972423012</c:v>
                </c:pt>
                <c:pt idx="141">
                  <c:v>0.86546465510794324</c:v>
                </c:pt>
                <c:pt idx="142">
                  <c:v>0.86437284500687617</c:v>
                </c:pt>
                <c:pt idx="143">
                  <c:v>0.86339866610475213</c:v>
                </c:pt>
                <c:pt idx="144">
                  <c:v>0.86257242417484969</c:v>
                </c:pt>
                <c:pt idx="145">
                  <c:v>0.86189042367868107</c:v>
                </c:pt>
                <c:pt idx="146">
                  <c:v>0.86129823197502564</c:v>
                </c:pt>
                <c:pt idx="147">
                  <c:v>0.86083114129596194</c:v>
                </c:pt>
                <c:pt idx="148">
                  <c:v>0.86046323292321381</c:v>
                </c:pt>
                <c:pt idx="149">
                  <c:v>0.86015336167957601</c:v>
                </c:pt>
                <c:pt idx="150">
                  <c:v>0.85987583528859479</c:v>
                </c:pt>
                <c:pt idx="151">
                  <c:v>0.85964477032213182</c:v>
                </c:pt>
                <c:pt idx="152">
                  <c:v>0.85946300783664531</c:v>
                </c:pt>
                <c:pt idx="153">
                  <c:v>0.85928280335400331</c:v>
                </c:pt>
                <c:pt idx="154">
                  <c:v>0.8590695540752521</c:v>
                </c:pt>
                <c:pt idx="155">
                  <c:v>0.85881853865161661</c:v>
                </c:pt>
                <c:pt idx="156">
                  <c:v>0.85852300607980514</c:v>
                </c:pt>
                <c:pt idx="157">
                  <c:v>0.8581875100055536</c:v>
                </c:pt>
                <c:pt idx="158">
                  <c:v>0.85777375578199788</c:v>
                </c:pt>
                <c:pt idx="159">
                  <c:v>0.85721151869813994</c:v>
                </c:pt>
                <c:pt idx="160">
                  <c:v>0.85657538492053531</c:v>
                </c:pt>
                <c:pt idx="161">
                  <c:v>0.85581586575858737</c:v>
                </c:pt>
                <c:pt idx="162">
                  <c:v>0.85491622582983895</c:v>
                </c:pt>
                <c:pt idx="163">
                  <c:v>0.85386983855086629</c:v>
                </c:pt>
                <c:pt idx="164">
                  <c:v>0.85265404916484611</c:v>
                </c:pt>
                <c:pt idx="165">
                  <c:v>0.85129159816859623</c:v>
                </c:pt>
                <c:pt idx="166">
                  <c:v>0.84974817264044278</c:v>
                </c:pt>
                <c:pt idx="167">
                  <c:v>0.8480284193822869</c:v>
                </c:pt>
                <c:pt idx="168">
                  <c:v>0.84612393968547073</c:v>
                </c:pt>
                <c:pt idx="169">
                  <c:v>0.84406297338741032</c:v>
                </c:pt>
                <c:pt idx="170">
                  <c:v>0.84178957720179137</c:v>
                </c:pt>
                <c:pt idx="171">
                  <c:v>0.83932085303028792</c:v>
                </c:pt>
                <c:pt idx="172">
                  <c:v>0.83666924857867975</c:v>
                </c:pt>
                <c:pt idx="173">
                  <c:v>0.8338444586756586</c:v>
                </c:pt>
                <c:pt idx="174">
                  <c:v>0.83081313587904126</c:v>
                </c:pt>
                <c:pt idx="175">
                  <c:v>0.82757502854789777</c:v>
                </c:pt>
                <c:pt idx="176">
                  <c:v>0.82420923795470413</c:v>
                </c:pt>
                <c:pt idx="177">
                  <c:v>0.82060767054700168</c:v>
                </c:pt>
                <c:pt idx="178">
                  <c:v>0.8168452310528902</c:v>
                </c:pt>
                <c:pt idx="179">
                  <c:v>0.81293091750312063</c:v>
                </c:pt>
                <c:pt idx="180">
                  <c:v>0.8088391476674619</c:v>
                </c:pt>
                <c:pt idx="181">
                  <c:v>0.80458402913643456</c:v>
                </c:pt>
                <c:pt idx="182">
                  <c:v>0.80018249674944641</c:v>
                </c:pt>
                <c:pt idx="183">
                  <c:v>0.79564685484931019</c:v>
                </c:pt>
                <c:pt idx="184">
                  <c:v>0.79095806844529237</c:v>
                </c:pt>
                <c:pt idx="185">
                  <c:v>0.78616211761109267</c:v>
                </c:pt>
                <c:pt idx="186">
                  <c:v>0.781270213939948</c:v>
                </c:pt>
                <c:pt idx="187">
                  <c:v>0.77623408507501424</c:v>
                </c:pt>
                <c:pt idx="188">
                  <c:v>0.77114189778636755</c:v>
                </c:pt>
                <c:pt idx="189">
                  <c:v>0.76597834992671432</c:v>
                </c:pt>
                <c:pt idx="190">
                  <c:v>0.76072616117559011</c:v>
                </c:pt>
                <c:pt idx="191">
                  <c:v>0.75541585753877571</c:v>
                </c:pt>
                <c:pt idx="192">
                  <c:v>0.7500624274784381</c:v>
                </c:pt>
                <c:pt idx="193">
                  <c:v>0.74469890750380952</c:v>
                </c:pt>
                <c:pt idx="194">
                  <c:v>0.73933077138872416</c:v>
                </c:pt>
                <c:pt idx="195">
                  <c:v>0.73394334575907494</c:v>
                </c:pt>
                <c:pt idx="196">
                  <c:v>0.72857810596574524</c:v>
                </c:pt>
                <c:pt idx="197">
                  <c:v>0.7232554218518974</c:v>
                </c:pt>
                <c:pt idx="198">
                  <c:v>0.71793498920074028</c:v>
                </c:pt>
                <c:pt idx="199">
                  <c:v>0.71271873169325894</c:v>
                </c:pt>
                <c:pt idx="200">
                  <c:v>0.707561232401546</c:v>
                </c:pt>
                <c:pt idx="201">
                  <c:v>0.70250062303846394</c:v>
                </c:pt>
                <c:pt idx="202">
                  <c:v>0.69750350042966669</c:v>
                </c:pt>
                <c:pt idx="203">
                  <c:v>0.69265332095147325</c:v>
                </c:pt>
                <c:pt idx="204">
                  <c:v>0.68792535937676036</c:v>
                </c:pt>
                <c:pt idx="205">
                  <c:v>0.68336834750082032</c:v>
                </c:pt>
                <c:pt idx="206">
                  <c:v>0.67892834171320293</c:v>
                </c:pt>
                <c:pt idx="207">
                  <c:v>0.67466496589315328</c:v>
                </c:pt>
                <c:pt idx="208">
                  <c:v>0.67055900594835749</c:v>
                </c:pt>
                <c:pt idx="209">
                  <c:v>0.66663421183392779</c:v>
                </c:pt>
                <c:pt idx="210">
                  <c:v>0.66291794810052196</c:v>
                </c:pt>
                <c:pt idx="211">
                  <c:v>0.65939213605130209</c:v>
                </c:pt>
                <c:pt idx="212">
                  <c:v>0.65608288705108386</c:v>
                </c:pt>
                <c:pt idx="213">
                  <c:v>0.65297878236739437</c:v>
                </c:pt>
                <c:pt idx="214">
                  <c:v>0.65005665376051935</c:v>
                </c:pt>
                <c:pt idx="215">
                  <c:v>0.64735441252407377</c:v>
                </c:pt>
                <c:pt idx="216">
                  <c:v>0.64483541899150487</c:v>
                </c:pt>
                <c:pt idx="217">
                  <c:v>0.64250040906080386</c:v>
                </c:pt>
                <c:pt idx="218">
                  <c:v>0.64038770300045711</c:v>
                </c:pt>
                <c:pt idx="219">
                  <c:v>0.63843825208714577</c:v>
                </c:pt>
                <c:pt idx="220">
                  <c:v>0.63668439749111982</c:v>
                </c:pt>
                <c:pt idx="221">
                  <c:v>0.6350402393746073</c:v>
                </c:pt>
                <c:pt idx="222">
                  <c:v>0.6335860780977971</c:v>
                </c:pt>
                <c:pt idx="223">
                  <c:v>0.6322826275625627</c:v>
                </c:pt>
                <c:pt idx="224">
                  <c:v>0.63110060042942506</c:v>
                </c:pt>
                <c:pt idx="225">
                  <c:v>0.63005213428822981</c:v>
                </c:pt>
                <c:pt idx="226">
                  <c:v>0.62910812772899838</c:v>
                </c:pt>
                <c:pt idx="227">
                  <c:v>0.62825984778431598</c:v>
                </c:pt>
                <c:pt idx="228">
                  <c:v>0.6275333416248825</c:v>
                </c:pt>
                <c:pt idx="229">
                  <c:v>0.62686935551471923</c:v>
                </c:pt>
                <c:pt idx="230">
                  <c:v>0.62629179090705001</c:v>
                </c:pt>
                <c:pt idx="231">
                  <c:v>0.62576245802251773</c:v>
                </c:pt>
                <c:pt idx="232">
                  <c:v>0.62532714214653351</c:v>
                </c:pt>
                <c:pt idx="233">
                  <c:v>0.62491158107573064</c:v>
                </c:pt>
                <c:pt idx="234">
                  <c:v>0.6245416711246391</c:v>
                </c:pt>
                <c:pt idx="235">
                  <c:v>0.62420214979224953</c:v>
                </c:pt>
                <c:pt idx="236">
                  <c:v>0.62387002712341344</c:v>
                </c:pt>
                <c:pt idx="237">
                  <c:v>0.62360025328063551</c:v>
                </c:pt>
                <c:pt idx="238">
                  <c:v>0.62329767262684055</c:v>
                </c:pt>
                <c:pt idx="239">
                  <c:v>0.62301964773937701</c:v>
                </c:pt>
                <c:pt idx="240">
                  <c:v>0.622716131718967</c:v>
                </c:pt>
                <c:pt idx="241">
                  <c:v>0.6224339233593823</c:v>
                </c:pt>
                <c:pt idx="242">
                  <c:v>0.62212482630260768</c:v>
                </c:pt>
                <c:pt idx="243">
                  <c:v>0.62177277416223908</c:v>
                </c:pt>
                <c:pt idx="244">
                  <c:v>0.62142347268717868</c:v>
                </c:pt>
                <c:pt idx="245">
                  <c:v>0.62104585196658146</c:v>
                </c:pt>
                <c:pt idx="246">
                  <c:v>0.62062739766701258</c:v>
                </c:pt>
                <c:pt idx="247">
                  <c:v>0.62015804169434396</c:v>
                </c:pt>
                <c:pt idx="248">
                  <c:v>0.61968065532967143</c:v>
                </c:pt>
                <c:pt idx="249">
                  <c:v>0.61913130356871116</c:v>
                </c:pt>
                <c:pt idx="250">
                  <c:v>0.61857349453655297</c:v>
                </c:pt>
                <c:pt idx="251">
                  <c:v>0.61792494231401429</c:v>
                </c:pt>
                <c:pt idx="252">
                  <c:v>0.61726030679283939</c:v>
                </c:pt>
                <c:pt idx="253">
                  <c:v>0.61655643687898021</c:v>
                </c:pt>
                <c:pt idx="254">
                  <c:v>0.61576832575155083</c:v>
                </c:pt>
                <c:pt idx="255">
                  <c:v>0.61495518867674814</c:v>
                </c:pt>
                <c:pt idx="256">
                  <c:v>0.61408713074697274</c:v>
                </c:pt>
                <c:pt idx="257">
                  <c:v>0.61314850881345717</c:v>
                </c:pt>
                <c:pt idx="258">
                  <c:v>0.61221240914842423</c:v>
                </c:pt>
                <c:pt idx="259">
                  <c:v>0.6111796122071359</c:v>
                </c:pt>
                <c:pt idx="260">
                  <c:v>0.61013912574459417</c:v>
                </c:pt>
                <c:pt idx="261">
                  <c:v>0.60899436808063712</c:v>
                </c:pt>
                <c:pt idx="262">
                  <c:v>0.60784671263596701</c:v>
                </c:pt>
                <c:pt idx="263">
                  <c:v>0.60662222389690534</c:v>
                </c:pt>
                <c:pt idx="264">
                  <c:v>0.60537333783425984</c:v>
                </c:pt>
                <c:pt idx="265">
                  <c:v>0.60405866791845875</c:v>
                </c:pt>
                <c:pt idx="266">
                  <c:v>0.60269831536947238</c:v>
                </c:pt>
                <c:pt idx="267">
                  <c:v>0.60130586039398615</c:v>
                </c:pt>
                <c:pt idx="268">
                  <c:v>0.59985353063363711</c:v>
                </c:pt>
                <c:pt idx="269">
                  <c:v>0.59836081577191191</c:v>
                </c:pt>
                <c:pt idx="270">
                  <c:v>0.59681377529806379</c:v>
                </c:pt>
                <c:pt idx="271">
                  <c:v>0.59526948682592917</c:v>
                </c:pt>
                <c:pt idx="272">
                  <c:v>0.59363826131419783</c:v>
                </c:pt>
                <c:pt idx="273">
                  <c:v>0.59197308406022819</c:v>
                </c:pt>
                <c:pt idx="274">
                  <c:v>0.59026646623691381</c:v>
                </c:pt>
                <c:pt idx="275">
                  <c:v>0.58853646074672894</c:v>
                </c:pt>
                <c:pt idx="276">
                  <c:v>0.58676793540271899</c:v>
                </c:pt>
                <c:pt idx="277">
                  <c:v>0.58497392627890621</c:v>
                </c:pt>
                <c:pt idx="278">
                  <c:v>0.58311824610217433</c:v>
                </c:pt>
                <c:pt idx="279">
                  <c:v>0.58124307402434161</c:v>
                </c:pt>
                <c:pt idx="280">
                  <c:v>0.57932646744642557</c:v>
                </c:pt>
                <c:pt idx="281">
                  <c:v>0.57737852456959415</c:v>
                </c:pt>
                <c:pt idx="282">
                  <c:v>0.57539725689359511</c:v>
                </c:pt>
                <c:pt idx="283">
                  <c:v>0.57340120811409256</c:v>
                </c:pt>
                <c:pt idx="284">
                  <c:v>0.57139114253789169</c:v>
                </c:pt>
                <c:pt idx="285">
                  <c:v>0.56933185503849315</c:v>
                </c:pt>
                <c:pt idx="286">
                  <c:v>0.56726042637772212</c:v>
                </c:pt>
                <c:pt idx="287">
                  <c:v>0.56516075522423248</c:v>
                </c:pt>
                <c:pt idx="288">
                  <c:v>0.56303116681192056</c:v>
                </c:pt>
                <c:pt idx="289">
                  <c:v>0.56088255733316206</c:v>
                </c:pt>
                <c:pt idx="290">
                  <c:v>0.55872219472894946</c:v>
                </c:pt>
                <c:pt idx="291">
                  <c:v>0.55652055367471176</c:v>
                </c:pt>
                <c:pt idx="292">
                  <c:v>0.55431013506732862</c:v>
                </c:pt>
                <c:pt idx="293">
                  <c:v>0.55209687336094693</c:v>
                </c:pt>
                <c:pt idx="294">
                  <c:v>0.54983690611733516</c:v>
                </c:pt>
                <c:pt idx="295">
                  <c:v>0.54755524960806323</c:v>
                </c:pt>
                <c:pt idx="296">
                  <c:v>0.54526633000153679</c:v>
                </c:pt>
                <c:pt idx="297">
                  <c:v>0.54295131005991171</c:v>
                </c:pt>
                <c:pt idx="298">
                  <c:v>0.54061334620782642</c:v>
                </c:pt>
                <c:pt idx="299">
                  <c:v>0.53825824439448167</c:v>
                </c:pt>
                <c:pt idx="300">
                  <c:v>0.53586756188404894</c:v>
                </c:pt>
                <c:pt idx="301">
                  <c:v>0.53347852231111081</c:v>
                </c:pt>
                <c:pt idx="302">
                  <c:v>0.53104595192673965</c:v>
                </c:pt>
                <c:pt idx="303">
                  <c:v>0.52859689602675097</c:v>
                </c:pt>
                <c:pt idx="304">
                  <c:v>0.52612026138952195</c:v>
                </c:pt>
                <c:pt idx="305">
                  <c:v>0.52365352460946291</c:v>
                </c:pt>
                <c:pt idx="306">
                  <c:v>0.52113994835990674</c:v>
                </c:pt>
                <c:pt idx="307">
                  <c:v>0.51864810998846345</c:v>
                </c:pt>
                <c:pt idx="308">
                  <c:v>0.51608282227455349</c:v>
                </c:pt>
                <c:pt idx="309">
                  <c:v>0.51354957058708528</c:v>
                </c:pt>
                <c:pt idx="310">
                  <c:v>0.51095863284228649</c:v>
                </c:pt>
                <c:pt idx="311">
                  <c:v>0.50837855354372463</c:v>
                </c:pt>
                <c:pt idx="312">
                  <c:v>0.50577232551937301</c:v>
                </c:pt>
                <c:pt idx="313">
                  <c:v>0.5031306304215174</c:v>
                </c:pt>
                <c:pt idx="314">
                  <c:v>0.50051588214570508</c:v>
                </c:pt>
                <c:pt idx="315">
                  <c:v>0.4978901253961735</c:v>
                </c:pt>
                <c:pt idx="316">
                  <c:v>0.49523747574765531</c:v>
                </c:pt>
                <c:pt idx="317">
                  <c:v>0.49254984649239975</c:v>
                </c:pt>
                <c:pt idx="318">
                  <c:v>0.48990693100605842</c:v>
                </c:pt>
                <c:pt idx="319">
                  <c:v>0.48722709339905723</c:v>
                </c:pt>
                <c:pt idx="320">
                  <c:v>0.48456999124671757</c:v>
                </c:pt>
                <c:pt idx="321">
                  <c:v>0.48188389284603178</c:v>
                </c:pt>
                <c:pt idx="322">
                  <c:v>0.47921139741176327</c:v>
                </c:pt>
                <c:pt idx="323">
                  <c:v>0.4765327429606615</c:v>
                </c:pt>
                <c:pt idx="324">
                  <c:v>0.47385449900174642</c:v>
                </c:pt>
                <c:pt idx="325">
                  <c:v>0.47117576670069056</c:v>
                </c:pt>
                <c:pt idx="326">
                  <c:v>0.46850088021071035</c:v>
                </c:pt>
                <c:pt idx="327">
                  <c:v>0.4658439791610256</c:v>
                </c:pt>
                <c:pt idx="328">
                  <c:v>0.46319421182827447</c:v>
                </c:pt>
                <c:pt idx="329">
                  <c:v>0.46057058959142727</c:v>
                </c:pt>
                <c:pt idx="330">
                  <c:v>0.45793333777678386</c:v>
                </c:pt>
                <c:pt idx="331">
                  <c:v>0.45533226109673403</c:v>
                </c:pt>
                <c:pt idx="332">
                  <c:v>0.45277668462186604</c:v>
                </c:pt>
                <c:pt idx="333">
                  <c:v>0.45018137490768118</c:v>
                </c:pt>
                <c:pt idx="334">
                  <c:v>0.44754264837913982</c:v>
                </c:pt>
                <c:pt idx="335">
                  <c:v>0.44499993815568156</c:v>
                </c:pt>
                <c:pt idx="336">
                  <c:v>0.44249345675643986</c:v>
                </c:pt>
                <c:pt idx="337">
                  <c:v>0.44001559017578418</c:v>
                </c:pt>
                <c:pt idx="338">
                  <c:v>0.43751552643730163</c:v>
                </c:pt>
                <c:pt idx="339">
                  <c:v>0.43507826380159625</c:v>
                </c:pt>
                <c:pt idx="340">
                  <c:v>0.43263674918114187</c:v>
                </c:pt>
                <c:pt idx="341">
                  <c:v>0.43024205599747428</c:v>
                </c:pt>
                <c:pt idx="342">
                  <c:v>0.42780025483783313</c:v>
                </c:pt>
                <c:pt idx="343">
                  <c:v>0.42547669748741151</c:v>
                </c:pt>
                <c:pt idx="344">
                  <c:v>0.42309720196869616</c:v>
                </c:pt>
                <c:pt idx="345">
                  <c:v>0.42075629703404965</c:v>
                </c:pt>
                <c:pt idx="346">
                  <c:v>0.41851437825768256</c:v>
                </c:pt>
                <c:pt idx="347">
                  <c:v>0.41626761224204473</c:v>
                </c:pt>
                <c:pt idx="348">
                  <c:v>0.41402307901444557</c:v>
                </c:pt>
                <c:pt idx="349">
                  <c:v>0.4117616103288404</c:v>
                </c:pt>
                <c:pt idx="350">
                  <c:v>0.4096053456435011</c:v>
                </c:pt>
                <c:pt idx="351">
                  <c:v>0.40744293783812557</c:v>
                </c:pt>
                <c:pt idx="352">
                  <c:v>0.40526109165786911</c:v>
                </c:pt>
                <c:pt idx="353">
                  <c:v>0.40321117561222525</c:v>
                </c:pt>
                <c:pt idx="354">
                  <c:v>0.40109687438647684</c:v>
                </c:pt>
                <c:pt idx="355">
                  <c:v>0.39902601717004693</c:v>
                </c:pt>
                <c:pt idx="356">
                  <c:v>0.39700824440170368</c:v>
                </c:pt>
                <c:pt idx="357">
                  <c:v>0.39497135579305637</c:v>
                </c:pt>
                <c:pt idx="358">
                  <c:v>0.39300477958223345</c:v>
                </c:pt>
                <c:pt idx="359">
                  <c:v>0.39106820945154558</c:v>
                </c:pt>
                <c:pt idx="360">
                  <c:v>0.38914375636858545</c:v>
                </c:pt>
                <c:pt idx="361">
                  <c:v>0.38720547478018813</c:v>
                </c:pt>
                <c:pt idx="362">
                  <c:v>0.38530664301175477</c:v>
                </c:pt>
                <c:pt idx="363">
                  <c:v>0.38346656527305029</c:v>
                </c:pt>
                <c:pt idx="364">
                  <c:v>0.38160686292650114</c:v>
                </c:pt>
                <c:pt idx="365">
                  <c:v>0.37978326043235605</c:v>
                </c:pt>
                <c:pt idx="366">
                  <c:v>0.37798282676150652</c:v>
                </c:pt>
                <c:pt idx="367">
                  <c:v>0.37620606612954793</c:v>
                </c:pt>
                <c:pt idx="368">
                  <c:v>0.37442264973502248</c:v>
                </c:pt>
                <c:pt idx="369">
                  <c:v>0.37274291033783952</c:v>
                </c:pt>
                <c:pt idx="370">
                  <c:v>0.37095794394722587</c:v>
                </c:pt>
                <c:pt idx="371">
                  <c:v>0.36929711671992677</c:v>
                </c:pt>
                <c:pt idx="372">
                  <c:v>0.36760243001484028</c:v>
                </c:pt>
                <c:pt idx="373">
                  <c:v>0.36599403420640247</c:v>
                </c:pt>
                <c:pt idx="374">
                  <c:v>0.36432554161818104</c:v>
                </c:pt>
                <c:pt idx="375">
                  <c:v>0.36270491099499302</c:v>
                </c:pt>
                <c:pt idx="376">
                  <c:v>0.36110864962505312</c:v>
                </c:pt>
                <c:pt idx="377">
                  <c:v>0.359516656580183</c:v>
                </c:pt>
                <c:pt idx="378">
                  <c:v>0.35801749814661937</c:v>
                </c:pt>
                <c:pt idx="379">
                  <c:v>0.35642506566385274</c:v>
                </c:pt>
                <c:pt idx="380">
                  <c:v>0.35491496155008601</c:v>
                </c:pt>
                <c:pt idx="381">
                  <c:v>0.35338665315245005</c:v>
                </c:pt>
                <c:pt idx="382">
                  <c:v>0.35197088345795163</c:v>
                </c:pt>
                <c:pt idx="383">
                  <c:v>0.35049236926821331</c:v>
                </c:pt>
                <c:pt idx="384">
                  <c:v>0.34909602004427359</c:v>
                </c:pt>
                <c:pt idx="385">
                  <c:v>0.34768886520001768</c:v>
                </c:pt>
                <c:pt idx="386">
                  <c:v>0.34629279259435636</c:v>
                </c:pt>
                <c:pt idx="387">
                  <c:v>0.34491591052760429</c:v>
                </c:pt>
                <c:pt idx="388">
                  <c:v>0.34355868003022527</c:v>
                </c:pt>
                <c:pt idx="389">
                  <c:v>0.34224677641391821</c:v>
                </c:pt>
                <c:pt idx="390">
                  <c:v>0.34092685903771741</c:v>
                </c:pt>
                <c:pt idx="391">
                  <c:v>0.33968237558255859</c:v>
                </c:pt>
                <c:pt idx="392">
                  <c:v>0.33840616039273502</c:v>
                </c:pt>
                <c:pt idx="393">
                  <c:v>0.33709321799892911</c:v>
                </c:pt>
                <c:pt idx="394">
                  <c:v>0.33592717625089435</c:v>
                </c:pt>
                <c:pt idx="395">
                  <c:v>0.33468517185574326</c:v>
                </c:pt>
                <c:pt idx="396">
                  <c:v>0.33356543273932893</c:v>
                </c:pt>
                <c:pt idx="397">
                  <c:v>0.33242961241350522</c:v>
                </c:pt>
                <c:pt idx="398">
                  <c:v>0.33127612470004825</c:v>
                </c:pt>
                <c:pt idx="399">
                  <c:v>0.33008835382764323</c:v>
                </c:pt>
                <c:pt idx="400">
                  <c:v>0.32904558812386669</c:v>
                </c:pt>
                <c:pt idx="401">
                  <c:v>0.32790506178582562</c:v>
                </c:pt>
                <c:pt idx="402">
                  <c:v>0.32682932715171198</c:v>
                </c:pt>
                <c:pt idx="403">
                  <c:v>0.32578131853948306</c:v>
                </c:pt>
                <c:pt idx="404">
                  <c:v>0.32476622516796583</c:v>
                </c:pt>
                <c:pt idx="405">
                  <c:v>0.32370469260643842</c:v>
                </c:pt>
                <c:pt idx="406">
                  <c:v>0.32275639029374298</c:v>
                </c:pt>
                <c:pt idx="407">
                  <c:v>0.32177153935342084</c:v>
                </c:pt>
                <c:pt idx="408">
                  <c:v>0.32080416905421677</c:v>
                </c:pt>
                <c:pt idx="409">
                  <c:v>0.31981805874207336</c:v>
                </c:pt>
                <c:pt idx="410">
                  <c:v>0.31888863650220373</c:v>
                </c:pt>
                <c:pt idx="411">
                  <c:v>0.31798871787762323</c:v>
                </c:pt>
                <c:pt idx="412">
                  <c:v>0.31706041028102422</c:v>
                </c:pt>
                <c:pt idx="413">
                  <c:v>0.31612940303009562</c:v>
                </c:pt>
                <c:pt idx="414">
                  <c:v>0.31529290118821446</c:v>
                </c:pt>
                <c:pt idx="415">
                  <c:v>0.31442525352886408</c:v>
                </c:pt>
                <c:pt idx="416">
                  <c:v>0.31358104255734526</c:v>
                </c:pt>
                <c:pt idx="417">
                  <c:v>0.31272431139905454</c:v>
                </c:pt>
                <c:pt idx="418">
                  <c:v>0.31193222138031362</c:v>
                </c:pt>
                <c:pt idx="419">
                  <c:v>0.311117187217679</c:v>
                </c:pt>
                <c:pt idx="420">
                  <c:v>0.31025915700393275</c:v>
                </c:pt>
                <c:pt idx="421">
                  <c:v>0.30951474453804034</c:v>
                </c:pt>
                <c:pt idx="422">
                  <c:v>0.30874138169341542</c:v>
                </c:pt>
                <c:pt idx="423">
                  <c:v>0.30794957062728212</c:v>
                </c:pt>
                <c:pt idx="424">
                  <c:v>0.3072288026047203</c:v>
                </c:pt>
                <c:pt idx="425">
                  <c:v>0.30645066138360189</c:v>
                </c:pt>
                <c:pt idx="426">
                  <c:v>0.30570688385586631</c:v>
                </c:pt>
                <c:pt idx="427">
                  <c:v>0.30495942508742174</c:v>
                </c:pt>
                <c:pt idx="428">
                  <c:v>0.30426159770725641</c:v>
                </c:pt>
                <c:pt idx="429">
                  <c:v>0.30355983464425357</c:v>
                </c:pt>
                <c:pt idx="430">
                  <c:v>0.30288082547713058</c:v>
                </c:pt>
                <c:pt idx="431">
                  <c:v>0.30215622214798515</c:v>
                </c:pt>
                <c:pt idx="432">
                  <c:v>0.30151983553893974</c:v>
                </c:pt>
                <c:pt idx="433">
                  <c:v>0.30078014542558557</c:v>
                </c:pt>
                <c:pt idx="434">
                  <c:v>0.30013313877557579</c:v>
                </c:pt>
                <c:pt idx="435">
                  <c:v>0.2994972307044797</c:v>
                </c:pt>
                <c:pt idx="436">
                  <c:v>0.29883590759964324</c:v>
                </c:pt>
                <c:pt idx="437">
                  <c:v>0.29815969379444007</c:v>
                </c:pt>
                <c:pt idx="438">
                  <c:v>0.29753495433220145</c:v>
                </c:pt>
                <c:pt idx="439">
                  <c:v>0.29689218332662115</c:v>
                </c:pt>
                <c:pt idx="440">
                  <c:v>0.29622808703601305</c:v>
                </c:pt>
                <c:pt idx="441">
                  <c:v>0.29560926276968713</c:v>
                </c:pt>
                <c:pt idx="442">
                  <c:v>0.29495647398065761</c:v>
                </c:pt>
                <c:pt idx="443">
                  <c:v>0.29430976262357739</c:v>
                </c:pt>
                <c:pt idx="444">
                  <c:v>0.29369912719200342</c:v>
                </c:pt>
                <c:pt idx="445">
                  <c:v>0.29307230550610464</c:v>
                </c:pt>
                <c:pt idx="446">
                  <c:v>0.29241670968349859</c:v>
                </c:pt>
                <c:pt idx="447">
                  <c:v>0.29185894335793477</c:v>
                </c:pt>
                <c:pt idx="448">
                  <c:v>0.29121247126982847</c:v>
                </c:pt>
                <c:pt idx="449">
                  <c:v>0.29061661682504208</c:v>
                </c:pt>
                <c:pt idx="450">
                  <c:v>0.28994262647055191</c:v>
                </c:pt>
                <c:pt idx="451">
                  <c:v>0.28933942938616669</c:v>
                </c:pt>
                <c:pt idx="452">
                  <c:v>0.28868659507767402</c:v>
                </c:pt>
                <c:pt idx="453">
                  <c:v>0.28807813524301834</c:v>
                </c:pt>
                <c:pt idx="454">
                  <c:v>0.28745375876932144</c:v>
                </c:pt>
                <c:pt idx="455">
                  <c:v>0.28684740450164009</c:v>
                </c:pt>
                <c:pt idx="456">
                  <c:v>0.28616944695083829</c:v>
                </c:pt>
                <c:pt idx="457">
                  <c:v>0.28554267195156896</c:v>
                </c:pt>
                <c:pt idx="458">
                  <c:v>0.28490646812067721</c:v>
                </c:pt>
                <c:pt idx="459">
                  <c:v>0.2842834763724007</c:v>
                </c:pt>
                <c:pt idx="460">
                  <c:v>0.28363599468593986</c:v>
                </c:pt>
                <c:pt idx="461">
                  <c:v>0.28299355865692322</c:v>
                </c:pt>
                <c:pt idx="462">
                  <c:v>0.28232139328276679</c:v>
                </c:pt>
                <c:pt idx="463">
                  <c:v>0.28168062793477494</c:v>
                </c:pt>
                <c:pt idx="464">
                  <c:v>0.28102402564181672</c:v>
                </c:pt>
                <c:pt idx="465">
                  <c:v>0.28036795072102189</c:v>
                </c:pt>
                <c:pt idx="466">
                  <c:v>0.27966962005899432</c:v>
                </c:pt>
                <c:pt idx="467">
                  <c:v>0.27897013763782569</c:v>
                </c:pt>
                <c:pt idx="468">
                  <c:v>0.27835822976217389</c:v>
                </c:pt>
                <c:pt idx="469">
                  <c:v>0.27763225839807743</c:v>
                </c:pt>
                <c:pt idx="470">
                  <c:v>0.2769064329296968</c:v>
                </c:pt>
                <c:pt idx="471">
                  <c:v>0.27622571549881364</c:v>
                </c:pt>
                <c:pt idx="472">
                  <c:v>0.27554520243864922</c:v>
                </c:pt>
                <c:pt idx="473">
                  <c:v>0.27481418611740743</c:v>
                </c:pt>
                <c:pt idx="474">
                  <c:v>0.27409339942019356</c:v>
                </c:pt>
                <c:pt idx="475">
                  <c:v>0.27341554341281055</c:v>
                </c:pt>
                <c:pt idx="476">
                  <c:v>0.27263985032180793</c:v>
                </c:pt>
                <c:pt idx="477">
                  <c:v>0.27194745201302906</c:v>
                </c:pt>
                <c:pt idx="478">
                  <c:v>0.27115699252481068</c:v>
                </c:pt>
                <c:pt idx="479">
                  <c:v>0.27045759472315722</c:v>
                </c:pt>
                <c:pt idx="480">
                  <c:v>0.26970503719122746</c:v>
                </c:pt>
                <c:pt idx="481">
                  <c:v>0.26899308809783634</c:v>
                </c:pt>
                <c:pt idx="482">
                  <c:v>0.26816500753176153</c:v>
                </c:pt>
                <c:pt idx="483">
                  <c:v>0.26744288618053769</c:v>
                </c:pt>
                <c:pt idx="484">
                  <c:v>0.2666550113808252</c:v>
                </c:pt>
                <c:pt idx="485">
                  <c:v>0.26586068040388466</c:v>
                </c:pt>
                <c:pt idx="486">
                  <c:v>0.2651218539931694</c:v>
                </c:pt>
                <c:pt idx="487">
                  <c:v>0.26430512627306241</c:v>
                </c:pt>
                <c:pt idx="488">
                  <c:v>0.26348792561740197</c:v>
                </c:pt>
                <c:pt idx="489">
                  <c:v>0.26270028086605479</c:v>
                </c:pt>
                <c:pt idx="490">
                  <c:v>0.2618945011604823</c:v>
                </c:pt>
                <c:pt idx="491">
                  <c:v>0.26108893061100852</c:v>
                </c:pt>
                <c:pt idx="492">
                  <c:v>0.26032336408330059</c:v>
                </c:pt>
                <c:pt idx="493">
                  <c:v>0.25951716781627954</c:v>
                </c:pt>
                <c:pt idx="494">
                  <c:v>0.25866007775452787</c:v>
                </c:pt>
                <c:pt idx="495">
                  <c:v>0.25787565204626017</c:v>
                </c:pt>
                <c:pt idx="496">
                  <c:v>0.25701050667351566</c:v>
                </c:pt>
                <c:pt idx="497">
                  <c:v>0.25619211364134703</c:v>
                </c:pt>
                <c:pt idx="498">
                  <c:v>0.25538278271732856</c:v>
                </c:pt>
                <c:pt idx="499">
                  <c:v>0.25454548701600527</c:v>
                </c:pt>
                <c:pt idx="500">
                  <c:v>0.25371476948407157</c:v>
                </c:pt>
                <c:pt idx="501">
                  <c:v>0.25286235110819361</c:v>
                </c:pt>
                <c:pt idx="502">
                  <c:v>0.25202056101347065</c:v>
                </c:pt>
                <c:pt idx="503">
                  <c:v>0.25116747124885042</c:v>
                </c:pt>
                <c:pt idx="504">
                  <c:v>0.25031148392527919</c:v>
                </c:pt>
                <c:pt idx="505">
                  <c:v>0.24945954631663655</c:v>
                </c:pt>
                <c:pt idx="506">
                  <c:v>0.24859639843132017</c:v>
                </c:pt>
                <c:pt idx="507">
                  <c:v>0.24773169459737082</c:v>
                </c:pt>
                <c:pt idx="508">
                  <c:v>0.2468642949607382</c:v>
                </c:pt>
                <c:pt idx="509">
                  <c:v>0.2460016525748987</c:v>
                </c:pt>
                <c:pt idx="510">
                  <c:v>0.24512576554252063</c:v>
                </c:pt>
                <c:pt idx="511">
                  <c:v>0.24425194124213456</c:v>
                </c:pt>
                <c:pt idx="512">
                  <c:v>0.24337256053258094</c:v>
                </c:pt>
                <c:pt idx="513">
                  <c:v>0.2424969545537102</c:v>
                </c:pt>
                <c:pt idx="514">
                  <c:v>0.2416096008183477</c:v>
                </c:pt>
                <c:pt idx="515">
                  <c:v>0.24072290618147213</c:v>
                </c:pt>
                <c:pt idx="516">
                  <c:v>0.23983543467908758</c:v>
                </c:pt>
                <c:pt idx="517">
                  <c:v>0.23894742371270322</c:v>
                </c:pt>
                <c:pt idx="518">
                  <c:v>0.23804968827161774</c:v>
                </c:pt>
                <c:pt idx="519">
                  <c:v>0.23715407139973277</c:v>
                </c:pt>
                <c:pt idx="520">
                  <c:v>0.23625218603086912</c:v>
                </c:pt>
                <c:pt idx="521">
                  <c:v>0.23534300403207972</c:v>
                </c:pt>
                <c:pt idx="522">
                  <c:v>0.23444084150804212</c:v>
                </c:pt>
                <c:pt idx="523">
                  <c:v>0.23353144204293408</c:v>
                </c:pt>
                <c:pt idx="524">
                  <c:v>0.23262111528799798</c:v>
                </c:pt>
                <c:pt idx="525">
                  <c:v>0.23170815388402682</c:v>
                </c:pt>
                <c:pt idx="526">
                  <c:v>0.23079148721907683</c:v>
                </c:pt>
                <c:pt idx="527">
                  <c:v>0.22986955646745175</c:v>
                </c:pt>
                <c:pt idx="528">
                  <c:v>0.22894717148410418</c:v>
                </c:pt>
                <c:pt idx="529">
                  <c:v>0.22802742658294817</c:v>
                </c:pt>
                <c:pt idx="530">
                  <c:v>0.22709925421417099</c:v>
                </c:pt>
                <c:pt idx="531">
                  <c:v>0.22616907540580472</c:v>
                </c:pt>
                <c:pt idx="532">
                  <c:v>0.22523513144918611</c:v>
                </c:pt>
                <c:pt idx="533">
                  <c:v>0.22430120336602141</c:v>
                </c:pt>
                <c:pt idx="534">
                  <c:v>0.2233647550218989</c:v>
                </c:pt>
                <c:pt idx="535">
                  <c:v>0.22241480758910873</c:v>
                </c:pt>
                <c:pt idx="536">
                  <c:v>0.22147227790303203</c:v>
                </c:pt>
                <c:pt idx="537">
                  <c:v>0.22052936060121689</c:v>
                </c:pt>
                <c:pt idx="538">
                  <c:v>0.21956810035624366</c:v>
                </c:pt>
                <c:pt idx="539">
                  <c:v>0.21862682834959779</c:v>
                </c:pt>
                <c:pt idx="540">
                  <c:v>0.21766139822998423</c:v>
                </c:pt>
                <c:pt idx="541">
                  <c:v>0.21672206838711092</c:v>
                </c:pt>
                <c:pt idx="542">
                  <c:v>0.21576050234471683</c:v>
                </c:pt>
                <c:pt idx="543">
                  <c:v>0.21478385239517792</c:v>
                </c:pt>
                <c:pt idx="544">
                  <c:v>0.21382138049795424</c:v>
                </c:pt>
                <c:pt idx="545">
                  <c:v>0.21284237648602153</c:v>
                </c:pt>
                <c:pt idx="546">
                  <c:v>0.21187388797201923</c:v>
                </c:pt>
                <c:pt idx="547">
                  <c:v>0.21091702794184292</c:v>
                </c:pt>
                <c:pt idx="548">
                  <c:v>0.2099115428536793</c:v>
                </c:pt>
                <c:pt idx="549">
                  <c:v>0.2089418801242674</c:v>
                </c:pt>
                <c:pt idx="550">
                  <c:v>0.20796236400669951</c:v>
                </c:pt>
                <c:pt idx="551">
                  <c:v>0.20697942132398553</c:v>
                </c:pt>
                <c:pt idx="552">
                  <c:v>0.20598292953955241</c:v>
                </c:pt>
                <c:pt idx="553">
                  <c:v>0.20499246371505975</c:v>
                </c:pt>
                <c:pt idx="554">
                  <c:v>0.2039831467634507</c:v>
                </c:pt>
                <c:pt idx="555">
                  <c:v>0.20297906758476544</c:v>
                </c:pt>
                <c:pt idx="556">
                  <c:v>0.20197437681123856</c:v>
                </c:pt>
                <c:pt idx="557">
                  <c:v>0.20097988274766651</c:v>
                </c:pt>
                <c:pt idx="558">
                  <c:v>0.19996066694679632</c:v>
                </c:pt>
                <c:pt idx="559">
                  <c:v>0.1989731286073842</c:v>
                </c:pt>
                <c:pt idx="560">
                  <c:v>0.19795693144723803</c:v>
                </c:pt>
                <c:pt idx="561">
                  <c:v>0.19694038728872068</c:v>
                </c:pt>
                <c:pt idx="562">
                  <c:v>0.19590043001912033</c:v>
                </c:pt>
                <c:pt idx="563">
                  <c:v>0.19488505454364721</c:v>
                </c:pt>
                <c:pt idx="564">
                  <c:v>0.19384828095200463</c:v>
                </c:pt>
                <c:pt idx="565">
                  <c:v>0.19283478321275563</c:v>
                </c:pt>
                <c:pt idx="566">
                  <c:v>0.19178677074887895</c:v>
                </c:pt>
                <c:pt idx="567">
                  <c:v>0.19077468563031144</c:v>
                </c:pt>
                <c:pt idx="568">
                  <c:v>0.18971779115195642</c:v>
                </c:pt>
                <c:pt idx="569">
                  <c:v>0.18869307706677202</c:v>
                </c:pt>
                <c:pt idx="570">
                  <c:v>0.18765676987455462</c:v>
                </c:pt>
                <c:pt idx="571">
                  <c:v>0.18661141177897794</c:v>
                </c:pt>
                <c:pt idx="572">
                  <c:v>0.18557177711398484</c:v>
                </c:pt>
                <c:pt idx="573">
                  <c:v>0.18450775691378182</c:v>
                </c:pt>
                <c:pt idx="574">
                  <c:v>0.18347540343711188</c:v>
                </c:pt>
                <c:pt idx="575">
                  <c:v>0.18242086815084432</c:v>
                </c:pt>
                <c:pt idx="576">
                  <c:v>0.1813545106429113</c:v>
                </c:pt>
                <c:pt idx="577">
                  <c:v>0.18031435016975736</c:v>
                </c:pt>
                <c:pt idx="578">
                  <c:v>0.17925587301467455</c:v>
                </c:pt>
                <c:pt idx="579">
                  <c:v>0.17820941113046837</c:v>
                </c:pt>
                <c:pt idx="580">
                  <c:v>0.17713569405903351</c:v>
                </c:pt>
                <c:pt idx="581">
                  <c:v>0.17608327671169699</c:v>
                </c:pt>
                <c:pt idx="582">
                  <c:v>0.1750515671020014</c:v>
                </c:pt>
                <c:pt idx="583">
                  <c:v>0.17398770487767976</c:v>
                </c:pt>
                <c:pt idx="584">
                  <c:v>0.17290315265663636</c:v>
                </c:pt>
                <c:pt idx="585">
                  <c:v>0.17186345834947439</c:v>
                </c:pt>
                <c:pt idx="586">
                  <c:v>0.1707884813226356</c:v>
                </c:pt>
                <c:pt idx="587">
                  <c:v>0.16973082433491002</c:v>
                </c:pt>
                <c:pt idx="588">
                  <c:v>0.16866669926486627</c:v>
                </c:pt>
                <c:pt idx="589">
                  <c:v>0.16761407626292829</c:v>
                </c:pt>
                <c:pt idx="590">
                  <c:v>0.16655646047615311</c:v>
                </c:pt>
                <c:pt idx="591">
                  <c:v>0.16550628490403166</c:v>
                </c:pt>
                <c:pt idx="592">
                  <c:v>0.16442784081139578</c:v>
                </c:pt>
                <c:pt idx="593">
                  <c:v>0.16337726793606028</c:v>
                </c:pt>
                <c:pt idx="594">
                  <c:v>0.16232007022804903</c:v>
                </c:pt>
                <c:pt idx="595">
                  <c:v>0.16126317038073165</c:v>
                </c:pt>
                <c:pt idx="596">
                  <c:v>0.16020035382018624</c:v>
                </c:pt>
                <c:pt idx="597">
                  <c:v>0.15913966465261434</c:v>
                </c:pt>
                <c:pt idx="598">
                  <c:v>0.15809879360896487</c:v>
                </c:pt>
                <c:pt idx="599">
                  <c:v>0.15706237565271994</c:v>
                </c:pt>
                <c:pt idx="600">
                  <c:v>0.1560045480253649</c:v>
                </c:pt>
                <c:pt idx="601">
                  <c:v>0.15495293672268073</c:v>
                </c:pt>
                <c:pt idx="602">
                  <c:v>0.15387480006149792</c:v>
                </c:pt>
                <c:pt idx="603">
                  <c:v>0.15283770970107663</c:v>
                </c:pt>
                <c:pt idx="604">
                  <c:v>0.15180775492505405</c:v>
                </c:pt>
                <c:pt idx="605">
                  <c:v>0.15075114908678366</c:v>
                </c:pt>
                <c:pt idx="606">
                  <c:v>0.14972845198069487</c:v>
                </c:pt>
                <c:pt idx="607">
                  <c:v>0.14866946092254144</c:v>
                </c:pt>
                <c:pt idx="608">
                  <c:v>0.14763742485659162</c:v>
                </c:pt>
                <c:pt idx="609">
                  <c:v>0.14661153636925087</c:v>
                </c:pt>
                <c:pt idx="610">
                  <c:v>0.14557145818128078</c:v>
                </c:pt>
                <c:pt idx="611">
                  <c:v>0.14453328679196184</c:v>
                </c:pt>
                <c:pt idx="612">
                  <c:v>0.14350826574219064</c:v>
                </c:pt>
                <c:pt idx="613">
                  <c:v>0.14248310626656402</c:v>
                </c:pt>
                <c:pt idx="614">
                  <c:v>0.14146345044421418</c:v>
                </c:pt>
                <c:pt idx="615">
                  <c:v>0.14044152448452216</c:v>
                </c:pt>
                <c:pt idx="616">
                  <c:v>0.13942067686924683</c:v>
                </c:pt>
                <c:pt idx="617">
                  <c:v>0.13840130922011551</c:v>
                </c:pt>
                <c:pt idx="618">
                  <c:v>0.13738401258985294</c:v>
                </c:pt>
                <c:pt idx="619">
                  <c:v>0.13638268617153879</c:v>
                </c:pt>
                <c:pt idx="620">
                  <c:v>0.13536799185398465</c:v>
                </c:pt>
              </c:numCache>
            </c:numRef>
          </c:yVal>
          <c:smooth val="0"/>
          <c:extLst>
            <c:ext xmlns:c16="http://schemas.microsoft.com/office/drawing/2014/chart" uri="{C3380CC4-5D6E-409C-BE32-E72D297353CC}">
              <c16:uniqueId val="{00000000-6CAD-4520-968E-BC9889375C47}"/>
            </c:ext>
          </c:extLst>
        </c:ser>
        <c:dLbls>
          <c:showLegendKey val="0"/>
          <c:showVal val="0"/>
          <c:showCatName val="0"/>
          <c:showSerName val="0"/>
          <c:showPercent val="0"/>
          <c:showBubbleSize val="0"/>
        </c:dLbls>
        <c:axId val="666681360"/>
        <c:axId val="666681752"/>
        <c:extLst>
          <c:ext xmlns:c15="http://schemas.microsoft.com/office/drawing/2012/chart" uri="{02D57815-91ED-43cb-92C2-25804820EDAC}">
            <c15:filteredScatterSeries>
              <c15:ser>
                <c:idx val="1"/>
                <c:order val="1"/>
                <c:tx>
                  <c:strRef>
                    <c:extLst>
                      <c:ext uri="{02D57815-91ED-43cb-92C2-25804820EDAC}">
                        <c15:formulaRef>
                          <c15:sqref>'Demonstration Calculations'!#REF!</c15:sqref>
                        </c15:formulaRef>
                      </c:ext>
                    </c:extLst>
                    <c:strCache>
                      <c:ptCount val="1"/>
                      <c:pt idx="0">
                        <c:v>#REF!</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Pt>
                  <c:idx val="6"/>
                  <c:marker>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hade val="95000"/>
                          </a:schemeClr>
                        </a:solidFill>
                        <a:round/>
                      </a:ln>
                      <a:effectLst/>
                    </c:spPr>
                  </c:marker>
                  <c:bubble3D val="0"/>
                  <c:spPr>
                    <a:ln w="6350" cap="flat" cmpd="sng" algn="ctr">
                      <a:solidFill>
                        <a:schemeClr val="tx1"/>
                      </a:solidFill>
                      <a:prstDash val="sysDot"/>
                      <a:round/>
                    </a:ln>
                    <a:effectLst/>
                  </c:spPr>
                  <c:extLst>
                    <c:ext xmlns:c16="http://schemas.microsoft.com/office/drawing/2014/chart" uri="{C3380CC4-5D6E-409C-BE32-E72D297353CC}">
                      <c16:uniqueId val="{00000000-C7E9-4CF9-BF39-A593C22EC5CB}"/>
                    </c:ext>
                  </c:extLst>
                </c:dPt>
                <c:xVal>
                  <c:numRef>
                    <c:extLst>
                      <c:ext uri="{02D57815-91ED-43cb-92C2-25804820EDAC}">
                        <c15:formulaRef>
                          <c15:sqref>'Demonstration Calculations'!$B$10:$B$19</c15:sqref>
                        </c15:formulaRef>
                      </c:ext>
                    </c:extLst>
                    <c:numCache>
                      <c:formatCode>General</c:formatCode>
                      <c:ptCount val="10"/>
                      <c:pt idx="0">
                        <c:v>415</c:v>
                      </c:pt>
                      <c:pt idx="1">
                        <c:v>445</c:v>
                      </c:pt>
                      <c:pt idx="2">
                        <c:v>480</c:v>
                      </c:pt>
                      <c:pt idx="3">
                        <c:v>515</c:v>
                      </c:pt>
                      <c:pt idx="4">
                        <c:v>555</c:v>
                      </c:pt>
                      <c:pt idx="5">
                        <c:v>590</c:v>
                      </c:pt>
                      <c:pt idx="6">
                        <c:v>630</c:v>
                      </c:pt>
                      <c:pt idx="7">
                        <c:v>680</c:v>
                      </c:pt>
                      <c:pt idx="8">
                        <c:v>750</c:v>
                      </c:pt>
                      <c:pt idx="9">
                        <c:v>900</c:v>
                      </c:pt>
                    </c:numCache>
                  </c:numRef>
                </c:xVal>
                <c:yVal>
                  <c:numRef>
                    <c:extLst>
                      <c:ext uri="{02D57815-91ED-43cb-92C2-25804820EDAC}">
                        <c15:formulaRef>
                          <c15:sqref>'Demonstration Calculations'!$H$10:$H$19</c15:sqref>
                        </c15:formulaRef>
                      </c:ext>
                    </c:extLst>
                    <c:numCache>
                      <c:formatCode>0.000000</c:formatCode>
                      <c:ptCount val="10"/>
                      <c:pt idx="0">
                        <c:v>1.1057181599639414E-2</c:v>
                      </c:pt>
                      <c:pt idx="1">
                        <c:v>1.9664075284274933E-2</c:v>
                      </c:pt>
                      <c:pt idx="2">
                        <c:v>2.8301854951032355E-2</c:v>
                      </c:pt>
                      <c:pt idx="3">
                        <c:v>3.2492053192236491E-2</c:v>
                      </c:pt>
                      <c:pt idx="4">
                        <c:v>3.4777615869256921E-2</c:v>
                      </c:pt>
                      <c:pt idx="5">
                        <c:v>3.4015761643583442E-2</c:v>
                      </c:pt>
                      <c:pt idx="6">
                        <c:v>3.965760104451678E-2</c:v>
                      </c:pt>
                      <c:pt idx="7">
                        <c:v>4.3168307679039168E-2</c:v>
                      </c:pt>
                      <c:pt idx="8">
                        <c:v>0.12773412672879536</c:v>
                      </c:pt>
                      <c:pt idx="9">
                        <c:v>5.180608734579658E-2</c:v>
                      </c:pt>
                    </c:numCache>
                  </c:numRef>
                </c:yVal>
                <c:smooth val="0"/>
                <c:extLst>
                  <c:ext xmlns:c16="http://schemas.microsoft.com/office/drawing/2014/chart" uri="{C3380CC4-5D6E-409C-BE32-E72D297353CC}">
                    <c16:uniqueId val="{00000002-6CAD-4520-968E-BC9889375C47}"/>
                  </c:ext>
                </c:extLst>
              </c15:ser>
            </c15:filteredScatterSeries>
          </c:ext>
        </c:extLst>
      </c:scatterChart>
      <c:valAx>
        <c:axId val="666681360"/>
        <c:scaling>
          <c:orientation val="minMax"/>
          <c:max val="1000"/>
          <c:min val="400"/>
        </c:scaling>
        <c:delete val="0"/>
        <c:axPos val="b"/>
        <c:majorGridlines>
          <c:spPr>
            <a:ln w="9525" cap="flat" cmpd="sng" algn="ctr">
              <a:solidFill>
                <a:schemeClr val="dk1">
                  <a:lumMod val="15000"/>
                  <a:lumOff val="85000"/>
                </a:schemeClr>
              </a:solidFill>
              <a:round/>
            </a:ln>
            <a:effectLst/>
          </c:spPr>
        </c:majorGridlines>
        <c:title>
          <c:tx>
            <c:rich>
              <a:bodyPr/>
              <a:lstStyle/>
              <a:p>
                <a:pPr>
                  <a:defRPr/>
                </a:pPr>
                <a:r>
                  <a:rPr lang="en-US"/>
                  <a:t>Wavelength</a:t>
                </a:r>
              </a:p>
            </c:rich>
          </c:tx>
          <c:overlay val="0"/>
        </c:title>
        <c:numFmt formatCode="0" sourceLinked="1"/>
        <c:majorTickMark val="none"/>
        <c:minorTickMark val="none"/>
        <c:tickLblPos val="nextTo"/>
        <c:spPr>
          <a:noFill/>
          <a:ln w="9525" cap="rnd">
            <a:solidFill>
              <a:schemeClr val="dk1">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pt-BR"/>
          </a:p>
        </c:txPr>
        <c:crossAx val="666681752"/>
        <c:crosses val="autoZero"/>
        <c:crossBetween val="midCat"/>
      </c:valAx>
      <c:valAx>
        <c:axId val="666681752"/>
        <c:scaling>
          <c:orientation val="minMax"/>
        </c:scaling>
        <c:delete val="0"/>
        <c:axPos val="l"/>
        <c:majorGridlines>
          <c:spPr>
            <a:ln w="9525" cap="flat" cmpd="sng" algn="ctr">
              <a:solidFill>
                <a:schemeClr val="dk1">
                  <a:lumMod val="15000"/>
                  <a:lumOff val="85000"/>
                </a:schemeClr>
              </a:solidFill>
              <a:round/>
            </a:ln>
            <a:effectLst/>
          </c:spPr>
        </c:majorGridlines>
        <c:title>
          <c:tx>
            <c:rich>
              <a:bodyPr/>
              <a:lstStyle/>
              <a:p>
                <a:pPr>
                  <a:defRPr/>
                </a:pPr>
                <a:r>
                  <a:rPr lang="en-US"/>
                  <a:t>Sensitivity</a:t>
                </a:r>
              </a:p>
            </c:rich>
          </c:tx>
          <c:overlay val="0"/>
        </c:title>
        <c:numFmt formatCode="0.00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pt-BR"/>
          </a:p>
        </c:txPr>
        <c:crossAx val="666681360"/>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r"/>
      <c:layout>
        <c:manualLayout>
          <c:xMode val="edge"/>
          <c:yMode val="edge"/>
          <c:x val="9.1489088339482036E-2"/>
          <c:y val="0.83610765759543215"/>
          <c:w val="0.81076849659526828"/>
          <c:h val="0.13142615350651263"/>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pt-BR"/>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XYZ Matched</a:t>
            </a:r>
            <a:r>
              <a:rPr lang="en-US" baseline="0"/>
              <a:t> Spectum</a:t>
            </a:r>
            <a:endParaRPr lang="en-US"/>
          </a:p>
        </c:rich>
      </c:tx>
      <c:layout>
        <c:manualLayout>
          <c:xMode val="edge"/>
          <c:yMode val="edge"/>
          <c:x val="0.18062991675806153"/>
          <c:y val="2.29859914732055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'Demonstration Calculations'!$S$9</c:f>
              <c:strCache>
                <c:ptCount val="1"/>
                <c:pt idx="0">
                  <c:v>X</c:v>
                </c:pt>
              </c:strCache>
            </c:strRef>
          </c:tx>
          <c:spPr>
            <a:ln w="25400" cap="rnd">
              <a:noFill/>
              <a:round/>
            </a:ln>
            <a:effectLst/>
          </c:spPr>
          <c:marker>
            <c:symbol val="circle"/>
            <c:size val="5"/>
            <c:spPr>
              <a:solidFill>
                <a:schemeClr val="accent1"/>
              </a:solidFill>
              <a:ln w="9525">
                <a:solidFill>
                  <a:schemeClr val="accent1"/>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Calculations'!$S$10:$S$410</c:f>
              <c:numCache>
                <c:formatCode>0.000000</c:formatCode>
                <c:ptCount val="401"/>
                <c:pt idx="0">
                  <c:v>1.1620985176729724E-6</c:v>
                </c:pt>
                <c:pt idx="1">
                  <c:v>1.2890235599480178E-6</c:v>
                </c:pt>
                <c:pt idx="2">
                  <c:v>1.4235981799621378E-6</c:v>
                </c:pt>
                <c:pt idx="3">
                  <c:v>1.5780913177789971E-6</c:v>
                </c:pt>
                <c:pt idx="4">
                  <c:v>1.7650354213776328E-6</c:v>
                </c:pt>
                <c:pt idx="5">
                  <c:v>1.9974295803011065E-6</c:v>
                </c:pt>
                <c:pt idx="6">
                  <c:v>2.2877208713145602E-6</c:v>
                </c:pt>
                <c:pt idx="7">
                  <c:v>2.636287862890641E-6</c:v>
                </c:pt>
                <c:pt idx="8">
                  <c:v>3.0389437882601279E-6</c:v>
                </c:pt>
                <c:pt idx="9">
                  <c:v>3.4902145452764455E-6</c:v>
                </c:pt>
                <c:pt idx="10">
                  <c:v>3.9855969636203319E-6</c:v>
                </c:pt>
                <c:pt idx="11">
                  <c:v>4.5187427601746605E-6</c:v>
                </c:pt>
                <c:pt idx="12">
                  <c:v>5.1084636145847312E-6</c:v>
                </c:pt>
                <c:pt idx="13">
                  <c:v>5.7881220442822369E-6</c:v>
                </c:pt>
                <c:pt idx="14">
                  <c:v>6.5918881776260405E-6</c:v>
                </c:pt>
                <c:pt idx="15">
                  <c:v>7.5562621418533389E-6</c:v>
                </c:pt>
                <c:pt idx="16">
                  <c:v>8.7319535203036693E-6</c:v>
                </c:pt>
                <c:pt idx="17">
                  <c:v>1.0107291226104935E-5</c:v>
                </c:pt>
                <c:pt idx="18">
                  <c:v>1.1628524660384993E-5</c:v>
                </c:pt>
                <c:pt idx="19">
                  <c:v>1.3234868700986102E-5</c:v>
                </c:pt>
                <c:pt idx="20">
                  <c:v>1.4868085952323591E-5</c:v>
                </c:pt>
                <c:pt idx="21">
                  <c:v>1.6483050805569974E-5</c:v>
                </c:pt>
                <c:pt idx="22">
                  <c:v>1.8183984273546174E-5</c:v>
                </c:pt>
                <c:pt idx="23">
                  <c:v>2.0122675916338865E-5</c:v>
                </c:pt>
                <c:pt idx="24">
                  <c:v>2.2464066205497394E-5</c:v>
                </c:pt>
                <c:pt idx="25">
                  <c:v>2.5373559119423265E-5</c:v>
                </c:pt>
                <c:pt idx="26">
                  <c:v>2.898164182319623E-5</c:v>
                </c:pt>
                <c:pt idx="27">
                  <c:v>3.3293498288113822E-5</c:v>
                </c:pt>
                <c:pt idx="28">
                  <c:v>3.8289288108395674E-5</c:v>
                </c:pt>
                <c:pt idx="29">
                  <c:v>4.3956729351365595E-5</c:v>
                </c:pt>
                <c:pt idx="30">
                  <c:v>5.0276280484892566E-5</c:v>
                </c:pt>
                <c:pt idx="31">
                  <c:v>5.725668593682637E-5</c:v>
                </c:pt>
                <c:pt idx="32">
                  <c:v>6.5043822589973304E-5</c:v>
                </c:pt>
                <c:pt idx="33">
                  <c:v>7.380549128223629E-5</c:v>
                </c:pt>
                <c:pt idx="34">
                  <c:v>8.3737943656824558E-5</c:v>
                </c:pt>
                <c:pt idx="35">
                  <c:v>9.5037872767289339E-5</c:v>
                </c:pt>
                <c:pt idx="36">
                  <c:v>1.0772913006959181E-4</c:v>
                </c:pt>
                <c:pt idx="37">
                  <c:v>1.2183043068006163E-4</c:v>
                </c:pt>
                <c:pt idx="38">
                  <c:v>1.3755297395633636E-4</c:v>
                </c:pt>
                <c:pt idx="39">
                  <c:v>1.5508862604180596E-4</c:v>
                </c:pt>
                <c:pt idx="40">
                  <c:v>1.7465259305524857E-4</c:v>
                </c:pt>
                <c:pt idx="41">
                  <c:v>1.9646612590136378E-4</c:v>
                </c:pt>
                <c:pt idx="42">
                  <c:v>2.2018216934720014E-4</c:v>
                </c:pt>
                <c:pt idx="43">
                  <c:v>2.451853885042788E-4</c:v>
                </c:pt>
                <c:pt idx="44">
                  <c:v>2.7076903242257159E-4</c:v>
                </c:pt>
                <c:pt idx="45">
                  <c:v>2.9626611014366936E-4</c:v>
                </c:pt>
                <c:pt idx="46">
                  <c:v>3.2125932680335733E-4</c:v>
                </c:pt>
                <c:pt idx="47">
                  <c:v>3.4572324330536965E-4</c:v>
                </c:pt>
                <c:pt idx="48">
                  <c:v>3.6952627914132557E-4</c:v>
                </c:pt>
                <c:pt idx="49">
                  <c:v>3.9248954615100673E-4</c:v>
                </c:pt>
                <c:pt idx="50">
                  <c:v>4.1447531977415814E-4</c:v>
                </c:pt>
                <c:pt idx="51">
                  <c:v>4.3525307321649388E-4</c:v>
                </c:pt>
                <c:pt idx="52">
                  <c:v>4.5469906760903516E-4</c:v>
                </c:pt>
                <c:pt idx="53">
                  <c:v>4.7279854392022437E-4</c:v>
                </c:pt>
                <c:pt idx="54">
                  <c:v>4.8948332769872002E-4</c:v>
                </c:pt>
                <c:pt idx="55">
                  <c:v>5.0483886930864847E-4</c:v>
                </c:pt>
                <c:pt idx="56">
                  <c:v>5.1865128891797957E-4</c:v>
                </c:pt>
                <c:pt idx="57">
                  <c:v>5.3104837111250108E-4</c:v>
                </c:pt>
                <c:pt idx="58">
                  <c:v>5.4189485830755427E-4</c:v>
                </c:pt>
                <c:pt idx="59">
                  <c:v>5.512793297111926E-4</c:v>
                </c:pt>
                <c:pt idx="60">
                  <c:v>5.5923033000369513E-4</c:v>
                </c:pt>
                <c:pt idx="61">
                  <c:v>5.6573323710031997E-4</c:v>
                </c:pt>
                <c:pt idx="62">
                  <c:v>5.7079578174768202E-4</c:v>
                </c:pt>
                <c:pt idx="63">
                  <c:v>5.7461279145503406E-4</c:v>
                </c:pt>
                <c:pt idx="64">
                  <c:v>5.7721337553210067E-4</c:v>
                </c:pt>
                <c:pt idx="65">
                  <c:v>5.7886365083511518E-4</c:v>
                </c:pt>
                <c:pt idx="66">
                  <c:v>5.7947371013190873E-4</c:v>
                </c:pt>
                <c:pt idx="67">
                  <c:v>5.790993442126855E-4</c:v>
                </c:pt>
                <c:pt idx="68">
                  <c:v>5.7797454189990318E-4</c:v>
                </c:pt>
                <c:pt idx="69">
                  <c:v>5.7615676374024539E-4</c:v>
                </c:pt>
                <c:pt idx="70">
                  <c:v>5.7376218584294012E-4</c:v>
                </c:pt>
                <c:pt idx="71">
                  <c:v>5.7094572496465418E-4</c:v>
                </c:pt>
                <c:pt idx="72">
                  <c:v>5.6772102120766278E-4</c:v>
                </c:pt>
                <c:pt idx="73">
                  <c:v>5.6376849347296364E-4</c:v>
                </c:pt>
                <c:pt idx="74">
                  <c:v>5.5901717147329463E-4</c:v>
                </c:pt>
                <c:pt idx="75">
                  <c:v>5.5334669230933434E-4</c:v>
                </c:pt>
                <c:pt idx="76">
                  <c:v>5.4662883712904052E-4</c:v>
                </c:pt>
                <c:pt idx="77">
                  <c:v>5.388868206250212E-4</c:v>
                </c:pt>
                <c:pt idx="78">
                  <c:v>5.3019818710703587E-4</c:v>
                </c:pt>
                <c:pt idx="79">
                  <c:v>5.2058232599075068E-4</c:v>
                </c:pt>
                <c:pt idx="80">
                  <c:v>5.1006359311424072E-4</c:v>
                </c:pt>
                <c:pt idx="81">
                  <c:v>4.987523141378365E-4</c:v>
                </c:pt>
                <c:pt idx="82">
                  <c:v>4.8659179338114114E-4</c:v>
                </c:pt>
                <c:pt idx="83">
                  <c:v>4.7332365943913432E-4</c:v>
                </c:pt>
                <c:pt idx="84">
                  <c:v>4.5873523387247438E-4</c:v>
                </c:pt>
                <c:pt idx="85">
                  <c:v>4.4257786135108289E-4</c:v>
                </c:pt>
                <c:pt idx="86">
                  <c:v>4.2471003721781023E-4</c:v>
                </c:pt>
                <c:pt idx="87">
                  <c:v>4.0543588709812011E-4</c:v>
                </c:pt>
                <c:pt idx="88">
                  <c:v>3.8530494336358353E-4</c:v>
                </c:pt>
                <c:pt idx="89">
                  <c:v>3.6482965030514746E-4</c:v>
                </c:pt>
                <c:pt idx="90">
                  <c:v>3.4456713274299807E-4</c:v>
                </c:pt>
                <c:pt idx="91">
                  <c:v>3.2479217705910904E-4</c:v>
                </c:pt>
                <c:pt idx="92">
                  <c:v>3.0544256189247488E-4</c:v>
                </c:pt>
                <c:pt idx="93">
                  <c:v>2.8649676791249907E-4</c:v>
                </c:pt>
                <c:pt idx="94">
                  <c:v>2.6794793556985503E-4</c:v>
                </c:pt>
                <c:pt idx="95">
                  <c:v>2.4977271570329502E-4</c:v>
                </c:pt>
                <c:pt idx="96">
                  <c:v>2.3204804568923064E-4</c:v>
                </c:pt>
                <c:pt idx="97">
                  <c:v>2.1487646094472504E-4</c:v>
                </c:pt>
                <c:pt idx="98">
                  <c:v>1.9826550167848387E-4</c:v>
                </c:pt>
                <c:pt idx="99">
                  <c:v>1.8222547943804604E-4</c:v>
                </c:pt>
                <c:pt idx="100">
                  <c:v>1.6676834554210984E-4</c:v>
                </c:pt>
                <c:pt idx="101">
                  <c:v>1.5189131981956054E-4</c:v>
                </c:pt>
                <c:pt idx="102">
                  <c:v>1.3766326339145253E-4</c:v>
                </c:pt>
                <c:pt idx="103">
                  <c:v>1.241720359375464E-4</c:v>
                </c:pt>
                <c:pt idx="104">
                  <c:v>1.1151013458744284E-4</c:v>
                </c:pt>
                <c:pt idx="105">
                  <c:v>9.9768797580930524E-5</c:v>
                </c:pt>
                <c:pt idx="106">
                  <c:v>8.9014828883691066E-5</c:v>
                </c:pt>
                <c:pt idx="107">
                  <c:v>7.9179985710464649E-5</c:v>
                </c:pt>
                <c:pt idx="108">
                  <c:v>7.0166349275157155E-5</c:v>
                </c:pt>
                <c:pt idx="109">
                  <c:v>6.1869134728253727E-5</c:v>
                </c:pt>
                <c:pt idx="110">
                  <c:v>5.4190735038137013E-5</c:v>
                </c:pt>
                <c:pt idx="111">
                  <c:v>4.7085569904297705E-5</c:v>
                </c:pt>
                <c:pt idx="112">
                  <c:v>4.0566171619791516E-5</c:v>
                </c:pt>
                <c:pt idx="113">
                  <c:v>3.4620745793804355E-5</c:v>
                </c:pt>
                <c:pt idx="114">
                  <c:v>2.9237827711107477E-5</c:v>
                </c:pt>
                <c:pt idx="115">
                  <c:v>2.4403491096856967E-5</c:v>
                </c:pt>
                <c:pt idx="116">
                  <c:v>2.0107080213577475E-5</c:v>
                </c:pt>
                <c:pt idx="117">
                  <c:v>1.6333202930164593E-5</c:v>
                </c:pt>
                <c:pt idx="118">
                  <c:v>1.3063996110192259E-5</c:v>
                </c:pt>
                <c:pt idx="119">
                  <c:v>1.0281614350613879E-5</c:v>
                </c:pt>
                <c:pt idx="120">
                  <c:v>7.9686610985161715E-6</c:v>
                </c:pt>
                <c:pt idx="121">
                  <c:v>6.1174953145937989E-6</c:v>
                </c:pt>
                <c:pt idx="122">
                  <c:v>4.7510042432486526E-6</c:v>
                </c:pt>
                <c:pt idx="123">
                  <c:v>3.8959386878162404E-6</c:v>
                </c:pt>
                <c:pt idx="124">
                  <c:v>3.5789346048296826E-6</c:v>
                </c:pt>
                <c:pt idx="125">
                  <c:v>3.8262359674728549E-6</c:v>
                </c:pt>
                <c:pt idx="126">
                  <c:v>4.6465955735290445E-6</c:v>
                </c:pt>
                <c:pt idx="127">
                  <c:v>6.0714099002162525E-6</c:v>
                </c:pt>
                <c:pt idx="128">
                  <c:v>8.1603363911121802E-6</c:v>
                </c:pt>
                <c:pt idx="129">
                  <c:v>1.0972439627251538E-5</c:v>
                </c:pt>
                <c:pt idx="130">
                  <c:v>1.4567587324371786E-5</c:v>
                </c:pt>
                <c:pt idx="131">
                  <c:v>1.8970999758090374E-5</c:v>
                </c:pt>
                <c:pt idx="132">
                  <c:v>2.4186167998002654E-5</c:v>
                </c:pt>
                <c:pt idx="133">
                  <c:v>3.0236127741059517E-5</c:v>
                </c:pt>
                <c:pt idx="134">
                  <c:v>3.7146049326937913E-5</c:v>
                </c:pt>
                <c:pt idx="135">
                  <c:v>4.4940001487178619E-5</c:v>
                </c:pt>
                <c:pt idx="136">
                  <c:v>5.3639426770561293E-5</c:v>
                </c:pt>
                <c:pt idx="137">
                  <c:v>6.3217882841783864E-5</c:v>
                </c:pt>
                <c:pt idx="138">
                  <c:v>7.3624463578446963E-5</c:v>
                </c:pt>
                <c:pt idx="139">
                  <c:v>8.4814037417956718E-5</c:v>
                </c:pt>
                <c:pt idx="140">
                  <c:v>9.6742912463456752E-5</c:v>
                </c:pt>
                <c:pt idx="141">
                  <c:v>1.0937354582754152E-4</c:v>
                </c:pt>
                <c:pt idx="142">
                  <c:v>1.2269612958109671E-4</c:v>
                </c:pt>
                <c:pt idx="143">
                  <c:v>1.3668941181784911E-4</c:v>
                </c:pt>
                <c:pt idx="144">
                  <c:v>1.5134432932360631E-4</c:v>
                </c:pt>
                <c:pt idx="145">
                  <c:v>1.6664805116576637E-4</c:v>
                </c:pt>
                <c:pt idx="146">
                  <c:v>1.8259036220291959E-4</c:v>
                </c:pt>
                <c:pt idx="147">
                  <c:v>1.9911607482842337E-4</c:v>
                </c:pt>
                <c:pt idx="148">
                  <c:v>2.1611356458757535E-4</c:v>
                </c:pt>
                <c:pt idx="149">
                  <c:v>2.3346558851268333E-4</c:v>
                </c:pt>
                <c:pt idx="150">
                  <c:v>2.5105644345781413E-4</c:v>
                </c:pt>
                <c:pt idx="151">
                  <c:v>2.6881920661944042E-4</c:v>
                </c:pt>
                <c:pt idx="152">
                  <c:v>2.8677956614417145E-4</c:v>
                </c:pt>
                <c:pt idx="153">
                  <c:v>3.049549384877199E-4</c:v>
                </c:pt>
                <c:pt idx="154">
                  <c:v>3.2336332795956159E-4</c:v>
                </c:pt>
                <c:pt idx="155">
                  <c:v>3.4203189532860408E-4</c:v>
                </c:pt>
                <c:pt idx="156">
                  <c:v>3.6095386591718828E-4</c:v>
                </c:pt>
                <c:pt idx="157">
                  <c:v>3.8010983485110399E-4</c:v>
                </c:pt>
                <c:pt idx="158">
                  <c:v>3.9948592225988536E-4</c:v>
                </c:pt>
                <c:pt idx="159">
                  <c:v>4.1904900915091907E-4</c:v>
                </c:pt>
                <c:pt idx="160">
                  <c:v>4.3883355879462263E-4</c:v>
                </c:pt>
                <c:pt idx="161">
                  <c:v>4.5881339365812425E-4</c:v>
                </c:pt>
                <c:pt idx="162">
                  <c:v>4.7896548017675185E-4</c:v>
                </c:pt>
                <c:pt idx="163">
                  <c:v>4.9926615521993321E-4</c:v>
                </c:pt>
                <c:pt idx="164">
                  <c:v>5.1968109615851011E-4</c:v>
                </c:pt>
                <c:pt idx="165">
                  <c:v>5.4020228228860085E-4</c:v>
                </c:pt>
                <c:pt idx="166">
                  <c:v>5.607856427551815E-4</c:v>
                </c:pt>
                <c:pt idx="167">
                  <c:v>5.8142685471101042E-4</c:v>
                </c:pt>
                <c:pt idx="168">
                  <c:v>6.0212166186994769E-4</c:v>
                </c:pt>
                <c:pt idx="169">
                  <c:v>6.2289132616969746E-4</c:v>
                </c:pt>
                <c:pt idx="170">
                  <c:v>6.4369491888591841E-4</c:v>
                </c:pt>
                <c:pt idx="171">
                  <c:v>6.6452900756387126E-4</c:v>
                </c:pt>
                <c:pt idx="172">
                  <c:v>6.8536795156484492E-4</c:v>
                </c:pt>
                <c:pt idx="173">
                  <c:v>7.0619041096004701E-4</c:v>
                </c:pt>
                <c:pt idx="174">
                  <c:v>7.2693826558290213E-4</c:v>
                </c:pt>
                <c:pt idx="175">
                  <c:v>7.4757963597480847E-4</c:v>
                </c:pt>
                <c:pt idx="176">
                  <c:v>7.6816116603892659E-4</c:v>
                </c:pt>
                <c:pt idx="177">
                  <c:v>7.8854027453385139E-4</c:v>
                </c:pt>
                <c:pt idx="178">
                  <c:v>8.0872774791316019E-4</c:v>
                </c:pt>
                <c:pt idx="179">
                  <c:v>8.2867639508533303E-4</c:v>
                </c:pt>
                <c:pt idx="180">
                  <c:v>8.4830426706836561E-4</c:v>
                </c:pt>
                <c:pt idx="181">
                  <c:v>8.6757540851292172E-4</c:v>
                </c:pt>
                <c:pt idx="182">
                  <c:v>8.8648131267425904E-4</c:v>
                </c:pt>
                <c:pt idx="183">
                  <c:v>9.0501588366142345E-4</c:v>
                </c:pt>
                <c:pt idx="184">
                  <c:v>9.2313814444524732E-4</c:v>
                </c:pt>
                <c:pt idx="185">
                  <c:v>9.4088291364103358E-4</c:v>
                </c:pt>
                <c:pt idx="186">
                  <c:v>9.5823746753902466E-4</c:v>
                </c:pt>
                <c:pt idx="187">
                  <c:v>9.7509308109433894E-4</c:v>
                </c:pt>
                <c:pt idx="188">
                  <c:v>9.9151026997030644E-4</c:v>
                </c:pt>
                <c:pt idx="189">
                  <c:v>1.0074250001532498E-3</c:v>
                </c:pt>
                <c:pt idx="190">
                  <c:v>1.0227699114114643E-3</c:v>
                </c:pt>
                <c:pt idx="191">
                  <c:v>1.0375438076748035E-3</c:v>
                </c:pt>
                <c:pt idx="192">
                  <c:v>1.0517363577013442E-3</c:v>
                </c:pt>
                <c:pt idx="193">
                  <c:v>1.0653683380170977E-3</c:v>
                </c:pt>
                <c:pt idx="194">
                  <c:v>1.0784248989304879E-3</c:v>
                </c:pt>
                <c:pt idx="195">
                  <c:v>1.0908626610514173E-3</c:v>
                </c:pt>
                <c:pt idx="196">
                  <c:v>1.1027240998616899E-3</c:v>
                </c:pt>
                <c:pt idx="197">
                  <c:v>1.1139973645349465E-3</c:v>
                </c:pt>
                <c:pt idx="198">
                  <c:v>1.1245637141511068E-3</c:v>
                </c:pt>
                <c:pt idx="199">
                  <c:v>1.1345286617148646E-3</c:v>
                </c:pt>
                <c:pt idx="200">
                  <c:v>1.1437716980963609E-3</c:v>
                </c:pt>
                <c:pt idx="201">
                  <c:v>1.1523214648948906E-3</c:v>
                </c:pt>
                <c:pt idx="202">
                  <c:v>1.1601198506898266E-3</c:v>
                </c:pt>
                <c:pt idx="203">
                  <c:v>1.1673017719371224E-3</c:v>
                </c:pt>
                <c:pt idx="204">
                  <c:v>1.1738247826084359E-3</c:v>
                </c:pt>
                <c:pt idx="205">
                  <c:v>1.1797709558030206E-3</c:v>
                </c:pt>
                <c:pt idx="206">
                  <c:v>1.1850240200938565E-3</c:v>
                </c:pt>
                <c:pt idx="207">
                  <c:v>1.1896789860629453E-3</c:v>
                </c:pt>
                <c:pt idx="208">
                  <c:v>1.1937247200842077E-3</c:v>
                </c:pt>
                <c:pt idx="209">
                  <c:v>1.197224887058912E-3</c:v>
                </c:pt>
                <c:pt idx="210">
                  <c:v>1.2002500592468829E-3</c:v>
                </c:pt>
                <c:pt idx="211">
                  <c:v>1.2028034513664949E-3</c:v>
                </c:pt>
                <c:pt idx="212">
                  <c:v>1.2048728783411798E-3</c:v>
                </c:pt>
                <c:pt idx="213">
                  <c:v>1.2063167449443998E-3</c:v>
                </c:pt>
                <c:pt idx="214">
                  <c:v>1.2069720170458224E-3</c:v>
                </c:pt>
                <c:pt idx="215">
                  <c:v>1.20678929699498E-3</c:v>
                </c:pt>
                <c:pt idx="216">
                  <c:v>1.2056135880488341E-3</c:v>
                </c:pt>
                <c:pt idx="217">
                  <c:v>1.2035203333568864E-3</c:v>
                </c:pt>
                <c:pt idx="218">
                  <c:v>1.2007011815075186E-3</c:v>
                </c:pt>
                <c:pt idx="219">
                  <c:v>1.1971618237598684E-3</c:v>
                </c:pt>
                <c:pt idx="220">
                  <c:v>1.1930760674525181E-3</c:v>
                </c:pt>
                <c:pt idx="221">
                  <c:v>1.1883540645915313E-3</c:v>
                </c:pt>
                <c:pt idx="222">
                  <c:v>1.1830714576110243E-3</c:v>
                </c:pt>
                <c:pt idx="223">
                  <c:v>1.177046726961844E-3</c:v>
                </c:pt>
                <c:pt idx="224">
                  <c:v>1.1701171705243503E-3</c:v>
                </c:pt>
                <c:pt idx="225">
                  <c:v>1.162196842986374E-3</c:v>
                </c:pt>
                <c:pt idx="226">
                  <c:v>1.1531714907623673E-3</c:v>
                </c:pt>
                <c:pt idx="227">
                  <c:v>1.1431087660461136E-3</c:v>
                </c:pt>
                <c:pt idx="228">
                  <c:v>1.1321613832032847E-3</c:v>
                </c:pt>
                <c:pt idx="229">
                  <c:v>1.1203263856839802E-3</c:v>
                </c:pt>
                <c:pt idx="230">
                  <c:v>1.1077507411128478E-3</c:v>
                </c:pt>
                <c:pt idx="231">
                  <c:v>1.0944144324193552E-3</c:v>
                </c:pt>
                <c:pt idx="232">
                  <c:v>1.0803751557953102E-3</c:v>
                </c:pt>
                <c:pt idx="233">
                  <c:v>1.0655020430805661E-3</c:v>
                </c:pt>
                <c:pt idx="234">
                  <c:v>1.0498388301696409E-3</c:v>
                </c:pt>
                <c:pt idx="235">
                  <c:v>1.0333581972406817E-3</c:v>
                </c:pt>
                <c:pt idx="236">
                  <c:v>1.0160725626532636E-3</c:v>
                </c:pt>
                <c:pt idx="237">
                  <c:v>9.9808612295766578E-4</c:v>
                </c:pt>
                <c:pt idx="238">
                  <c:v>9.7919240032927931E-4</c:v>
                </c:pt>
                <c:pt idx="239">
                  <c:v>9.5943115438324703E-4</c:v>
                </c:pt>
                <c:pt idx="240">
                  <c:v>9.3867305074037826E-4</c:v>
                </c:pt>
                <c:pt idx="241">
                  <c:v>9.1698249825321646E-4</c:v>
                </c:pt>
                <c:pt idx="242">
                  <c:v>8.9442513395028382E-4</c:v>
                </c:pt>
                <c:pt idx="243">
                  <c:v>8.7114722637649043E-4</c:v>
                </c:pt>
                <c:pt idx="244">
                  <c:v>8.4738141032696622E-4</c:v>
                </c:pt>
                <c:pt idx="245">
                  <c:v>8.2325141508693194E-4</c:v>
                </c:pt>
                <c:pt idx="246">
                  <c:v>7.9881026393776862E-4</c:v>
                </c:pt>
                <c:pt idx="247">
                  <c:v>7.7414258706633426E-4</c:v>
                </c:pt>
                <c:pt idx="248">
                  <c:v>7.4951058602354837E-4</c:v>
                </c:pt>
                <c:pt idx="249">
                  <c:v>7.2504413649083414E-4</c:v>
                </c:pt>
                <c:pt idx="250">
                  <c:v>7.0102655406500253E-4</c:v>
                </c:pt>
                <c:pt idx="251">
                  <c:v>6.7752433745405362E-4</c:v>
                </c:pt>
                <c:pt idx="252">
                  <c:v>6.5457991963416241E-4</c:v>
                </c:pt>
                <c:pt idx="253">
                  <c:v>6.3207007244439606E-4</c:v>
                </c:pt>
                <c:pt idx="254">
                  <c:v>6.0985361768851464E-4</c:v>
                </c:pt>
                <c:pt idx="255">
                  <c:v>5.8789565572362834E-4</c:v>
                </c:pt>
                <c:pt idx="256">
                  <c:v>5.6615665372836111E-4</c:v>
                </c:pt>
                <c:pt idx="257">
                  <c:v>5.4468172167246157E-4</c:v>
                </c:pt>
                <c:pt idx="258">
                  <c:v>5.235423786354381E-4</c:v>
                </c:pt>
                <c:pt idx="259">
                  <c:v>5.0265855093939221E-4</c:v>
                </c:pt>
                <c:pt idx="260">
                  <c:v>4.8211158503616417E-4</c:v>
                </c:pt>
                <c:pt idx="261">
                  <c:v>4.6182692998817987E-4</c:v>
                </c:pt>
                <c:pt idx="262">
                  <c:v>4.4190835107194362E-4</c:v>
                </c:pt>
                <c:pt idx="263">
                  <c:v>4.2233925641530829E-4</c:v>
                </c:pt>
                <c:pt idx="264">
                  <c:v>4.0319597088992631E-4</c:v>
                </c:pt>
                <c:pt idx="265">
                  <c:v>3.8448843321869301E-4</c:v>
                </c:pt>
                <c:pt idx="266">
                  <c:v>3.6624502966572844E-4</c:v>
                </c:pt>
                <c:pt idx="267">
                  <c:v>3.484902645406688E-4</c:v>
                </c:pt>
                <c:pt idx="268">
                  <c:v>3.3124842826598341E-4</c:v>
                </c:pt>
                <c:pt idx="269">
                  <c:v>3.1457097071730945E-4</c:v>
                </c:pt>
                <c:pt idx="270">
                  <c:v>2.9848982520615594E-4</c:v>
                </c:pt>
                <c:pt idx="271">
                  <c:v>2.8306241597090707E-4</c:v>
                </c:pt>
                <c:pt idx="272">
                  <c:v>2.6822564248542811E-4</c:v>
                </c:pt>
                <c:pt idx="273">
                  <c:v>2.5397126885363068E-4</c:v>
                </c:pt>
                <c:pt idx="274">
                  <c:v>2.4026169497327993E-4</c:v>
                </c:pt>
                <c:pt idx="275">
                  <c:v>2.2707001361958241E-4</c:v>
                </c:pt>
                <c:pt idx="276">
                  <c:v>2.1437691678534283E-4</c:v>
                </c:pt>
                <c:pt idx="277">
                  <c:v>2.0219015451752563E-4</c:v>
                </c:pt>
                <c:pt idx="278">
                  <c:v>1.9048762347052817E-4</c:v>
                </c:pt>
                <c:pt idx="279">
                  <c:v>1.792739104201034E-4</c:v>
                </c:pt>
                <c:pt idx="280">
                  <c:v>1.6853172102396208E-4</c:v>
                </c:pt>
                <c:pt idx="281">
                  <c:v>1.5825454714996518E-4</c:v>
                </c:pt>
                <c:pt idx="282">
                  <c:v>1.4843690718825464E-4</c:v>
                </c:pt>
                <c:pt idx="283">
                  <c:v>1.3908085291665668E-4</c:v>
                </c:pt>
                <c:pt idx="284">
                  <c:v>1.3018305143482054E-4</c:v>
                </c:pt>
                <c:pt idx="285">
                  <c:v>1.2173227362960422E-4</c:v>
                </c:pt>
                <c:pt idx="286">
                  <c:v>1.137234942666655E-4</c:v>
                </c:pt>
                <c:pt idx="287">
                  <c:v>1.0614914122904992E-4</c:v>
                </c:pt>
                <c:pt idx="288">
                  <c:v>9.9020149713900589E-5</c:v>
                </c:pt>
                <c:pt idx="289">
                  <c:v>9.2349312859816605E-5</c:v>
                </c:pt>
                <c:pt idx="290">
                  <c:v>8.614795767855507E-5</c:v>
                </c:pt>
                <c:pt idx="291">
                  <c:v>8.0409586839843994E-5</c:v>
                </c:pt>
                <c:pt idx="292">
                  <c:v>7.5106214167423564E-5</c:v>
                </c:pt>
                <c:pt idx="293">
                  <c:v>7.0202138610945004E-5</c:v>
                </c:pt>
                <c:pt idx="294">
                  <c:v>6.5656007940443085E-5</c:v>
                </c:pt>
                <c:pt idx="295">
                  <c:v>6.1435966150837811E-5</c:v>
                </c:pt>
                <c:pt idx="296">
                  <c:v>5.753037960329945E-5</c:v>
                </c:pt>
                <c:pt idx="297">
                  <c:v>5.3909992517724923E-5</c:v>
                </c:pt>
                <c:pt idx="298">
                  <c:v>5.0519947714768908E-5</c:v>
                </c:pt>
                <c:pt idx="299">
                  <c:v>4.7306402903802326E-5</c:v>
                </c:pt>
                <c:pt idx="300">
                  <c:v>4.4214270915178258E-5</c:v>
                </c:pt>
                <c:pt idx="301">
                  <c:v>4.12069528153438E-5</c:v>
                </c:pt>
                <c:pt idx="302">
                  <c:v>3.8294052028126514E-5</c:v>
                </c:pt>
                <c:pt idx="303">
                  <c:v>3.5503832064542452E-5</c:v>
                </c:pt>
                <c:pt idx="304">
                  <c:v>3.2861128352298492E-5</c:v>
                </c:pt>
                <c:pt idx="305">
                  <c:v>3.0393279136470278E-5</c:v>
                </c:pt>
                <c:pt idx="306">
                  <c:v>2.8099907230325569E-5</c:v>
                </c:pt>
                <c:pt idx="307">
                  <c:v>2.596757472188979E-5</c:v>
                </c:pt>
                <c:pt idx="308">
                  <c:v>2.398571112816032E-5</c:v>
                </c:pt>
                <c:pt idx="309">
                  <c:v>2.215377333251201E-5</c:v>
                </c:pt>
                <c:pt idx="310">
                  <c:v>2.0462054075632079E-5</c:v>
                </c:pt>
                <c:pt idx="311">
                  <c:v>1.890966486211867E-5</c:v>
                </c:pt>
                <c:pt idx="312">
                  <c:v>1.7488239987955008E-5</c:v>
                </c:pt>
                <c:pt idx="313">
                  <c:v>1.6187486009023224E-5</c:v>
                </c:pt>
                <c:pt idx="314">
                  <c:v>1.4999491134590088E-5</c:v>
                </c:pt>
                <c:pt idx="315">
                  <c:v>1.3913177316600519E-5</c:v>
                </c:pt>
                <c:pt idx="316">
                  <c:v>1.2922248773617377E-5</c:v>
                </c:pt>
                <c:pt idx="317">
                  <c:v>1.2018532633386492E-5</c:v>
                </c:pt>
                <c:pt idx="318">
                  <c:v>1.1191201407022455E-5</c:v>
                </c:pt>
                <c:pt idx="319">
                  <c:v>1.0425603815777945E-5</c:v>
                </c:pt>
                <c:pt idx="320">
                  <c:v>9.7104724844054181E-6</c:v>
                </c:pt>
                <c:pt idx="321">
                  <c:v>9.0362189911983302E-6</c:v>
                </c:pt>
                <c:pt idx="322">
                  <c:v>8.4023492572608652E-6</c:v>
                </c:pt>
                <c:pt idx="323">
                  <c:v>7.8085845102029737E-6</c:v>
                </c:pt>
                <c:pt idx="324">
                  <c:v>7.2551270254678844E-6</c:v>
                </c:pt>
                <c:pt idx="325">
                  <c:v>6.7420268746317272E-6</c:v>
                </c:pt>
                <c:pt idx="326">
                  <c:v>6.2669184728267729E-6</c:v>
                </c:pt>
                <c:pt idx="327">
                  <c:v>5.8256921567420778E-6</c:v>
                </c:pt>
                <c:pt idx="328">
                  <c:v>5.4154959544328165E-6</c:v>
                </c:pt>
                <c:pt idx="329">
                  <c:v>5.0338902642336045E-6</c:v>
                </c:pt>
                <c:pt idx="330">
                  <c:v>4.6778296994416834E-6</c:v>
                </c:pt>
                <c:pt idx="331">
                  <c:v>4.3455959997628819E-6</c:v>
                </c:pt>
                <c:pt idx="332">
                  <c:v>4.0358511603099951E-6</c:v>
                </c:pt>
                <c:pt idx="333">
                  <c:v>3.7466072270407092E-6</c:v>
                </c:pt>
                <c:pt idx="334">
                  <c:v>3.4767282650259336E-6</c:v>
                </c:pt>
                <c:pt idx="335">
                  <c:v>3.2261311672916817E-6</c:v>
                </c:pt>
                <c:pt idx="336">
                  <c:v>2.9928623049726139E-6</c:v>
                </c:pt>
                <c:pt idx="337">
                  <c:v>2.7757004663365856E-6</c:v>
                </c:pt>
                <c:pt idx="338">
                  <c:v>2.5736011526952207E-6</c:v>
                </c:pt>
                <c:pt idx="339">
                  <c:v>2.3863613976336435E-6</c:v>
                </c:pt>
                <c:pt idx="340">
                  <c:v>2.2128818989168922E-6</c:v>
                </c:pt>
                <c:pt idx="341">
                  <c:v>2.0526413176980597E-6</c:v>
                </c:pt>
                <c:pt idx="342">
                  <c:v>1.9041421289784038E-6</c:v>
                </c:pt>
                <c:pt idx="343">
                  <c:v>1.7670582314826394E-6</c:v>
                </c:pt>
                <c:pt idx="344">
                  <c:v>1.6395774086542888E-6</c:v>
                </c:pt>
                <c:pt idx="345">
                  <c:v>1.5210744869093567E-6</c:v>
                </c:pt>
                <c:pt idx="346">
                  <c:v>1.4109109670481307E-6</c:v>
                </c:pt>
                <c:pt idx="347">
                  <c:v>1.3082205401933753E-6</c:v>
                </c:pt>
                <c:pt idx="348">
                  <c:v>1.212548297507352E-6</c:v>
                </c:pt>
                <c:pt idx="349">
                  <c:v>1.1233675999187472E-6</c:v>
                </c:pt>
                <c:pt idx="350">
                  <c:v>1.0405357150342999E-6</c:v>
                </c:pt>
                <c:pt idx="351">
                  <c:v>9.6321410744736678E-7</c:v>
                </c:pt>
                <c:pt idx="352">
                  <c:v>8.9101788794527257E-7</c:v>
                </c:pt>
                <c:pt idx="353">
                  <c:v>8.2405340274860447E-7</c:v>
                </c:pt>
                <c:pt idx="354">
                  <c:v>7.6168026005581134E-7</c:v>
                </c:pt>
                <c:pt idx="355">
                  <c:v>7.0390949560621669E-7</c:v>
                </c:pt>
                <c:pt idx="356">
                  <c:v>6.5047310103919804E-7</c:v>
                </c:pt>
                <c:pt idx="357">
                  <c:v>6.0093665763955956E-7</c:v>
                </c:pt>
                <c:pt idx="358">
                  <c:v>5.5517841404541287E-7</c:v>
                </c:pt>
                <c:pt idx="359">
                  <c:v>5.128736214013165E-7</c:v>
                </c:pt>
                <c:pt idx="360">
                  <c:v>4.7374676375992411E-7</c:v>
                </c:pt>
                <c:pt idx="361">
                  <c:v>4.3753100149257036E-7</c:v>
                </c:pt>
                <c:pt idx="362">
                  <c:v>4.0410806638549487E-7</c:v>
                </c:pt>
                <c:pt idx="363">
                  <c:v>3.733341086405018E-7</c:v>
                </c:pt>
                <c:pt idx="364">
                  <c:v>3.4497490697011404E-7</c:v>
                </c:pt>
                <c:pt idx="365">
                  <c:v>3.1893327638219883E-7</c:v>
                </c:pt>
                <c:pt idx="366">
                  <c:v>2.9503764402051408E-7</c:v>
                </c:pt>
                <c:pt idx="367">
                  <c:v>2.7311503658869853E-7</c:v>
                </c:pt>
                <c:pt idx="368">
                  <c:v>2.5297489511483574E-7</c:v>
                </c:pt>
                <c:pt idx="369">
                  <c:v>2.34524465030505E-7</c:v>
                </c:pt>
                <c:pt idx="370">
                  <c:v>2.1746736108290392E-7</c:v>
                </c:pt>
                <c:pt idx="371">
                  <c:v>2.0180732205317538E-7</c:v>
                </c:pt>
                <c:pt idx="372">
                  <c:v>1.8734588249850063E-7</c:v>
                </c:pt>
                <c:pt idx="373">
                  <c:v>1.7403391634195582E-7</c:v>
                </c:pt>
                <c:pt idx="374">
                  <c:v>1.6168993680482283E-7</c:v>
                </c:pt>
                <c:pt idx="375">
                  <c:v>1.5025794020234798E-7</c:v>
                </c:pt>
                <c:pt idx="376">
                  <c:v>1.3962352882365782E-7</c:v>
                </c:pt>
                <c:pt idx="377">
                  <c:v>1.2971934469352673E-7</c:v>
                </c:pt>
                <c:pt idx="378">
                  <c:v>1.205347936778297E-7</c:v>
                </c:pt>
                <c:pt idx="379">
                  <c:v>1.1196580519578112E-7</c:v>
                </c:pt>
                <c:pt idx="380">
                  <c:v>1.040311956245178E-7</c:v>
                </c:pt>
                <c:pt idx="381">
                  <c:v>9.6646379757534323E-8</c:v>
                </c:pt>
                <c:pt idx="382">
                  <c:v>8.9800433023305866E-8</c:v>
                </c:pt>
                <c:pt idx="383">
                  <c:v>8.3417985062177868E-8</c:v>
                </c:pt>
                <c:pt idx="384">
                  <c:v>7.7507307243958719E-8</c:v>
                </c:pt>
                <c:pt idx="385">
                  <c:v>7.2018587128305059E-8</c:v>
                </c:pt>
                <c:pt idx="386">
                  <c:v>6.6926699891151381E-8</c:v>
                </c:pt>
                <c:pt idx="387">
                  <c:v>6.2202215426742401E-8</c:v>
                </c:pt>
                <c:pt idx="388">
                  <c:v>5.7817813464921064E-8</c:v>
                </c:pt>
                <c:pt idx="389">
                  <c:v>5.3750636588369287E-8</c:v>
                </c:pt>
                <c:pt idx="390">
                  <c:v>4.9965542661028057E-8</c:v>
                </c:pt>
                <c:pt idx="391">
                  <c:v>4.644975768335379E-8</c:v>
                </c:pt>
                <c:pt idx="392">
                  <c:v>4.3171039852599422E-8</c:v>
                </c:pt>
                <c:pt idx="393">
                  <c:v>4.0116190911159708E-8</c:v>
                </c:pt>
                <c:pt idx="394">
                  <c:v>3.7293207258082063E-8</c:v>
                </c:pt>
                <c:pt idx="395">
                  <c:v>3.4662544352007528E-8</c:v>
                </c:pt>
                <c:pt idx="396">
                  <c:v>3.2230246676062064E-8</c:v>
                </c:pt>
                <c:pt idx="397">
                  <c:v>2.9967551748733728E-8</c:v>
                </c:pt>
                <c:pt idx="398">
                  <c:v>2.7863296534029489E-8</c:v>
                </c:pt>
                <c:pt idx="399">
                  <c:v>2.590526071402737E-8</c:v>
                </c:pt>
                <c:pt idx="400">
                  <c:v>2.4096047325050433E-8</c:v>
                </c:pt>
              </c:numCache>
            </c:numRef>
          </c:yVal>
          <c:smooth val="0"/>
          <c:extLst>
            <c:ext xmlns:c16="http://schemas.microsoft.com/office/drawing/2014/chart" uri="{C3380CC4-5D6E-409C-BE32-E72D297353CC}">
              <c16:uniqueId val="{00000000-CC22-4659-B87E-B67F76C02BC4}"/>
            </c:ext>
          </c:extLst>
        </c:ser>
        <c:ser>
          <c:idx val="1"/>
          <c:order val="1"/>
          <c:tx>
            <c:strRef>
              <c:f>'Demonstration Calculations'!$T$9</c:f>
              <c:strCache>
                <c:ptCount val="1"/>
                <c:pt idx="0">
                  <c:v>Y</c:v>
                </c:pt>
              </c:strCache>
            </c:strRef>
          </c:tx>
          <c:spPr>
            <a:ln w="25400" cap="rnd">
              <a:noFill/>
              <a:round/>
            </a:ln>
            <a:effectLst/>
          </c:spPr>
          <c:marker>
            <c:symbol val="circle"/>
            <c:size val="5"/>
            <c:spPr>
              <a:solidFill>
                <a:schemeClr val="accent2"/>
              </a:solidFill>
              <a:ln w="9525">
                <a:solidFill>
                  <a:schemeClr val="accent2"/>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Calculations'!$T$10:$T$410</c:f>
              <c:numCache>
                <c:formatCode>0.000000</c:formatCode>
                <c:ptCount val="401"/>
                <c:pt idx="0">
                  <c:v>3.3130001600325969E-8</c:v>
                </c:pt>
                <c:pt idx="1">
                  <c:v>3.6752597175698402E-8</c:v>
                </c:pt>
                <c:pt idx="2">
                  <c:v>4.066638282587383E-8</c:v>
                </c:pt>
                <c:pt idx="3">
                  <c:v>4.5169725312220912E-8</c:v>
                </c:pt>
                <c:pt idx="4">
                  <c:v>5.0566462383374371E-8</c:v>
                </c:pt>
                <c:pt idx="5">
                  <c:v>5.7171508559602328E-8</c:v>
                </c:pt>
                <c:pt idx="6">
                  <c:v>6.5277407232338891E-8</c:v>
                </c:pt>
                <c:pt idx="7">
                  <c:v>7.4927368357514824E-8</c:v>
                </c:pt>
                <c:pt idx="8">
                  <c:v>8.6089295138777E-8</c:v>
                </c:pt>
                <c:pt idx="9">
                  <c:v>9.8698232671464123E-8</c:v>
                </c:pt>
                <c:pt idx="10">
                  <c:v>1.1272015923507892E-7</c:v>
                </c:pt>
                <c:pt idx="11">
                  <c:v>1.280781500082031E-7</c:v>
                </c:pt>
                <c:pt idx="12">
                  <c:v>1.4519407140436073E-7</c:v>
                </c:pt>
                <c:pt idx="13">
                  <c:v>1.6478209301822719E-7</c:v>
                </c:pt>
                <c:pt idx="14">
                  <c:v>1.8756974885312281E-7</c:v>
                </c:pt>
                <c:pt idx="15">
                  <c:v>2.1434103069048032E-7</c:v>
                </c:pt>
                <c:pt idx="16">
                  <c:v>2.4635880886936964E-7</c:v>
                </c:pt>
                <c:pt idx="17">
                  <c:v>2.8343888693749965E-7</c:v>
                </c:pt>
                <c:pt idx="18">
                  <c:v>3.2428777457172117E-7</c:v>
                </c:pt>
                <c:pt idx="19">
                  <c:v>3.6742359091605268E-7</c:v>
                </c:pt>
                <c:pt idx="20">
                  <c:v>4.1144388798882891E-7</c:v>
                </c:pt>
                <c:pt idx="21">
                  <c:v>4.552181413284366E-7</c:v>
                </c:pt>
                <c:pt idx="22">
                  <c:v>5.0161779116940516E-7</c:v>
                </c:pt>
                <c:pt idx="23">
                  <c:v>5.5486549398015175E-7</c:v>
                </c:pt>
                <c:pt idx="24">
                  <c:v>6.1954658595323856E-7</c:v>
                </c:pt>
                <c:pt idx="25">
                  <c:v>7.0026208867748565E-7</c:v>
                </c:pt>
                <c:pt idx="26">
                  <c:v>8.0126111136013164E-7</c:v>
                </c:pt>
                <c:pt idx="27">
                  <c:v>9.228171339941455E-7</c:v>
                </c:pt>
                <c:pt idx="28">
                  <c:v>1.0636177056614068E-6</c:v>
                </c:pt>
                <c:pt idx="29">
                  <c:v>1.2225260526200063E-6</c:v>
                </c:pt>
                <c:pt idx="30">
                  <c:v>1.3981682230917032E-6</c:v>
                </c:pt>
                <c:pt idx="31">
                  <c:v>1.5917514349120689E-6</c:v>
                </c:pt>
                <c:pt idx="32">
                  <c:v>1.809546650235482E-6</c:v>
                </c:pt>
                <c:pt idx="33">
                  <c:v>2.0572759908850831E-6</c:v>
                </c:pt>
                <c:pt idx="34">
                  <c:v>2.3415010161786497E-6</c:v>
                </c:pt>
                <c:pt idx="35">
                  <c:v>2.6688466138437555E-6</c:v>
                </c:pt>
                <c:pt idx="36">
                  <c:v>3.0411593409152289E-6</c:v>
                </c:pt>
                <c:pt idx="37">
                  <c:v>3.4652261405786322E-6</c:v>
                </c:pt>
                <c:pt idx="38">
                  <c:v>3.9560677027171439E-6</c:v>
                </c:pt>
                <c:pt idx="39">
                  <c:v>4.5285850038240886E-6</c:v>
                </c:pt>
                <c:pt idx="40">
                  <c:v>5.1987674670411835E-6</c:v>
                </c:pt>
                <c:pt idx="41">
                  <c:v>5.9801347379508866E-6</c:v>
                </c:pt>
                <c:pt idx="42">
                  <c:v>6.8683180394435681E-6</c:v>
                </c:pt>
                <c:pt idx="43">
                  <c:v>7.8537747818353591E-6</c:v>
                </c:pt>
                <c:pt idx="44">
                  <c:v>8.9244674730168084E-6</c:v>
                </c:pt>
                <c:pt idx="45">
                  <c:v>1.0070040527302632E-5</c:v>
                </c:pt>
                <c:pt idx="46">
                  <c:v>1.1285902558316275E-5</c:v>
                </c:pt>
                <c:pt idx="47">
                  <c:v>1.2577406669884896E-5</c:v>
                </c:pt>
                <c:pt idx="48">
                  <c:v>1.3947956201116339E-5</c:v>
                </c:pt>
                <c:pt idx="49">
                  <c:v>1.5399395273865037E-5</c:v>
                </c:pt>
                <c:pt idx="50">
                  <c:v>1.6935236736105087E-5</c:v>
                </c:pt>
                <c:pt idx="51">
                  <c:v>1.8554419121790065E-5</c:v>
                </c:pt>
                <c:pt idx="52">
                  <c:v>2.0256218485927498E-5</c:v>
                </c:pt>
                <c:pt idx="53">
                  <c:v>2.2043248410687201E-5</c:v>
                </c:pt>
                <c:pt idx="54">
                  <c:v>2.3915388027575952E-5</c:v>
                </c:pt>
                <c:pt idx="55">
                  <c:v>2.5879715552991294E-5</c:v>
                </c:pt>
                <c:pt idx="56">
                  <c:v>2.7933315868698783E-5</c:v>
                </c:pt>
                <c:pt idx="57">
                  <c:v>3.0081115821061132E-5</c:v>
                </c:pt>
                <c:pt idx="58">
                  <c:v>3.230307789179526E-5</c:v>
                </c:pt>
                <c:pt idx="59">
                  <c:v>3.4590560269063415E-5</c:v>
                </c:pt>
                <c:pt idx="60">
                  <c:v>3.6930910732987797E-5</c:v>
                </c:pt>
                <c:pt idx="61">
                  <c:v>3.9314280008060084E-5</c:v>
                </c:pt>
                <c:pt idx="62">
                  <c:v>4.1748751987151003E-5</c:v>
                </c:pt>
                <c:pt idx="63">
                  <c:v>4.4257610892555237E-5</c:v>
                </c:pt>
                <c:pt idx="64">
                  <c:v>4.6851788681097402E-5</c:v>
                </c:pt>
                <c:pt idx="65">
                  <c:v>4.9560813638126857E-5</c:v>
                </c:pt>
                <c:pt idx="66">
                  <c:v>5.2382221226086055E-5</c:v>
                </c:pt>
                <c:pt idx="67">
                  <c:v>5.5315124519261474E-5</c:v>
                </c:pt>
                <c:pt idx="68">
                  <c:v>5.8372776001880541E-5</c:v>
                </c:pt>
                <c:pt idx="69">
                  <c:v>6.1551315218379333E-5</c:v>
                </c:pt>
                <c:pt idx="70">
                  <c:v>6.4851169131563728E-5</c:v>
                </c:pt>
                <c:pt idx="71">
                  <c:v>6.8278640250449919E-5</c:v>
                </c:pt>
                <c:pt idx="72">
                  <c:v>7.1847329359287868E-5</c:v>
                </c:pt>
                <c:pt idx="73">
                  <c:v>7.5539482932630229E-5</c:v>
                </c:pt>
                <c:pt idx="74">
                  <c:v>7.9367876655792868E-5</c:v>
                </c:pt>
                <c:pt idx="75">
                  <c:v>8.334057493206166E-5</c:v>
                </c:pt>
                <c:pt idx="76">
                  <c:v>8.746002905972684E-5</c:v>
                </c:pt>
                <c:pt idx="77">
                  <c:v>9.1720252185908179E-5</c:v>
                </c:pt>
                <c:pt idx="78">
                  <c:v>9.6114460721900892E-5</c:v>
                </c:pt>
                <c:pt idx="79">
                  <c:v>1.0062640591234502E-4</c:v>
                </c:pt>
                <c:pt idx="80">
                  <c:v>1.0524008111022848E-4</c:v>
                </c:pt>
                <c:pt idx="81">
                  <c:v>1.0995128503700713E-4</c:v>
                </c:pt>
                <c:pt idx="82">
                  <c:v>1.1478514319555087E-4</c:v>
                </c:pt>
                <c:pt idx="83">
                  <c:v>1.1976122927322154E-4</c:v>
                </c:pt>
                <c:pt idx="84">
                  <c:v>1.249100614320567E-4</c:v>
                </c:pt>
                <c:pt idx="85">
                  <c:v>1.3025290304199532E-4</c:v>
                </c:pt>
                <c:pt idx="86">
                  <c:v>1.3580987233152462E-4</c:v>
                </c:pt>
                <c:pt idx="87">
                  <c:v>1.4158237628592997E-4</c:v>
                </c:pt>
                <c:pt idx="88">
                  <c:v>1.4760150597330251E-4</c:v>
                </c:pt>
                <c:pt idx="89">
                  <c:v>1.5388463368400145E-4</c:v>
                </c:pt>
                <c:pt idx="90">
                  <c:v>1.6046640938246297E-4</c:v>
                </c:pt>
                <c:pt idx="91">
                  <c:v>1.6735180087472823E-4</c:v>
                </c:pt>
                <c:pt idx="92">
                  <c:v>1.7454154720227089E-4</c:v>
                </c:pt>
                <c:pt idx="93">
                  <c:v>1.820319126446154E-4</c:v>
                </c:pt>
                <c:pt idx="94">
                  <c:v>1.8982682835070935E-4</c:v>
                </c:pt>
                <c:pt idx="95">
                  <c:v>1.9791982961429291E-4</c:v>
                </c:pt>
                <c:pt idx="96">
                  <c:v>2.0633499602769779E-4</c:v>
                </c:pt>
                <c:pt idx="97">
                  <c:v>2.1506018556410053E-4</c:v>
                </c:pt>
                <c:pt idx="98">
                  <c:v>2.2402570644972463E-4</c:v>
                </c:pt>
                <c:pt idx="99">
                  <c:v>2.3316385528711193E-4</c:v>
                </c:pt>
                <c:pt idx="100">
                  <c:v>2.4241044957407058E-4</c:v>
                </c:pt>
                <c:pt idx="101">
                  <c:v>2.5172053398605913E-4</c:v>
                </c:pt>
                <c:pt idx="102">
                  <c:v>2.6118530830200175E-4</c:v>
                </c:pt>
                <c:pt idx="103">
                  <c:v>2.7089792918318681E-4</c:v>
                </c:pt>
                <c:pt idx="104">
                  <c:v>2.8095996401973931E-4</c:v>
                </c:pt>
                <c:pt idx="105">
                  <c:v>2.9147289932221818E-4</c:v>
                </c:pt>
                <c:pt idx="106">
                  <c:v>3.0249925019308421E-4</c:v>
                </c:pt>
                <c:pt idx="107">
                  <c:v>3.1403738976248062E-4</c:v>
                </c:pt>
                <c:pt idx="108">
                  <c:v>3.2614036949104788E-4</c:v>
                </c:pt>
                <c:pt idx="109">
                  <c:v>3.3883164558313377E-4</c:v>
                </c:pt>
                <c:pt idx="110">
                  <c:v>3.5216359583359146E-4</c:v>
                </c:pt>
                <c:pt idx="111">
                  <c:v>3.6619769278667369E-4</c:v>
                </c:pt>
                <c:pt idx="112">
                  <c:v>3.8094757538508389E-4</c:v>
                </c:pt>
                <c:pt idx="113">
                  <c:v>3.9639239370414738E-4</c:v>
                </c:pt>
                <c:pt idx="114">
                  <c:v>4.1252267264931994E-4</c:v>
                </c:pt>
                <c:pt idx="115">
                  <c:v>4.2930223113246338E-4</c:v>
                </c:pt>
                <c:pt idx="116">
                  <c:v>4.4669653536176898E-4</c:v>
                </c:pt>
                <c:pt idx="117">
                  <c:v>4.6479658734990771E-4</c:v>
                </c:pt>
                <c:pt idx="118">
                  <c:v>4.8379847780539824E-4</c:v>
                </c:pt>
                <c:pt idx="119">
                  <c:v>5.0389225641089765E-4</c:v>
                </c:pt>
                <c:pt idx="120">
                  <c:v>5.2528112955524972E-4</c:v>
                </c:pt>
                <c:pt idx="121">
                  <c:v>5.4807478005341613E-4</c:v>
                </c:pt>
                <c:pt idx="122">
                  <c:v>5.7213265139952302E-4</c:v>
                </c:pt>
                <c:pt idx="123">
                  <c:v>5.9719035826396921E-4</c:v>
                </c:pt>
                <c:pt idx="124">
                  <c:v>6.2301071683255958E-4</c:v>
                </c:pt>
                <c:pt idx="125">
                  <c:v>6.4934412897987241E-4</c:v>
                </c:pt>
                <c:pt idx="126">
                  <c:v>6.7602682917963634E-4</c:v>
                </c:pt>
                <c:pt idx="127">
                  <c:v>7.0312616098826112E-4</c:v>
                </c:pt>
                <c:pt idx="128">
                  <c:v>7.3073837756483181E-4</c:v>
                </c:pt>
                <c:pt idx="129">
                  <c:v>7.5894640384599498E-4</c:v>
                </c:pt>
                <c:pt idx="130">
                  <c:v>7.8790284130742037E-4</c:v>
                </c:pt>
                <c:pt idx="131">
                  <c:v>8.1753497995747516E-4</c:v>
                </c:pt>
                <c:pt idx="132">
                  <c:v>8.476931277100764E-4</c:v>
                </c:pt>
                <c:pt idx="133">
                  <c:v>8.7815466762914155E-4</c:v>
                </c:pt>
                <c:pt idx="134">
                  <c:v>9.0875051054967431E-4</c:v>
                </c:pt>
                <c:pt idx="135">
                  <c:v>9.3926147438151318E-4</c:v>
                </c:pt>
                <c:pt idx="136">
                  <c:v>9.6963615309487061E-4</c:v>
                </c:pt>
                <c:pt idx="137">
                  <c:v>9.9977770255795114E-4</c:v>
                </c:pt>
                <c:pt idx="138">
                  <c:v>1.0293380338556209E-3</c:v>
                </c:pt>
                <c:pt idx="139">
                  <c:v>1.0580462955554683E-3</c:v>
                </c:pt>
                <c:pt idx="140">
                  <c:v>1.0856245906283276E-3</c:v>
                </c:pt>
                <c:pt idx="141">
                  <c:v>1.1118054892871165E-3</c:v>
                </c:pt>
                <c:pt idx="142">
                  <c:v>1.1367505859095003E-3</c:v>
                </c:pt>
                <c:pt idx="143">
                  <c:v>1.1606106032273629E-3</c:v>
                </c:pt>
                <c:pt idx="144">
                  <c:v>1.1836455938173955E-3</c:v>
                </c:pt>
                <c:pt idx="145">
                  <c:v>1.2060696549697617E-3</c:v>
                </c:pt>
                <c:pt idx="146">
                  <c:v>1.2278968392088556E-3</c:v>
                </c:pt>
                <c:pt idx="147">
                  <c:v>1.2490778281982076E-3</c:v>
                </c:pt>
                <c:pt idx="148">
                  <c:v>1.2695083908439225E-3</c:v>
                </c:pt>
                <c:pt idx="149">
                  <c:v>1.2890584483919254E-3</c:v>
                </c:pt>
                <c:pt idx="150">
                  <c:v>1.3076172462878296E-3</c:v>
                </c:pt>
                <c:pt idx="151">
                  <c:v>1.3251775302173991E-3</c:v>
                </c:pt>
                <c:pt idx="152">
                  <c:v>1.3418057160088017E-3</c:v>
                </c:pt>
                <c:pt idx="153">
                  <c:v>1.3574887418471538E-3</c:v>
                </c:pt>
                <c:pt idx="154">
                  <c:v>1.372230818764558E-3</c:v>
                </c:pt>
                <c:pt idx="155">
                  <c:v>1.3860821805217322E-3</c:v>
                </c:pt>
                <c:pt idx="156">
                  <c:v>1.3990617152848982E-3</c:v>
                </c:pt>
                <c:pt idx="157">
                  <c:v>1.4111682159089502E-3</c:v>
                </c:pt>
                <c:pt idx="158">
                  <c:v>1.4223368975064769E-3</c:v>
                </c:pt>
                <c:pt idx="159">
                  <c:v>1.4324480199969221E-3</c:v>
                </c:pt>
                <c:pt idx="160">
                  <c:v>1.4416226414947313E-3</c:v>
                </c:pt>
                <c:pt idx="161">
                  <c:v>1.4497897932612565E-3</c:v>
                </c:pt>
                <c:pt idx="162">
                  <c:v>1.4569399192351467E-3</c:v>
                </c:pt>
                <c:pt idx="163">
                  <c:v>1.4630698961816298E-3</c:v>
                </c:pt>
                <c:pt idx="164">
                  <c:v>1.4681496232963537E-3</c:v>
                </c:pt>
                <c:pt idx="165">
                  <c:v>1.4722276823116913E-3</c:v>
                </c:pt>
                <c:pt idx="166">
                  <c:v>1.4752436260007157E-3</c:v>
                </c:pt>
                <c:pt idx="167">
                  <c:v>1.477233555999974E-3</c:v>
                </c:pt>
                <c:pt idx="168">
                  <c:v>1.4782367843867721E-3</c:v>
                </c:pt>
                <c:pt idx="169">
                  <c:v>1.4783569998928052E-3</c:v>
                </c:pt>
                <c:pt idx="170">
                  <c:v>1.4775509785906892E-3</c:v>
                </c:pt>
                <c:pt idx="171">
                  <c:v>1.4758248108930558E-3</c:v>
                </c:pt>
                <c:pt idx="172">
                  <c:v>1.4732103203959073E-3</c:v>
                </c:pt>
                <c:pt idx="173">
                  <c:v>1.4697276068922364E-3</c:v>
                </c:pt>
                <c:pt idx="174">
                  <c:v>1.4653170909841523E-3</c:v>
                </c:pt>
                <c:pt idx="175">
                  <c:v>1.4599736158137817E-3</c:v>
                </c:pt>
                <c:pt idx="176">
                  <c:v>1.4538274640099103E-3</c:v>
                </c:pt>
                <c:pt idx="177">
                  <c:v>1.4466753730495209E-3</c:v>
                </c:pt>
                <c:pt idx="178">
                  <c:v>1.4386315220295306E-3</c:v>
                </c:pt>
                <c:pt idx="179">
                  <c:v>1.4296913856290479E-3</c:v>
                </c:pt>
                <c:pt idx="180">
                  <c:v>1.4197859474062637E-3</c:v>
                </c:pt>
                <c:pt idx="181">
                  <c:v>1.4089108933899846E-3</c:v>
                </c:pt>
                <c:pt idx="182">
                  <c:v>1.3971689980053915E-3</c:v>
                </c:pt>
                <c:pt idx="183">
                  <c:v>1.3846199724313981E-3</c:v>
                </c:pt>
                <c:pt idx="184">
                  <c:v>1.3712691227781828E-3</c:v>
                </c:pt>
                <c:pt idx="185">
                  <c:v>1.3572346982445688E-3</c:v>
                </c:pt>
                <c:pt idx="186">
                  <c:v>1.3425645416125028E-3</c:v>
                </c:pt>
                <c:pt idx="187">
                  <c:v>1.327183087903015E-3</c:v>
                </c:pt>
                <c:pt idx="188">
                  <c:v>1.3112468119803173E-3</c:v>
                </c:pt>
                <c:pt idx="189">
                  <c:v>1.2947346891578507E-3</c:v>
                </c:pt>
                <c:pt idx="190">
                  <c:v>1.2776236132577275E-3</c:v>
                </c:pt>
                <c:pt idx="191">
                  <c:v>1.2599765921578483E-3</c:v>
                </c:pt>
                <c:pt idx="192">
                  <c:v>1.2418494451029577E-3</c:v>
                </c:pt>
                <c:pt idx="193">
                  <c:v>1.2233309516860558E-3</c:v>
                </c:pt>
                <c:pt idx="194">
                  <c:v>1.2044627458520727E-3</c:v>
                </c:pt>
                <c:pt idx="195">
                  <c:v>1.1852530325536705E-3</c:v>
                </c:pt>
                <c:pt idx="196">
                  <c:v>1.1658001253114806E-3</c:v>
                </c:pt>
                <c:pt idx="197">
                  <c:v>1.1461453699423182E-3</c:v>
                </c:pt>
                <c:pt idx="198">
                  <c:v>1.1262234028382116E-3</c:v>
                </c:pt>
                <c:pt idx="199">
                  <c:v>1.1061924184490618E-3</c:v>
                </c:pt>
                <c:pt idx="200">
                  <c:v>1.0859777118234573E-3</c:v>
                </c:pt>
                <c:pt idx="201">
                  <c:v>1.0656454782159218E-3</c:v>
                </c:pt>
                <c:pt idx="202">
                  <c:v>1.0451826394880742E-3</c:v>
                </c:pt>
                <c:pt idx="203">
                  <c:v>1.0247544238297366E-3</c:v>
                </c:pt>
                <c:pt idx="204">
                  <c:v>1.0043604854328137E-3</c:v>
                </c:pt>
                <c:pt idx="205">
                  <c:v>9.841069192949171E-4</c:v>
                </c:pt>
                <c:pt idx="206">
                  <c:v>9.6393261711533824E-4</c:v>
                </c:pt>
                <c:pt idx="207">
                  <c:v>9.4393889485413086E-4</c:v>
                </c:pt>
                <c:pt idx="208">
                  <c:v>9.2412861175406741E-4</c:v>
                </c:pt>
                <c:pt idx="209">
                  <c:v>9.0456322164411869E-4</c:v>
                </c:pt>
                <c:pt idx="210">
                  <c:v>8.8530575353199892E-4</c:v>
                </c:pt>
                <c:pt idx="211">
                  <c:v>8.6635182764600199E-4</c:v>
                </c:pt>
                <c:pt idx="212">
                  <c:v>8.4773079104767505E-4</c:v>
                </c:pt>
                <c:pt idx="213">
                  <c:v>8.2941401076048397E-4</c:v>
                </c:pt>
                <c:pt idx="214">
                  <c:v>8.1135914101401925E-4</c:v>
                </c:pt>
                <c:pt idx="215">
                  <c:v>7.9360072156885739E-4</c:v>
                </c:pt>
                <c:pt idx="216">
                  <c:v>7.760870764629491E-4</c:v>
                </c:pt>
                <c:pt idx="217">
                  <c:v>7.5882773617174325E-4</c:v>
                </c:pt>
                <c:pt idx="218">
                  <c:v>7.4187493714355319E-4</c:v>
                </c:pt>
                <c:pt idx="219">
                  <c:v>7.2516648168979533E-4</c:v>
                </c:pt>
                <c:pt idx="220">
                  <c:v>7.087469389592721E-4</c:v>
                </c:pt>
                <c:pt idx="221">
                  <c:v>6.9252684456460971E-4</c:v>
                </c:pt>
                <c:pt idx="222">
                  <c:v>6.765879537851074E-4</c:v>
                </c:pt>
                <c:pt idx="223">
                  <c:v>6.6087503831863126E-4</c:v>
                </c:pt>
                <c:pt idx="224">
                  <c:v>6.4534655710447311E-4</c:v>
                </c:pt>
                <c:pt idx="225">
                  <c:v>6.3000494510776265E-4</c:v>
                </c:pt>
                <c:pt idx="226">
                  <c:v>6.1481180072753998E-4</c:v>
                </c:pt>
                <c:pt idx="227">
                  <c:v>5.9976942787979626E-4</c:v>
                </c:pt>
                <c:pt idx="228">
                  <c:v>5.8492266280759883E-4</c:v>
                </c:pt>
                <c:pt idx="229">
                  <c:v>5.7023620013244968E-4</c:v>
                </c:pt>
                <c:pt idx="230">
                  <c:v>5.5575366325529864E-4</c:v>
                </c:pt>
                <c:pt idx="231">
                  <c:v>5.414502022422586E-4</c:v>
                </c:pt>
                <c:pt idx="232">
                  <c:v>5.273517911045173E-4</c:v>
                </c:pt>
                <c:pt idx="233">
                  <c:v>5.1338307980830326E-4</c:v>
                </c:pt>
                <c:pt idx="234">
                  <c:v>4.9955536983727598E-4</c:v>
                </c:pt>
                <c:pt idx="235">
                  <c:v>4.8584573382628809E-4</c:v>
                </c:pt>
                <c:pt idx="236">
                  <c:v>4.7224788634161666E-4</c:v>
                </c:pt>
                <c:pt idx="237">
                  <c:v>4.5879371412075812E-4</c:v>
                </c:pt>
                <c:pt idx="238">
                  <c:v>4.4537155030552285E-4</c:v>
                </c:pt>
                <c:pt idx="239">
                  <c:v>4.3198362446679689E-4</c:v>
                </c:pt>
                <c:pt idx="240">
                  <c:v>4.1855518074504326E-4</c:v>
                </c:pt>
                <c:pt idx="241">
                  <c:v>4.0509902726381942E-4</c:v>
                </c:pt>
                <c:pt idx="242">
                  <c:v>3.9162744053852002E-4</c:v>
                </c:pt>
                <c:pt idx="243">
                  <c:v>3.7818767019182157E-4</c:v>
                </c:pt>
                <c:pt idx="244">
                  <c:v>3.6486446446960114E-4</c:v>
                </c:pt>
                <c:pt idx="245">
                  <c:v>3.5169510812204573E-4</c:v>
                </c:pt>
                <c:pt idx="246">
                  <c:v>3.3868969821554087E-4</c:v>
                </c:pt>
                <c:pt idx="247">
                  <c:v>3.2586536024134711E-4</c:v>
                </c:pt>
                <c:pt idx="248">
                  <c:v>3.1330841278892982E-4</c:v>
                </c:pt>
                <c:pt idx="249">
                  <c:v>3.0104970876957928E-4</c:v>
                </c:pt>
                <c:pt idx="250">
                  <c:v>2.8918436616940486E-4</c:v>
                </c:pt>
                <c:pt idx="251">
                  <c:v>2.7772185073547646E-4</c:v>
                </c:pt>
                <c:pt idx="252">
                  <c:v>2.6667132693882953E-4</c:v>
                </c:pt>
                <c:pt idx="253">
                  <c:v>2.559740151295471E-4</c:v>
                </c:pt>
                <c:pt idx="254">
                  <c:v>2.4556409452446679E-4</c:v>
                </c:pt>
                <c:pt idx="255">
                  <c:v>2.3541863312793383E-4</c:v>
                </c:pt>
                <c:pt idx="256">
                  <c:v>2.2551126606654162E-4</c:v>
                </c:pt>
                <c:pt idx="257">
                  <c:v>2.1585018568631156E-4</c:v>
                </c:pt>
                <c:pt idx="258">
                  <c:v>2.0645522312524167E-4</c:v>
                </c:pt>
                <c:pt idx="259">
                  <c:v>1.9728625098484713E-4</c:v>
                </c:pt>
                <c:pt idx="260">
                  <c:v>1.883668840842347E-4</c:v>
                </c:pt>
                <c:pt idx="261">
                  <c:v>1.7965868438698341E-4</c:v>
                </c:pt>
                <c:pt idx="262">
                  <c:v>1.7119490358742808E-4</c:v>
                </c:pt>
                <c:pt idx="263">
                  <c:v>1.6296411031894E-4</c:v>
                </c:pt>
                <c:pt idx="264">
                  <c:v>1.5499077340137772E-4</c:v>
                </c:pt>
                <c:pt idx="265">
                  <c:v>1.4727356283487629E-4</c:v>
                </c:pt>
                <c:pt idx="266">
                  <c:v>1.3981840736996881E-4</c:v>
                </c:pt>
                <c:pt idx="267">
                  <c:v>1.3262617201355975E-4</c:v>
                </c:pt>
                <c:pt idx="268">
                  <c:v>1.256965173723877E-4</c:v>
                </c:pt>
                <c:pt idx="269">
                  <c:v>1.1903944399506356E-4</c:v>
                </c:pt>
                <c:pt idx="270">
                  <c:v>1.1265753543936044E-4</c:v>
                </c:pt>
                <c:pt idx="271">
                  <c:v>1.065652104420006E-4</c:v>
                </c:pt>
                <c:pt idx="272">
                  <c:v>1.0073567445290752E-4</c:v>
                </c:pt>
                <c:pt idx="273">
                  <c:v>9.5162843200937181E-5</c:v>
                </c:pt>
                <c:pt idx="274">
                  <c:v>8.9829630306334697E-5</c:v>
                </c:pt>
                <c:pt idx="275">
                  <c:v>8.4722968044617861E-5</c:v>
                </c:pt>
                <c:pt idx="276">
                  <c:v>7.9831562217493062E-5</c:v>
                </c:pt>
                <c:pt idx="277">
                  <c:v>7.515497471263819E-5</c:v>
                </c:pt>
                <c:pt idx="278">
                  <c:v>7.0682957829581503E-5</c:v>
                </c:pt>
                <c:pt idx="279">
                  <c:v>6.641523421113602E-5</c:v>
                </c:pt>
                <c:pt idx="280">
                  <c:v>6.234345046974947E-5</c:v>
                </c:pt>
                <c:pt idx="281">
                  <c:v>5.8463050458523636E-5</c:v>
                </c:pt>
                <c:pt idx="282">
                  <c:v>5.4769330950000461E-5</c:v>
                </c:pt>
                <c:pt idx="283">
                  <c:v>5.1260089906858394E-5</c:v>
                </c:pt>
                <c:pt idx="284">
                  <c:v>4.7931217225509545E-5</c:v>
                </c:pt>
                <c:pt idx="285">
                  <c:v>4.4775781835047493E-5</c:v>
                </c:pt>
                <c:pt idx="286">
                  <c:v>4.1789511539570152E-5</c:v>
                </c:pt>
                <c:pt idx="287">
                  <c:v>3.896900332477121E-5</c:v>
                </c:pt>
                <c:pt idx="288">
                  <c:v>3.6317995094766425E-5</c:v>
                </c:pt>
                <c:pt idx="289">
                  <c:v>3.3840889151757404E-5</c:v>
                </c:pt>
                <c:pt idx="290">
                  <c:v>3.1541586335397737E-5</c:v>
                </c:pt>
                <c:pt idx="291">
                  <c:v>2.9417006720597392E-5</c:v>
                </c:pt>
                <c:pt idx="292">
                  <c:v>2.7455893564026002E-5</c:v>
                </c:pt>
                <c:pt idx="293">
                  <c:v>2.5644440014493798E-5</c:v>
                </c:pt>
                <c:pt idx="294">
                  <c:v>2.3966796505083786E-5</c:v>
                </c:pt>
                <c:pt idx="295">
                  <c:v>2.241060400470813E-5</c:v>
                </c:pt>
                <c:pt idx="296">
                  <c:v>2.0970951885013548E-5</c:v>
                </c:pt>
                <c:pt idx="297">
                  <c:v>1.9637043528624005E-5</c:v>
                </c:pt>
                <c:pt idx="298">
                  <c:v>1.838889992502085E-5</c:v>
                </c:pt>
                <c:pt idx="299">
                  <c:v>1.720691649234898E-5</c:v>
                </c:pt>
                <c:pt idx="300">
                  <c:v>1.607104138460617E-5</c:v>
                </c:pt>
                <c:pt idx="301">
                  <c:v>1.4967704543438458E-5</c:v>
                </c:pt>
                <c:pt idx="302">
                  <c:v>1.3900201560810183E-5</c:v>
                </c:pt>
                <c:pt idx="303">
                  <c:v>1.2878856402317654E-5</c:v>
                </c:pt>
                <c:pt idx="304">
                  <c:v>1.1912724160879434E-5</c:v>
                </c:pt>
                <c:pt idx="305">
                  <c:v>1.1011789887742423E-5</c:v>
                </c:pt>
                <c:pt idx="306">
                  <c:v>1.0175911228024848E-5</c:v>
                </c:pt>
                <c:pt idx="307">
                  <c:v>9.3999210188986895E-6</c:v>
                </c:pt>
                <c:pt idx="308">
                  <c:v>8.6796216542181752E-6</c:v>
                </c:pt>
                <c:pt idx="309">
                  <c:v>8.0144669635036735E-6</c:v>
                </c:pt>
                <c:pt idx="310">
                  <c:v>7.4005931260325716E-6</c:v>
                </c:pt>
                <c:pt idx="311">
                  <c:v>6.8374673129703645E-6</c:v>
                </c:pt>
                <c:pt idx="312">
                  <c:v>6.3220588763000643E-6</c:v>
                </c:pt>
                <c:pt idx="313">
                  <c:v>5.8506088355532687E-6</c:v>
                </c:pt>
                <c:pt idx="314">
                  <c:v>5.4202172190726433E-6</c:v>
                </c:pt>
                <c:pt idx="315">
                  <c:v>5.0268379913449975E-6</c:v>
                </c:pt>
                <c:pt idx="316">
                  <c:v>4.6681102109249691E-6</c:v>
                </c:pt>
                <c:pt idx="317">
                  <c:v>4.3410272667931702E-6</c:v>
                </c:pt>
                <c:pt idx="318">
                  <c:v>4.0416922052753977E-6</c:v>
                </c:pt>
                <c:pt idx="319">
                  <c:v>3.7648753943700806E-6</c:v>
                </c:pt>
                <c:pt idx="320">
                  <c:v>3.506628846766048E-6</c:v>
                </c:pt>
                <c:pt idx="321">
                  <c:v>3.2631442087636781E-6</c:v>
                </c:pt>
                <c:pt idx="322">
                  <c:v>3.0342419348167498E-6</c:v>
                </c:pt>
                <c:pt idx="323">
                  <c:v>2.8198226272695739E-6</c:v>
                </c:pt>
                <c:pt idx="324">
                  <c:v>2.6199591356911547E-6</c:v>
                </c:pt>
                <c:pt idx="325">
                  <c:v>2.4346691194676817E-6</c:v>
                </c:pt>
                <c:pt idx="326">
                  <c:v>2.2630988918355839E-6</c:v>
                </c:pt>
                <c:pt idx="327">
                  <c:v>2.1037641263253451E-6</c:v>
                </c:pt>
                <c:pt idx="328">
                  <c:v>1.955634689348551E-6</c:v>
                </c:pt>
                <c:pt idx="329">
                  <c:v>1.817829728229882E-6</c:v>
                </c:pt>
                <c:pt idx="330">
                  <c:v>1.6892499863622242E-6</c:v>
                </c:pt>
                <c:pt idx="331">
                  <c:v>1.5692741046364096E-6</c:v>
                </c:pt>
                <c:pt idx="332">
                  <c:v>1.4574195634348628E-6</c:v>
                </c:pt>
                <c:pt idx="333">
                  <c:v>1.3529685011595117E-6</c:v>
                </c:pt>
                <c:pt idx="334">
                  <c:v>1.2555102307267354E-6</c:v>
                </c:pt>
                <c:pt idx="335">
                  <c:v>1.1650149039790064E-6</c:v>
                </c:pt>
                <c:pt idx="336">
                  <c:v>1.0807772345865344E-6</c:v>
                </c:pt>
                <c:pt idx="337">
                  <c:v>1.002356203447645E-6</c:v>
                </c:pt>
                <c:pt idx="338">
                  <c:v>9.2937453900982369E-7</c:v>
                </c:pt>
                <c:pt idx="339">
                  <c:v>8.6175886430040671E-7</c:v>
                </c:pt>
                <c:pt idx="340">
                  <c:v>7.9911212090460506E-7</c:v>
                </c:pt>
                <c:pt idx="341">
                  <c:v>7.4124637930999287E-7</c:v>
                </c:pt>
                <c:pt idx="342">
                  <c:v>6.8762064912801276E-7</c:v>
                </c:pt>
                <c:pt idx="343">
                  <c:v>6.3811710503102457E-7</c:v>
                </c:pt>
                <c:pt idx="344">
                  <c:v>5.9208152918720162E-7</c:v>
                </c:pt>
                <c:pt idx="345">
                  <c:v>5.4928782607416776E-7</c:v>
                </c:pt>
                <c:pt idx="346">
                  <c:v>5.0950582408851315E-7</c:v>
                </c:pt>
                <c:pt idx="347">
                  <c:v>4.7242247875693694E-7</c:v>
                </c:pt>
                <c:pt idx="348">
                  <c:v>4.378733060836135E-7</c:v>
                </c:pt>
                <c:pt idx="349">
                  <c:v>4.0566863783801838E-7</c:v>
                </c:pt>
                <c:pt idx="350">
                  <c:v>3.7575657552675427E-7</c:v>
                </c:pt>
                <c:pt idx="351">
                  <c:v>3.4783417706731728E-7</c:v>
                </c:pt>
                <c:pt idx="352">
                  <c:v>3.2176292978664911E-7</c:v>
                </c:pt>
                <c:pt idx="353">
                  <c:v>2.9758085060700314E-7</c:v>
                </c:pt>
                <c:pt idx="354">
                  <c:v>2.7505655918218455E-7</c:v>
                </c:pt>
                <c:pt idx="355">
                  <c:v>2.5419460652995586E-7</c:v>
                </c:pt>
                <c:pt idx="356">
                  <c:v>2.3489774517400952E-7</c:v>
                </c:pt>
                <c:pt idx="357">
                  <c:v>2.1700921651662702E-7</c:v>
                </c:pt>
                <c:pt idx="358">
                  <c:v>2.0048509404803252E-7</c:v>
                </c:pt>
                <c:pt idx="359">
                  <c:v>1.8520805044997132E-7</c:v>
                </c:pt>
                <c:pt idx="360">
                  <c:v>1.7107861847762426E-7</c:v>
                </c:pt>
                <c:pt idx="361">
                  <c:v>1.5800044831715944E-7</c:v>
                </c:pt>
                <c:pt idx="362">
                  <c:v>1.4593082631131125E-7</c:v>
                </c:pt>
                <c:pt idx="363">
                  <c:v>1.3481777446205423E-7</c:v>
                </c:pt>
                <c:pt idx="364">
                  <c:v>1.2457675911697461E-7</c:v>
                </c:pt>
                <c:pt idx="365">
                  <c:v>1.1517264082531596E-7</c:v>
                </c:pt>
                <c:pt idx="366">
                  <c:v>1.0654349787203472E-7</c:v>
                </c:pt>
                <c:pt idx="367">
                  <c:v>9.8626834044430789E-8</c:v>
                </c:pt>
                <c:pt idx="368">
                  <c:v>9.1353869285072247E-8</c:v>
                </c:pt>
                <c:pt idx="369">
                  <c:v>8.4691065146221641E-8</c:v>
                </c:pt>
                <c:pt idx="370">
                  <c:v>7.8531438294812958E-8</c:v>
                </c:pt>
                <c:pt idx="371">
                  <c:v>7.287631769128337E-8</c:v>
                </c:pt>
                <c:pt idx="372">
                  <c:v>6.765401463880381E-8</c:v>
                </c:pt>
                <c:pt idx="373">
                  <c:v>6.2846825612485879E-8</c:v>
                </c:pt>
                <c:pt idx="374">
                  <c:v>5.8389188217267327E-8</c:v>
                </c:pt>
                <c:pt idx="375">
                  <c:v>5.4260890629955995E-8</c:v>
                </c:pt>
                <c:pt idx="376">
                  <c:v>5.042061842142224E-8</c:v>
                </c:pt>
                <c:pt idx="377">
                  <c:v>4.6844023396434564E-8</c:v>
                </c:pt>
                <c:pt idx="378">
                  <c:v>4.3527321722073217E-8</c:v>
                </c:pt>
                <c:pt idx="379">
                  <c:v>4.043289837772301E-8</c:v>
                </c:pt>
                <c:pt idx="380">
                  <c:v>3.7567577211450264E-8</c:v>
                </c:pt>
                <c:pt idx="381">
                  <c:v>3.4900783284331665E-8</c:v>
                </c:pt>
                <c:pt idx="382">
                  <c:v>3.2428570603082675E-8</c:v>
                </c:pt>
                <c:pt idx="383">
                  <c:v>3.012376242091535E-8</c:v>
                </c:pt>
                <c:pt idx="384">
                  <c:v>2.7989313008538572E-8</c:v>
                </c:pt>
                <c:pt idx="385">
                  <c:v>2.6007240205429848E-8</c:v>
                </c:pt>
                <c:pt idx="386">
                  <c:v>2.4168449098933699E-8</c:v>
                </c:pt>
                <c:pt idx="387">
                  <c:v>2.2462347546273618E-8</c:v>
                </c:pt>
                <c:pt idx="388">
                  <c:v>2.0879069530279349E-8</c:v>
                </c:pt>
                <c:pt idx="389">
                  <c:v>1.9410338854450886E-8</c:v>
                </c:pt>
                <c:pt idx="390">
                  <c:v>1.8043471659265648E-8</c:v>
                </c:pt>
                <c:pt idx="391">
                  <c:v>1.6773857025916362E-8</c:v>
                </c:pt>
                <c:pt idx="392">
                  <c:v>1.558985128343721E-8</c:v>
                </c:pt>
                <c:pt idx="393">
                  <c:v>1.4486691356900112E-8</c:v>
                </c:pt>
                <c:pt idx="394">
                  <c:v>1.3467258851309269E-8</c:v>
                </c:pt>
                <c:pt idx="395">
                  <c:v>1.2517279856863592E-8</c:v>
                </c:pt>
                <c:pt idx="396">
                  <c:v>1.1638931650428433E-8</c:v>
                </c:pt>
                <c:pt idx="397">
                  <c:v>1.0821831921502873E-8</c:v>
                </c:pt>
                <c:pt idx="398">
                  <c:v>1.0061945648695066E-8</c:v>
                </c:pt>
                <c:pt idx="399">
                  <c:v>9.3548639868514295E-9</c:v>
                </c:pt>
                <c:pt idx="400">
                  <c:v>8.7015242470238692E-9</c:v>
                </c:pt>
              </c:numCache>
            </c:numRef>
          </c:yVal>
          <c:smooth val="0"/>
          <c:extLst>
            <c:ext xmlns:c16="http://schemas.microsoft.com/office/drawing/2014/chart" uri="{C3380CC4-5D6E-409C-BE32-E72D297353CC}">
              <c16:uniqueId val="{00000001-CC22-4659-B87E-B67F76C02BC4}"/>
            </c:ext>
          </c:extLst>
        </c:ser>
        <c:ser>
          <c:idx val="2"/>
          <c:order val="2"/>
          <c:tx>
            <c:strRef>
              <c:f>'Demonstration Calculations'!$U$9</c:f>
              <c:strCache>
                <c:ptCount val="1"/>
                <c:pt idx="0">
                  <c:v>Z</c:v>
                </c:pt>
              </c:strCache>
            </c:strRef>
          </c:tx>
          <c:spPr>
            <a:ln w="25400" cap="rnd">
              <a:noFill/>
              <a:round/>
            </a:ln>
            <a:effectLst/>
          </c:spPr>
          <c:marker>
            <c:symbol val="circle"/>
            <c:size val="5"/>
            <c:spPr>
              <a:solidFill>
                <a:schemeClr val="accent3"/>
              </a:solidFill>
              <a:ln w="9525">
                <a:solidFill>
                  <a:schemeClr val="accent3"/>
                </a:solidFill>
              </a:ln>
              <a:effectLst/>
            </c:spPr>
          </c:marker>
          <c:xVal>
            <c:numRef>
              <c:f>'Demonstration Calculations'!$R$10:$R$410</c:f>
              <c:numCache>
                <c:formatCode>0</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'Demonstration Calculations'!$U$10:$U$410</c:f>
              <c:numCache>
                <c:formatCode>0.000000</c:formatCode>
                <c:ptCount val="401"/>
                <c:pt idx="0">
                  <c:v>5.4791934218488233E-6</c:v>
                </c:pt>
                <c:pt idx="1">
                  <c:v>6.0786473847080709E-6</c:v>
                </c:pt>
                <c:pt idx="2">
                  <c:v>6.7139223222879832E-6</c:v>
                </c:pt>
                <c:pt idx="3">
                  <c:v>7.4432579565927519E-6</c:v>
                </c:pt>
                <c:pt idx="4">
                  <c:v>8.3261657787587689E-6</c:v>
                </c:pt>
                <c:pt idx="5">
                  <c:v>9.4243569310737356E-6</c:v>
                </c:pt>
                <c:pt idx="6">
                  <c:v>1.0796944212407886E-5</c:v>
                </c:pt>
                <c:pt idx="7">
                  <c:v>1.2445815875255753E-5</c:v>
                </c:pt>
                <c:pt idx="8">
                  <c:v>1.4351306207800613E-5</c:v>
                </c:pt>
                <c:pt idx="9">
                  <c:v>1.6487646239120898E-5</c:v>
                </c:pt>
                <c:pt idx="10">
                  <c:v>1.8833669332207705E-5</c:v>
                </c:pt>
                <c:pt idx="11">
                  <c:v>2.1359667389977057E-5</c:v>
                </c:pt>
                <c:pt idx="12">
                  <c:v>2.4155128708549198E-5</c:v>
                </c:pt>
                <c:pt idx="13">
                  <c:v>2.7378216368028645E-5</c:v>
                </c:pt>
                <c:pt idx="14">
                  <c:v>3.1190931840711999E-5</c:v>
                </c:pt>
                <c:pt idx="15">
                  <c:v>3.5766307471439141E-5</c:v>
                </c:pt>
                <c:pt idx="16">
                  <c:v>4.1345758854961689E-5</c:v>
                </c:pt>
                <c:pt idx="17">
                  <c:v>4.7875129861295123E-5</c:v>
                </c:pt>
                <c:pt idx="18">
                  <c:v>5.5099885235742195E-5</c:v>
                </c:pt>
                <c:pt idx="19">
                  <c:v>6.2732169612799373E-5</c:v>
                </c:pt>
                <c:pt idx="20">
                  <c:v>7.0496141198184151E-5</c:v>
                </c:pt>
                <c:pt idx="21">
                  <c:v>7.8179328818680005E-5</c:v>
                </c:pt>
                <c:pt idx="22">
                  <c:v>8.6279778643994867E-5</c:v>
                </c:pt>
                <c:pt idx="23">
                  <c:v>9.5521473284586702E-5</c:v>
                </c:pt>
                <c:pt idx="24">
                  <c:v>1.0669070752527553E-4</c:v>
                </c:pt>
                <c:pt idx="25">
                  <c:v>1.2057637839415456E-4</c:v>
                </c:pt>
                <c:pt idx="26">
                  <c:v>1.3780472458906577E-4</c:v>
                </c:pt>
                <c:pt idx="27">
                  <c:v>1.5840673128540063E-4</c:v>
                </c:pt>
                <c:pt idx="28">
                  <c:v>1.8229127734408041E-4</c:v>
                </c:pt>
                <c:pt idx="29">
                  <c:v>2.0940312214432828E-4</c:v>
                </c:pt>
                <c:pt idx="30">
                  <c:v>2.39652966503487E-4</c:v>
                </c:pt>
                <c:pt idx="31">
                  <c:v>2.730946284078044E-4</c:v>
                </c:pt>
                <c:pt idx="32">
                  <c:v>3.1044060643634644E-4</c:v>
                </c:pt>
                <c:pt idx="33">
                  <c:v>3.52501736432411E-4</c:v>
                </c:pt>
                <c:pt idx="34">
                  <c:v>4.0022519439926718E-4</c:v>
                </c:pt>
                <c:pt idx="35">
                  <c:v>4.5456089344962685E-4</c:v>
                </c:pt>
                <c:pt idx="36">
                  <c:v>5.1562579120047278E-4</c:v>
                </c:pt>
                <c:pt idx="37">
                  <c:v>5.8355235649186704E-4</c:v>
                </c:pt>
                <c:pt idx="38">
                  <c:v>6.5942261002952256E-4</c:v>
                </c:pt>
                <c:pt idx="39">
                  <c:v>7.4422987348051145E-4</c:v>
                </c:pt>
                <c:pt idx="40">
                  <c:v>8.3908106918044695E-4</c:v>
                </c:pt>
                <c:pt idx="41">
                  <c:v>9.4509527236462593E-4</c:v>
                </c:pt>
                <c:pt idx="42">
                  <c:v>1.0606204559233804E-3</c:v>
                </c:pt>
                <c:pt idx="43">
                  <c:v>1.1827196483540959E-3</c:v>
                </c:pt>
                <c:pt idx="44">
                  <c:v>1.3080160197495591E-3</c:v>
                </c:pt>
                <c:pt idx="45">
                  <c:v>1.4333255639586101E-3</c:v>
                </c:pt>
                <c:pt idx="46">
                  <c:v>1.5566581052279206E-3</c:v>
                </c:pt>
                <c:pt idx="47">
                  <c:v>1.6779303146443997E-3</c:v>
                </c:pt>
                <c:pt idx="48">
                  <c:v>1.7965626109786512E-3</c:v>
                </c:pt>
                <c:pt idx="49">
                  <c:v>1.9117491722642494E-3</c:v>
                </c:pt>
                <c:pt idx="50">
                  <c:v>2.022884829443725E-3</c:v>
                </c:pt>
                <c:pt idx="51">
                  <c:v>2.1289188120933254E-3</c:v>
                </c:pt>
                <c:pt idx="52">
                  <c:v>2.2292343720204146E-3</c:v>
                </c:pt>
                <c:pt idx="53">
                  <c:v>2.3236929228426196E-3</c:v>
                </c:pt>
                <c:pt idx="54">
                  <c:v>2.4118879954181742E-3</c:v>
                </c:pt>
                <c:pt idx="55">
                  <c:v>2.4941652704205904E-3</c:v>
                </c:pt>
                <c:pt idx="56">
                  <c:v>2.5694426326140444E-3</c:v>
                </c:pt>
                <c:pt idx="57">
                  <c:v>2.6384050549720555E-3</c:v>
                </c:pt>
                <c:pt idx="58">
                  <c:v>2.7004216873193244E-3</c:v>
                </c:pt>
                <c:pt idx="59">
                  <c:v>2.7559731506125043E-3</c:v>
                </c:pt>
                <c:pt idx="60">
                  <c:v>2.805239865442333E-3</c:v>
                </c:pt>
                <c:pt idx="61">
                  <c:v>2.8481579342526635E-3</c:v>
                </c:pt>
                <c:pt idx="62">
                  <c:v>2.8847665723704154E-3</c:v>
                </c:pt>
                <c:pt idx="63">
                  <c:v>2.9160740972970921E-3</c:v>
                </c:pt>
                <c:pt idx="64">
                  <c:v>2.9422508502294524E-3</c:v>
                </c:pt>
                <c:pt idx="65">
                  <c:v>2.9646679997088906E-3</c:v>
                </c:pt>
                <c:pt idx="66">
                  <c:v>2.9828603933998699E-3</c:v>
                </c:pt>
                <c:pt idx="67">
                  <c:v>2.9970777690618345E-3</c:v>
                </c:pt>
                <c:pt idx="68">
                  <c:v>3.0084985073354814E-3</c:v>
                </c:pt>
                <c:pt idx="69">
                  <c:v>3.0173861508318032E-3</c:v>
                </c:pt>
                <c:pt idx="70">
                  <c:v>3.0243001402561948E-3</c:v>
                </c:pt>
                <c:pt idx="71">
                  <c:v>3.0299724745570032E-3</c:v>
                </c:pt>
                <c:pt idx="72">
                  <c:v>3.0344160849365255E-3</c:v>
                </c:pt>
                <c:pt idx="73">
                  <c:v>3.0359115559922259E-3</c:v>
                </c:pt>
                <c:pt idx="74">
                  <c:v>3.0340625696939926E-3</c:v>
                </c:pt>
                <c:pt idx="75">
                  <c:v>3.0282145153960154E-3</c:v>
                </c:pt>
                <c:pt idx="76">
                  <c:v>3.0176365315352205E-3</c:v>
                </c:pt>
                <c:pt idx="77">
                  <c:v>3.0022524645362493E-3</c:v>
                </c:pt>
                <c:pt idx="78">
                  <c:v>2.9822396346834475E-3</c:v>
                </c:pt>
                <c:pt idx="79">
                  <c:v>2.9574545859440827E-3</c:v>
                </c:pt>
                <c:pt idx="80">
                  <c:v>2.9277790564865565E-3</c:v>
                </c:pt>
                <c:pt idx="81">
                  <c:v>2.8936453229882349E-3</c:v>
                </c:pt>
                <c:pt idx="82">
                  <c:v>2.8546375419129873E-3</c:v>
                </c:pt>
                <c:pt idx="83">
                  <c:v>2.8091673945810349E-3</c:v>
                </c:pt>
                <c:pt idx="84">
                  <c:v>2.7559199638896091E-3</c:v>
                </c:pt>
                <c:pt idx="85">
                  <c:v>2.6933621263663474E-3</c:v>
                </c:pt>
                <c:pt idx="86">
                  <c:v>2.6206061013870274E-3</c:v>
                </c:pt>
                <c:pt idx="87">
                  <c:v>2.5391804626180609E-3</c:v>
                </c:pt>
                <c:pt idx="88">
                  <c:v>2.4519685987993214E-3</c:v>
                </c:pt>
                <c:pt idx="89">
                  <c:v>2.3616223454539132E-3</c:v>
                </c:pt>
                <c:pt idx="90">
                  <c:v>2.2710811978152844E-3</c:v>
                </c:pt>
                <c:pt idx="91">
                  <c:v>2.1817340454694436E-3</c:v>
                </c:pt>
                <c:pt idx="92">
                  <c:v>2.0932195751629181E-3</c:v>
                </c:pt>
                <c:pt idx="93">
                  <c:v>2.0053794627540806E-3</c:v>
                </c:pt>
                <c:pt idx="94">
                  <c:v>1.9181545584158357E-3</c:v>
                </c:pt>
                <c:pt idx="95">
                  <c:v>1.8313736276654687E-3</c:v>
                </c:pt>
                <c:pt idx="96">
                  <c:v>1.7453779213043824E-3</c:v>
                </c:pt>
                <c:pt idx="97">
                  <c:v>1.6607921956956757E-3</c:v>
                </c:pt>
                <c:pt idx="98">
                  <c:v>1.5778127172684266E-3</c:v>
                </c:pt>
                <c:pt idx="99">
                  <c:v>1.4966539368327012E-3</c:v>
                </c:pt>
                <c:pt idx="100">
                  <c:v>1.4175485485706059E-3</c:v>
                </c:pt>
                <c:pt idx="101">
                  <c:v>1.3406127481848905E-3</c:v>
                </c:pt>
                <c:pt idx="102">
                  <c:v>1.2661736645102491E-3</c:v>
                </c:pt>
                <c:pt idx="103">
                  <c:v>1.1945155054062203E-3</c:v>
                </c:pt>
                <c:pt idx="104">
                  <c:v>1.1259707409894298E-3</c:v>
                </c:pt>
                <c:pt idx="105">
                  <c:v>1.0608718284840569E-3</c:v>
                </c:pt>
                <c:pt idx="106">
                  <c:v>9.9949424894358089E-4</c:v>
                </c:pt>
                <c:pt idx="107">
                  <c:v>9.4167060310050869E-4</c:v>
                </c:pt>
                <c:pt idx="108">
                  <c:v>8.8722743675462127E-4</c:v>
                </c:pt>
                <c:pt idx="109">
                  <c:v>8.3590292667708654E-4</c:v>
                </c:pt>
                <c:pt idx="110">
                  <c:v>7.875178420818674E-4</c:v>
                </c:pt>
                <c:pt idx="111">
                  <c:v>7.419834548565116E-4</c:v>
                </c:pt>
                <c:pt idx="112">
                  <c:v>6.992501508814742E-4</c:v>
                </c:pt>
                <c:pt idx="113">
                  <c:v>6.5918187842144377E-4</c:v>
                </c:pt>
                <c:pt idx="114">
                  <c:v>6.2165788521150703E-4</c:v>
                </c:pt>
                <c:pt idx="115">
                  <c:v>5.8651383704214739E-4</c:v>
                </c:pt>
                <c:pt idx="116">
                  <c:v>5.5362020267921759E-4</c:v>
                </c:pt>
                <c:pt idx="117">
                  <c:v>5.2284917380714438E-4</c:v>
                </c:pt>
                <c:pt idx="118">
                  <c:v>4.9410736062363624E-4</c:v>
                </c:pt>
                <c:pt idx="119">
                  <c:v>4.6729884038378497E-4</c:v>
                </c:pt>
                <c:pt idx="120">
                  <c:v>4.423420038359998E-4</c:v>
                </c:pt>
                <c:pt idx="121">
                  <c:v>4.1917921063895001E-4</c:v>
                </c:pt>
                <c:pt idx="122">
                  <c:v>3.975953647454444E-4</c:v>
                </c:pt>
                <c:pt idx="123">
                  <c:v>3.7719661939075619E-4</c:v>
                </c:pt>
                <c:pt idx="124">
                  <c:v>3.5761179234267989E-4</c:v>
                </c:pt>
                <c:pt idx="125">
                  <c:v>3.3846245662270296E-4</c:v>
                </c:pt>
                <c:pt idx="126">
                  <c:v>3.1951650108369759E-4</c:v>
                </c:pt>
                <c:pt idx="127">
                  <c:v>3.0086692809838862E-4</c:v>
                </c:pt>
                <c:pt idx="128">
                  <c:v>2.8262507707129829E-4</c:v>
                </c:pt>
                <c:pt idx="129">
                  <c:v>2.6489573329455135E-4</c:v>
                </c:pt>
                <c:pt idx="130">
                  <c:v>2.4780562523823838E-4</c:v>
                </c:pt>
                <c:pt idx="131">
                  <c:v>2.3131272616907532E-4</c:v>
                </c:pt>
                <c:pt idx="132">
                  <c:v>2.1542264394794602E-4</c:v>
                </c:pt>
                <c:pt idx="133">
                  <c:v>2.0024546806039883E-4</c:v>
                </c:pt>
                <c:pt idx="134">
                  <c:v>1.8590248593793057E-4</c:v>
                </c:pt>
                <c:pt idx="135">
                  <c:v>1.725016551930533E-4</c:v>
                </c:pt>
                <c:pt idx="136">
                  <c:v>1.6008668458171777E-4</c:v>
                </c:pt>
                <c:pt idx="137">
                  <c:v>1.4861599335339368E-4</c:v>
                </c:pt>
                <c:pt idx="138">
                  <c:v>1.3806239384878268E-4</c:v>
                </c:pt>
                <c:pt idx="139">
                  <c:v>1.2841166038042812E-4</c:v>
                </c:pt>
                <c:pt idx="140">
                  <c:v>1.1964804698650809E-4</c:v>
                </c:pt>
                <c:pt idx="141">
                  <c:v>1.1177672513416315E-4</c:v>
                </c:pt>
                <c:pt idx="142">
                  <c:v>1.0472669439418157E-4</c:v>
                </c:pt>
                <c:pt idx="143">
                  <c:v>9.834793855434069E-5</c:v>
                </c:pt>
                <c:pt idx="144">
                  <c:v>9.2502518051254025E-5</c:v>
                </c:pt>
                <c:pt idx="145">
                  <c:v>8.7049293756575149E-5</c:v>
                </c:pt>
                <c:pt idx="146">
                  <c:v>8.1905864575691485E-5</c:v>
                </c:pt>
                <c:pt idx="147">
                  <c:v>7.7066013046086154E-5</c:v>
                </c:pt>
                <c:pt idx="148">
                  <c:v>7.2488385250432048E-5</c:v>
                </c:pt>
                <c:pt idx="149">
                  <c:v>6.8131229032029536E-5</c:v>
                </c:pt>
                <c:pt idx="150">
                  <c:v>6.3954922393845594E-5</c:v>
                </c:pt>
                <c:pt idx="151">
                  <c:v>5.9914754699767093E-5</c:v>
                </c:pt>
                <c:pt idx="152">
                  <c:v>5.6002891056663347E-5</c:v>
                </c:pt>
                <c:pt idx="153">
                  <c:v>5.2235812475394902E-5</c:v>
                </c:pt>
                <c:pt idx="154">
                  <c:v>4.8631576799855202E-5</c:v>
                </c:pt>
                <c:pt idx="155">
                  <c:v>4.5210348959647578E-5</c:v>
                </c:pt>
                <c:pt idx="156">
                  <c:v>4.1971497048989812E-5</c:v>
                </c:pt>
                <c:pt idx="157">
                  <c:v>3.8900839716727186E-5</c:v>
                </c:pt>
                <c:pt idx="158">
                  <c:v>3.5995895145930277E-5</c:v>
                </c:pt>
                <c:pt idx="159">
                  <c:v>3.3253399111127239E-5</c:v>
                </c:pt>
                <c:pt idx="160">
                  <c:v>3.0676037339982224E-5</c:v>
                </c:pt>
                <c:pt idx="161">
                  <c:v>2.8260417028076016E-5</c:v>
                </c:pt>
                <c:pt idx="162">
                  <c:v>2.6002045849736615E-5</c:v>
                </c:pt>
                <c:pt idx="163">
                  <c:v>2.389638180305342E-5</c:v>
                </c:pt>
                <c:pt idx="164">
                  <c:v>2.1938418097353524E-5</c:v>
                </c:pt>
                <c:pt idx="165">
                  <c:v>2.0124299646002925E-5</c:v>
                </c:pt>
                <c:pt idx="166">
                  <c:v>1.844965230015473E-5</c:v>
                </c:pt>
                <c:pt idx="167">
                  <c:v>1.6908252634886601E-5</c:v>
                </c:pt>
                <c:pt idx="168">
                  <c:v>1.5491088360589876E-5</c:v>
                </c:pt>
                <c:pt idx="169">
                  <c:v>1.4189717595181711E-5</c:v>
                </c:pt>
                <c:pt idx="170">
                  <c:v>1.2994188939844874E-5</c:v>
                </c:pt>
                <c:pt idx="171">
                  <c:v>1.189768137406345E-5</c:v>
                </c:pt>
                <c:pt idx="172">
                  <c:v>1.0895369024307956E-5</c:v>
                </c:pt>
                <c:pt idx="173">
                  <c:v>9.9815533231575444E-6</c:v>
                </c:pt>
                <c:pt idx="174">
                  <c:v>9.149985501945256E-6</c:v>
                </c:pt>
                <c:pt idx="175">
                  <c:v>8.3948468309556305E-6</c:v>
                </c:pt>
                <c:pt idx="176">
                  <c:v>7.7116244139014738E-6</c:v>
                </c:pt>
                <c:pt idx="177">
                  <c:v>7.0933527103428157E-6</c:v>
                </c:pt>
                <c:pt idx="178">
                  <c:v>6.5339842037354533E-6</c:v>
                </c:pt>
                <c:pt idx="179">
                  <c:v>6.026826074672894E-6</c:v>
                </c:pt>
                <c:pt idx="180">
                  <c:v>5.5649901456124906E-6</c:v>
                </c:pt>
                <c:pt idx="181">
                  <c:v>5.1428202473508643E-6</c:v>
                </c:pt>
                <c:pt idx="182">
                  <c:v>4.7581035965077922E-6</c:v>
                </c:pt>
                <c:pt idx="183">
                  <c:v>4.4094174810014568E-6</c:v>
                </c:pt>
                <c:pt idx="184">
                  <c:v>4.0951479886668207E-6</c:v>
                </c:pt>
                <c:pt idx="185">
                  <c:v>3.8140139617186452E-6</c:v>
                </c:pt>
                <c:pt idx="186">
                  <c:v>3.5631412916329905E-6</c:v>
                </c:pt>
                <c:pt idx="187">
                  <c:v>3.3394189573114555E-6</c:v>
                </c:pt>
                <c:pt idx="188">
                  <c:v>3.1417461469248806E-6</c:v>
                </c:pt>
                <c:pt idx="189">
                  <c:v>2.9685518867353296E-6</c:v>
                </c:pt>
                <c:pt idx="190">
                  <c:v>2.8182873821861634E-6</c:v>
                </c:pt>
                <c:pt idx="191">
                  <c:v>2.6889790825879723E-6</c:v>
                </c:pt>
                <c:pt idx="192">
                  <c:v>2.5779149187869123E-6</c:v>
                </c:pt>
                <c:pt idx="193">
                  <c:v>2.4827568632427203E-6</c:v>
                </c:pt>
                <c:pt idx="194">
                  <c:v>2.4011229276901218E-6</c:v>
                </c:pt>
                <c:pt idx="195">
                  <c:v>2.3306264568457582E-6</c:v>
                </c:pt>
                <c:pt idx="196">
                  <c:v>2.2702312684161136E-6</c:v>
                </c:pt>
                <c:pt idx="197">
                  <c:v>2.2173238103847682E-6</c:v>
                </c:pt>
                <c:pt idx="198">
                  <c:v>2.167322406420599E-6</c:v>
                </c:pt>
                <c:pt idx="199">
                  <c:v>2.1162024247174607E-6</c:v>
                </c:pt>
                <c:pt idx="200">
                  <c:v>2.0596141499843862E-6</c:v>
                </c:pt>
                <c:pt idx="201">
                  <c:v>1.995474096550498E-6</c:v>
                </c:pt>
                <c:pt idx="202">
                  <c:v>1.9250048519589816E-6</c:v>
                </c:pt>
                <c:pt idx="203">
                  <c:v>1.8495440089917619E-6</c:v>
                </c:pt>
                <c:pt idx="204">
                  <c:v>1.7700894303674795E-6</c:v>
                </c:pt>
                <c:pt idx="205">
                  <c:v>1.6877982200329338E-6</c:v>
                </c:pt>
                <c:pt idx="206">
                  <c:v>1.6009759004646872E-6</c:v>
                </c:pt>
                <c:pt idx="207">
                  <c:v>1.51157433463973E-6</c:v>
                </c:pt>
                <c:pt idx="208">
                  <c:v>1.4254817985381969E-6</c:v>
                </c:pt>
                <c:pt idx="209">
                  <c:v>1.3485359910990555E-6</c:v>
                </c:pt>
                <c:pt idx="210">
                  <c:v>1.286441649782297E-6</c:v>
                </c:pt>
                <c:pt idx="211">
                  <c:v>1.2433054526158996E-6</c:v>
                </c:pt>
                <c:pt idx="212">
                  <c:v>1.2146115303483756E-6</c:v>
                </c:pt>
                <c:pt idx="213">
                  <c:v>1.1929678539712264E-6</c:v>
                </c:pt>
                <c:pt idx="214">
                  <c:v>1.1711152702571908E-6</c:v>
                </c:pt>
                <c:pt idx="215">
                  <c:v>1.1420358635326772E-6</c:v>
                </c:pt>
                <c:pt idx="216">
                  <c:v>1.1019170755456177E-6</c:v>
                </c:pt>
                <c:pt idx="217">
                  <c:v>1.0540388694917416E-6</c:v>
                </c:pt>
                <c:pt idx="218">
                  <c:v>1.0019486738844616E-6</c:v>
                </c:pt>
                <c:pt idx="219">
                  <c:v>9.4898067175902328E-7</c:v>
                </c:pt>
                <c:pt idx="220">
                  <c:v>8.9856981167578092E-7</c:v>
                </c:pt>
                <c:pt idx="221">
                  <c:v>8.5251239799675879E-7</c:v>
                </c:pt>
                <c:pt idx="222">
                  <c:v>8.0889066970025244E-7</c:v>
                </c:pt>
                <c:pt idx="223">
                  <c:v>7.6510729941201895E-7</c:v>
                </c:pt>
                <c:pt idx="224">
                  <c:v>7.186080858713881E-7</c:v>
                </c:pt>
                <c:pt idx="225">
                  <c:v>6.6690714019876071E-7</c:v>
                </c:pt>
                <c:pt idx="226">
                  <c:v>6.0804795207760053E-7</c:v>
                </c:pt>
                <c:pt idx="227">
                  <c:v>5.4486487113750056E-7</c:v>
                </c:pt>
                <c:pt idx="228">
                  <c:v>4.8201755983204508E-7</c:v>
                </c:pt>
                <c:pt idx="229">
                  <c:v>4.2407466305995578E-7</c:v>
                </c:pt>
                <c:pt idx="230">
                  <c:v>3.7565853977495337E-7</c:v>
                </c:pt>
                <c:pt idx="231">
                  <c:v>3.3919050798868629E-7</c:v>
                </c:pt>
                <c:pt idx="232">
                  <c:v>3.1237539112398525E-7</c:v>
                </c:pt>
                <c:pt idx="233">
                  <c:v>2.9263250949651858E-7</c:v>
                </c:pt>
                <c:pt idx="234">
                  <c:v>2.7744551915699955E-7</c:v>
                </c:pt>
                <c:pt idx="235">
                  <c:v>2.6428598394902348E-7</c:v>
                </c:pt>
                <c:pt idx="236">
                  <c:v>2.526404024696867E-7</c:v>
                </c:pt>
                <c:pt idx="237">
                  <c:v>2.4273262999742006E-7</c:v>
                </c:pt>
                <c:pt idx="238">
                  <c:v>2.3307035938582289E-7</c:v>
                </c:pt>
                <c:pt idx="239">
                  <c:v>2.2222450967091972E-7</c:v>
                </c:pt>
                <c:pt idx="240">
                  <c:v>2.0872830535842052E-7</c:v>
                </c:pt>
                <c:pt idx="241">
                  <c:v>1.9129877600688919E-7</c:v>
                </c:pt>
                <c:pt idx="242">
                  <c:v>1.7081908230486706E-7</c:v>
                </c:pt>
                <c:pt idx="243">
                  <c:v>1.4913531200266393E-7</c:v>
                </c:pt>
                <c:pt idx="244">
                  <c:v>1.2810505431805783E-7</c:v>
                </c:pt>
                <c:pt idx="245">
                  <c:v>1.0956233897883046E-7</c:v>
                </c:pt>
                <c:pt idx="246">
                  <c:v>9.4306105662379111E-8</c:v>
                </c:pt>
                <c:pt idx="247">
                  <c:v>8.1616663512973268E-8</c:v>
                </c:pt>
                <c:pt idx="248">
                  <c:v>7.1058972814746863E-8</c:v>
                </c:pt>
                <c:pt idx="249">
                  <c:v>6.2185191867132101E-8</c:v>
                </c:pt>
                <c:pt idx="250">
                  <c:v>5.456307704387389E-8</c:v>
                </c:pt>
                <c:pt idx="251">
                  <c:v>4.8139593663757708E-8</c:v>
                </c:pt>
                <c:pt idx="252">
                  <c:v>4.2991552060785713E-8</c:v>
                </c:pt>
                <c:pt idx="253">
                  <c:v>3.8852763643680743E-8</c:v>
                </c:pt>
                <c:pt idx="254">
                  <c:v>3.545725620420803E-8</c:v>
                </c:pt>
                <c:pt idx="255">
                  <c:v>3.2546354810313433E-8</c:v>
                </c:pt>
                <c:pt idx="256">
                  <c:v>2.9958154910684183E-8</c:v>
                </c:pt>
                <c:pt idx="257">
                  <c:v>2.7648027681159312E-8</c:v>
                </c:pt>
                <c:pt idx="258">
                  <c:v>2.5532140766668723E-8</c:v>
                </c:pt>
                <c:pt idx="259">
                  <c:v>2.3519520201707424E-8</c:v>
                </c:pt>
                <c:pt idx="260">
                  <c:v>2.152764389534111E-8</c:v>
                </c:pt>
                <c:pt idx="261">
                  <c:v>1.9481772665654158E-8</c:v>
                </c:pt>
                <c:pt idx="262">
                  <c:v>1.7371875833819837E-8</c:v>
                </c:pt>
                <c:pt idx="263">
                  <c:v>1.5196525073477307E-8</c:v>
                </c:pt>
                <c:pt idx="264">
                  <c:v>1.2958088119585396E-8</c:v>
                </c:pt>
                <c:pt idx="265">
                  <c:v>1.0656553027125638E-8</c:v>
                </c:pt>
                <c:pt idx="266">
                  <c:v>8.2225082659250431E-9</c:v>
                </c:pt>
                <c:pt idx="267">
                  <c:v>5.7283141334617025E-9</c:v>
                </c:pt>
                <c:pt idx="268">
                  <c:v>3.3863576753475403E-9</c:v>
                </c:pt>
                <c:pt idx="269">
                  <c:v>1.4074708318171387E-9</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yVal>
          <c:smooth val="0"/>
          <c:extLst>
            <c:ext xmlns:c16="http://schemas.microsoft.com/office/drawing/2014/chart" uri="{C3380CC4-5D6E-409C-BE32-E72D297353CC}">
              <c16:uniqueId val="{00000002-CC22-4659-B87E-B67F76C02BC4}"/>
            </c:ext>
          </c:extLst>
        </c:ser>
        <c:dLbls>
          <c:showLegendKey val="0"/>
          <c:showVal val="0"/>
          <c:showCatName val="0"/>
          <c:showSerName val="0"/>
          <c:showPercent val="0"/>
          <c:showBubbleSize val="0"/>
        </c:dLbls>
        <c:axId val="504969152"/>
        <c:axId val="504969544"/>
      </c:scatterChart>
      <c:valAx>
        <c:axId val="504969152"/>
        <c:scaling>
          <c:orientation val="minMax"/>
          <c:max val="700"/>
          <c:min val="4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Wavelenght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4969544"/>
        <c:crosses val="autoZero"/>
        <c:crossBetween val="midCat"/>
      </c:valAx>
      <c:valAx>
        <c:axId val="504969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Calculated Sensitivity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04969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Basic</a:t>
            </a:r>
            <a:r>
              <a:rPr lang="en-US" baseline="0"/>
              <a:t>Counts vs.Corrected Counts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smoothMarker"/>
        <c:varyColors val="0"/>
        <c:ser>
          <c:idx val="0"/>
          <c:order val="0"/>
          <c:tx>
            <c:strRef>
              <c:f>'Demonstration Calculations'!$C$9</c:f>
              <c:strCache>
                <c:ptCount val="1"/>
                <c:pt idx="0">
                  <c:v>Basic Counts from protocol file</c:v>
                </c:pt>
              </c:strCache>
            </c:strRef>
          </c:tx>
          <c:spPr>
            <a:ln w="19050" cap="rnd">
              <a:solidFill>
                <a:schemeClr val="accent1"/>
              </a:solidFill>
              <a:round/>
            </a:ln>
            <a:effectLst/>
          </c:spPr>
          <c:marker>
            <c:symbol val="none"/>
          </c:marker>
          <c:xVal>
            <c:numRef>
              <c:f>('Demonstration Calculations'!$B$10:$B$17,'Demonstration Calculations'!$B$19)</c:f>
              <c:numCache>
                <c:formatCode>General</c:formatCode>
                <c:ptCount val="9"/>
                <c:pt idx="0">
                  <c:v>415</c:v>
                </c:pt>
                <c:pt idx="1">
                  <c:v>445</c:v>
                </c:pt>
                <c:pt idx="2">
                  <c:v>480</c:v>
                </c:pt>
                <c:pt idx="3">
                  <c:v>515</c:v>
                </c:pt>
                <c:pt idx="4">
                  <c:v>555</c:v>
                </c:pt>
                <c:pt idx="5">
                  <c:v>590</c:v>
                </c:pt>
                <c:pt idx="6">
                  <c:v>630</c:v>
                </c:pt>
                <c:pt idx="7">
                  <c:v>680</c:v>
                </c:pt>
                <c:pt idx="8">
                  <c:v>900</c:v>
                </c:pt>
              </c:numCache>
            </c:numRef>
          </c:xVal>
          <c:yVal>
            <c:numRef>
              <c:f>('Demonstration Calculations'!$C$10:$C$17,'Demonstration Calculations'!$C$19)</c:f>
              <c:numCache>
                <c:formatCode>0.000000</c:formatCode>
                <c:ptCount val="9"/>
                <c:pt idx="0">
                  <c:v>1.1525710447367554E-2</c:v>
                </c:pt>
                <c:pt idx="1">
                  <c:v>2.04973062890801E-2</c:v>
                </c:pt>
                <c:pt idx="2">
                  <c:v>2.9501096852712669E-2</c:v>
                </c:pt>
                <c:pt idx="3">
                  <c:v>3.3868847459862197E-2</c:v>
                </c:pt>
                <c:pt idx="4">
                  <c:v>3.6251256881943757E-2</c:v>
                </c:pt>
                <c:pt idx="5">
                  <c:v>3.545712040791657E-2</c:v>
                </c:pt>
                <c:pt idx="6">
                  <c:v>4.1338022945307092E-2</c:v>
                </c:pt>
                <c:pt idx="7">
                  <c:v>4.4997489670216162E-2</c:v>
                </c:pt>
                <c:pt idx="8">
                  <c:v>5.4001280233848724E-2</c:v>
                </c:pt>
              </c:numCache>
            </c:numRef>
          </c:yVal>
          <c:smooth val="1"/>
          <c:extLst>
            <c:ext xmlns:c16="http://schemas.microsoft.com/office/drawing/2014/chart" uri="{C3380CC4-5D6E-409C-BE32-E72D297353CC}">
              <c16:uniqueId val="{00000000-C5BF-441E-A605-7923C745FA91}"/>
            </c:ext>
          </c:extLst>
        </c:ser>
        <c:ser>
          <c:idx val="1"/>
          <c:order val="1"/>
          <c:tx>
            <c:strRef>
              <c:f>'Demonstration Calculations'!$H$9</c:f>
              <c:strCache>
                <c:ptCount val="1"/>
                <c:pt idx="0">
                  <c:v>Corrected Sensor Data's</c:v>
                </c:pt>
              </c:strCache>
            </c:strRef>
          </c:tx>
          <c:spPr>
            <a:ln w="19050" cap="rnd">
              <a:solidFill>
                <a:schemeClr val="accent2"/>
              </a:solidFill>
              <a:round/>
            </a:ln>
            <a:effectLst/>
          </c:spPr>
          <c:marker>
            <c:symbol val="none"/>
          </c:marker>
          <c:xVal>
            <c:numRef>
              <c:f>('Demonstration Calculations'!$B$10:$B$17,'Demonstration Calculations'!$B$19)</c:f>
              <c:numCache>
                <c:formatCode>General</c:formatCode>
                <c:ptCount val="9"/>
                <c:pt idx="0">
                  <c:v>415</c:v>
                </c:pt>
                <c:pt idx="1">
                  <c:v>445</c:v>
                </c:pt>
                <c:pt idx="2">
                  <c:v>480</c:v>
                </c:pt>
                <c:pt idx="3">
                  <c:v>515</c:v>
                </c:pt>
                <c:pt idx="4">
                  <c:v>555</c:v>
                </c:pt>
                <c:pt idx="5">
                  <c:v>590</c:v>
                </c:pt>
                <c:pt idx="6">
                  <c:v>630</c:v>
                </c:pt>
                <c:pt idx="7">
                  <c:v>680</c:v>
                </c:pt>
                <c:pt idx="8">
                  <c:v>900</c:v>
                </c:pt>
              </c:numCache>
            </c:numRef>
          </c:xVal>
          <c:yVal>
            <c:numRef>
              <c:f>('Demonstration Calculations'!$H$10:$H$17,'Demonstration Calculations'!$H$19)</c:f>
              <c:numCache>
                <c:formatCode>0.000000</c:formatCode>
                <c:ptCount val="9"/>
                <c:pt idx="0">
                  <c:v>1.1057181599639414E-2</c:v>
                </c:pt>
                <c:pt idx="1">
                  <c:v>1.9664075284274933E-2</c:v>
                </c:pt>
                <c:pt idx="2">
                  <c:v>2.8301854951032355E-2</c:v>
                </c:pt>
                <c:pt idx="3">
                  <c:v>3.2492053192236491E-2</c:v>
                </c:pt>
                <c:pt idx="4">
                  <c:v>3.4777615869256921E-2</c:v>
                </c:pt>
                <c:pt idx="5">
                  <c:v>3.4015761643583442E-2</c:v>
                </c:pt>
                <c:pt idx="6">
                  <c:v>3.965760104451678E-2</c:v>
                </c:pt>
                <c:pt idx="7">
                  <c:v>4.3168307679039168E-2</c:v>
                </c:pt>
                <c:pt idx="8">
                  <c:v>5.180608734579658E-2</c:v>
                </c:pt>
              </c:numCache>
            </c:numRef>
          </c:yVal>
          <c:smooth val="1"/>
          <c:extLst>
            <c:ext xmlns:c16="http://schemas.microsoft.com/office/drawing/2014/chart" uri="{C3380CC4-5D6E-409C-BE32-E72D297353CC}">
              <c16:uniqueId val="{00000001-C5BF-441E-A605-7923C745FA91}"/>
            </c:ext>
          </c:extLst>
        </c:ser>
        <c:dLbls>
          <c:showLegendKey val="0"/>
          <c:showVal val="0"/>
          <c:showCatName val="0"/>
          <c:showSerName val="0"/>
          <c:showPercent val="0"/>
          <c:showBubbleSize val="0"/>
        </c:dLbls>
        <c:axId val="986159551"/>
        <c:axId val="986153311"/>
      </c:scatterChart>
      <c:valAx>
        <c:axId val="986159551"/>
        <c:scaling>
          <c:orientation val="minMax"/>
          <c:max val="900"/>
          <c:min val="4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6153311"/>
        <c:crosses val="autoZero"/>
        <c:crossBetween val="midCat"/>
      </c:valAx>
      <c:valAx>
        <c:axId val="9861533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Basic</a:t>
                </a:r>
                <a:r>
                  <a:rPr lang="en-US" baseline="0"/>
                  <a:t> Counts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61595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Comparision of calibrations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'Demonstration Calculations'!$AD$26</c:f>
              <c:strCache>
                <c:ptCount val="1"/>
                <c:pt idx="0">
                  <c:v>y</c:v>
                </c:pt>
              </c:strCache>
            </c:strRef>
          </c:tx>
          <c:spPr>
            <a:ln w="2540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'Demonstration Calculations'!$AC$27:$AC$28</c:f>
              <c:numCache>
                <c:formatCode>General</c:formatCode>
                <c:ptCount val="2"/>
                <c:pt idx="0">
                  <c:v>0.29786348545599478</c:v>
                </c:pt>
                <c:pt idx="1">
                  <c:v>0.29855857239602224</c:v>
                </c:pt>
              </c:numCache>
            </c:numRef>
          </c:xVal>
          <c:yVal>
            <c:numRef>
              <c:f>'Demonstration Calculations'!$AD$27:$AD$28</c:f>
              <c:numCache>
                <c:formatCode>General</c:formatCode>
                <c:ptCount val="2"/>
                <c:pt idx="0">
                  <c:v>0.32150729825292879</c:v>
                </c:pt>
                <c:pt idx="1">
                  <c:v>0.32279209133434683</c:v>
                </c:pt>
              </c:numCache>
            </c:numRef>
          </c:yVal>
          <c:smooth val="0"/>
          <c:extLst>
            <c:ext xmlns:c16="http://schemas.microsoft.com/office/drawing/2014/chart" uri="{C3380CC4-5D6E-409C-BE32-E72D297353CC}">
              <c16:uniqueId val="{00000000-914E-4555-82A3-91D6F8718D0A}"/>
            </c:ext>
          </c:extLst>
        </c:ser>
        <c:dLbls>
          <c:dLblPos val="t"/>
          <c:showLegendKey val="0"/>
          <c:showVal val="1"/>
          <c:showCatName val="0"/>
          <c:showSerName val="0"/>
          <c:showPercent val="0"/>
          <c:showBubbleSize val="0"/>
        </c:dLbls>
        <c:axId val="1609365423"/>
        <c:axId val="1616392079"/>
      </c:scatterChart>
      <c:valAx>
        <c:axId val="16093654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CIE1931</a:t>
                </a:r>
                <a:r>
                  <a:rPr lang="en-US" baseline="0"/>
                  <a:t> x</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16392079"/>
        <c:crosses val="autoZero"/>
        <c:crossBetween val="midCat"/>
      </c:valAx>
      <c:valAx>
        <c:axId val="1616392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CIE1931</a:t>
                </a:r>
                <a:r>
                  <a:rPr lang="en-US" baseline="0"/>
                  <a:t> 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936542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Typical</a:t>
            </a:r>
            <a:r>
              <a:rPr lang="en-US" baseline="0"/>
              <a:t> filter curves AS7341 based on measured results</a:t>
            </a:r>
            <a:endParaRPr lang="en-US"/>
          </a:p>
        </c:rich>
      </c:tx>
      <c:layout>
        <c:manualLayout>
          <c:xMode val="edge"/>
          <c:yMode val="edge"/>
          <c:x val="0.25327137158253099"/>
          <c:y val="3.34168755221386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smoothMarker"/>
        <c:varyColors val="0"/>
        <c:ser>
          <c:idx val="0"/>
          <c:order val="0"/>
          <c:tx>
            <c:strRef>
              <c:f>'Typical AS7341 filters'!$B$4</c:f>
              <c:strCache>
                <c:ptCount val="1"/>
                <c:pt idx="0">
                  <c:v>F1 - 512x</c:v>
                </c:pt>
              </c:strCache>
            </c:strRef>
          </c:tx>
          <c:spPr>
            <a:ln w="19050" cap="rnd">
              <a:solidFill>
                <a:schemeClr val="accent1"/>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filters'!$B$5:$B$405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13.88459349464593</c:v>
                </c:pt>
                <c:pt idx="49">
                  <c:v>116.80440957173187</c:v>
                </c:pt>
                <c:pt idx="50">
                  <c:v>223.50931089927838</c:v>
                </c:pt>
                <c:pt idx="51">
                  <c:v>352.56263682558023</c:v>
                </c:pt>
                <c:pt idx="52">
                  <c:v>478.01066228011103</c:v>
                </c:pt>
                <c:pt idx="53">
                  <c:v>651.72889977946784</c:v>
                </c:pt>
                <c:pt idx="54">
                  <c:v>770.02866361728172</c:v>
                </c:pt>
                <c:pt idx="55">
                  <c:v>897.9907509904059</c:v>
                </c:pt>
                <c:pt idx="56">
                  <c:v>949.5999861762474</c:v>
                </c:pt>
                <c:pt idx="57">
                  <c:v>985.37579976292955</c:v>
                </c:pt>
                <c:pt idx="58">
                  <c:v>1000.3642090058928</c:v>
                </c:pt>
                <c:pt idx="59">
                  <c:v>1007.7935753597873</c:v>
                </c:pt>
                <c:pt idx="60">
                  <c:v>989.6785312843042</c:v>
                </c:pt>
                <c:pt idx="61">
                  <c:v>942.89686066529964</c:v>
                </c:pt>
                <c:pt idx="62">
                  <c:v>878.531287038914</c:v>
                </c:pt>
                <c:pt idx="63">
                  <c:v>803.90261186243231</c:v>
                </c:pt>
                <c:pt idx="64">
                  <c:v>679.07816307196026</c:v>
                </c:pt>
                <c:pt idx="65">
                  <c:v>560.70466638930907</c:v>
                </c:pt>
                <c:pt idx="66">
                  <c:v>411.61867366950321</c:v>
                </c:pt>
                <c:pt idx="67">
                  <c:v>276.8475923256994</c:v>
                </c:pt>
                <c:pt idx="68">
                  <c:v>165.21766044541417</c:v>
                </c:pt>
                <c:pt idx="69">
                  <c:v>88.153335312259799</c:v>
                </c:pt>
                <c:pt idx="70">
                  <c:v>38.947187738654563</c:v>
                </c:pt>
                <c:pt idx="71">
                  <c:v>3.663108823064904</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7.1726117440663169</c:v>
                </c:pt>
                <c:pt idx="120">
                  <c:v>10.384481744528841</c:v>
                </c:pt>
                <c:pt idx="121">
                  <c:v>12.497261035328881</c:v>
                </c:pt>
                <c:pt idx="122">
                  <c:v>15.182591308621966</c:v>
                </c:pt>
                <c:pt idx="123">
                  <c:v>14.587890249538999</c:v>
                </c:pt>
                <c:pt idx="124">
                  <c:v>19.890259044853916</c:v>
                </c:pt>
                <c:pt idx="125">
                  <c:v>24.027116392461789</c:v>
                </c:pt>
                <c:pt idx="126">
                  <c:v>25.20514360645268</c:v>
                </c:pt>
                <c:pt idx="127">
                  <c:v>27.873639626674045</c:v>
                </c:pt>
                <c:pt idx="128">
                  <c:v>33.844375657317713</c:v>
                </c:pt>
                <c:pt idx="129">
                  <c:v>33.118266554407661</c:v>
                </c:pt>
                <c:pt idx="130">
                  <c:v>33.001417603329429</c:v>
                </c:pt>
                <c:pt idx="131">
                  <c:v>34.471768330312109</c:v>
                </c:pt>
                <c:pt idx="132">
                  <c:v>41.848198494239234</c:v>
                </c:pt>
                <c:pt idx="133">
                  <c:v>45.131152301435137</c:v>
                </c:pt>
                <c:pt idx="134">
                  <c:v>48.330375094159812</c:v>
                </c:pt>
                <c:pt idx="135">
                  <c:v>50.028378298708077</c:v>
                </c:pt>
                <c:pt idx="136">
                  <c:v>51.852984996131262</c:v>
                </c:pt>
                <c:pt idx="137">
                  <c:v>54.80322229269742</c:v>
                </c:pt>
                <c:pt idx="138">
                  <c:v>52.921276051983924</c:v>
                </c:pt>
                <c:pt idx="139">
                  <c:v>51.722343122573037</c:v>
                </c:pt>
                <c:pt idx="140">
                  <c:v>52.154737642368637</c:v>
                </c:pt>
                <c:pt idx="141">
                  <c:v>51.234487054955736</c:v>
                </c:pt>
                <c:pt idx="142">
                  <c:v>47.572179362985722</c:v>
                </c:pt>
                <c:pt idx="143">
                  <c:v>49.189518897125183</c:v>
                </c:pt>
                <c:pt idx="144">
                  <c:v>45.235971408117273</c:v>
                </c:pt>
                <c:pt idx="145">
                  <c:v>44.126759714324329</c:v>
                </c:pt>
                <c:pt idx="146">
                  <c:v>45.326704268334666</c:v>
                </c:pt>
                <c:pt idx="147">
                  <c:v>45.6060168843483</c:v>
                </c:pt>
                <c:pt idx="148">
                  <c:v>48.159492133602441</c:v>
                </c:pt>
                <c:pt idx="149">
                  <c:v>44.266975199982518</c:v>
                </c:pt>
                <c:pt idx="150">
                  <c:v>46.467157808492487</c:v>
                </c:pt>
                <c:pt idx="151">
                  <c:v>46.680154869005904</c:v>
                </c:pt>
                <c:pt idx="152">
                  <c:v>45.718249399473279</c:v>
                </c:pt>
                <c:pt idx="153">
                  <c:v>43.425660343305651</c:v>
                </c:pt>
                <c:pt idx="154">
                  <c:v>45.281208767088948</c:v>
                </c:pt>
                <c:pt idx="155">
                  <c:v>45.326079111342239</c:v>
                </c:pt>
                <c:pt idx="156">
                  <c:v>49.597466772518487</c:v>
                </c:pt>
                <c:pt idx="157">
                  <c:v>48.876942620984032</c:v>
                </c:pt>
                <c:pt idx="158">
                  <c:v>52.441952319257112</c:v>
                </c:pt>
                <c:pt idx="159">
                  <c:v>52.837473534320075</c:v>
                </c:pt>
                <c:pt idx="160">
                  <c:v>55.013619553593344</c:v>
                </c:pt>
                <c:pt idx="161">
                  <c:v>57.339675169248835</c:v>
                </c:pt>
                <c:pt idx="162">
                  <c:v>58.75561621797857</c:v>
                </c:pt>
                <c:pt idx="163">
                  <c:v>59.524330878399816</c:v>
                </c:pt>
                <c:pt idx="164">
                  <c:v>60.80149136242224</c:v>
                </c:pt>
                <c:pt idx="165">
                  <c:v>64.371414435106004</c:v>
                </c:pt>
                <c:pt idx="166">
                  <c:v>67.338637509701471</c:v>
                </c:pt>
                <c:pt idx="167">
                  <c:v>69.390897650805684</c:v>
                </c:pt>
                <c:pt idx="168">
                  <c:v>71.397072448472414</c:v>
                </c:pt>
                <c:pt idx="169">
                  <c:v>73.344321227189354</c:v>
                </c:pt>
                <c:pt idx="170">
                  <c:v>76.186873636068256</c:v>
                </c:pt>
                <c:pt idx="171">
                  <c:v>77.796670945112098</c:v>
                </c:pt>
                <c:pt idx="172">
                  <c:v>79.121207496537252</c:v>
                </c:pt>
                <c:pt idx="173">
                  <c:v>78.330615321277719</c:v>
                </c:pt>
                <c:pt idx="174">
                  <c:v>76.203360730102943</c:v>
                </c:pt>
                <c:pt idx="175">
                  <c:v>74.842575209957261</c:v>
                </c:pt>
                <c:pt idx="176">
                  <c:v>75.834364353626071</c:v>
                </c:pt>
                <c:pt idx="177">
                  <c:v>76.114415250382535</c:v>
                </c:pt>
                <c:pt idx="178">
                  <c:v>73.376394537157239</c:v>
                </c:pt>
                <c:pt idx="179">
                  <c:v>73.496602937666054</c:v>
                </c:pt>
                <c:pt idx="180">
                  <c:v>72.403984025931408</c:v>
                </c:pt>
                <c:pt idx="181">
                  <c:v>74.040769548094445</c:v>
                </c:pt>
                <c:pt idx="182">
                  <c:v>76.127762869671272</c:v>
                </c:pt>
                <c:pt idx="183">
                  <c:v>78.584912926376376</c:v>
                </c:pt>
                <c:pt idx="184">
                  <c:v>80.804151459600604</c:v>
                </c:pt>
                <c:pt idx="185">
                  <c:v>82.37533033307578</c:v>
                </c:pt>
                <c:pt idx="186">
                  <c:v>84.594632574860981</c:v>
                </c:pt>
                <c:pt idx="187">
                  <c:v>87.580066401071051</c:v>
                </c:pt>
                <c:pt idx="188">
                  <c:v>90.946819343536561</c:v>
                </c:pt>
                <c:pt idx="189">
                  <c:v>93.851967219691346</c:v>
                </c:pt>
                <c:pt idx="190">
                  <c:v>95.602608505809158</c:v>
                </c:pt>
                <c:pt idx="191">
                  <c:v>94.878882101947511</c:v>
                </c:pt>
                <c:pt idx="192">
                  <c:v>93.848567782399385</c:v>
                </c:pt>
                <c:pt idx="193">
                  <c:v>94.215323149984783</c:v>
                </c:pt>
                <c:pt idx="194">
                  <c:v>93.830718977820609</c:v>
                </c:pt>
                <c:pt idx="195">
                  <c:v>94.580550541175285</c:v>
                </c:pt>
                <c:pt idx="196">
                  <c:v>92.394263819859546</c:v>
                </c:pt>
                <c:pt idx="197">
                  <c:v>86.947634041154458</c:v>
                </c:pt>
                <c:pt idx="198">
                  <c:v>83.234659381634259</c:v>
                </c:pt>
                <c:pt idx="199">
                  <c:v>80.098902040178942</c:v>
                </c:pt>
                <c:pt idx="200">
                  <c:v>78.845337087479891</c:v>
                </c:pt>
                <c:pt idx="201">
                  <c:v>76.735957083701649</c:v>
                </c:pt>
                <c:pt idx="202">
                  <c:v>75.918507618710038</c:v>
                </c:pt>
                <c:pt idx="203">
                  <c:v>74.954703025245934</c:v>
                </c:pt>
                <c:pt idx="204">
                  <c:v>73.287030163943555</c:v>
                </c:pt>
                <c:pt idx="205">
                  <c:v>72.360885599260115</c:v>
                </c:pt>
                <c:pt idx="206">
                  <c:v>72.909359068862145</c:v>
                </c:pt>
                <c:pt idx="207">
                  <c:v>74.191941816988688</c:v>
                </c:pt>
                <c:pt idx="208">
                  <c:v>77.990751141568211</c:v>
                </c:pt>
                <c:pt idx="209">
                  <c:v>81.28834376947529</c:v>
                </c:pt>
                <c:pt idx="210">
                  <c:v>85.468838102887077</c:v>
                </c:pt>
                <c:pt idx="211">
                  <c:v>88.049289288145729</c:v>
                </c:pt>
                <c:pt idx="212">
                  <c:v>91.042040745950459</c:v>
                </c:pt>
                <c:pt idx="213">
                  <c:v>94.056793054361933</c:v>
                </c:pt>
                <c:pt idx="214">
                  <c:v>96.576296147338667</c:v>
                </c:pt>
                <c:pt idx="215">
                  <c:v>100.86954067317471</c:v>
                </c:pt>
                <c:pt idx="216">
                  <c:v>105.40442442512777</c:v>
                </c:pt>
                <c:pt idx="217">
                  <c:v>109.62680742806378</c:v>
                </c:pt>
                <c:pt idx="218">
                  <c:v>114.25631558651943</c:v>
                </c:pt>
                <c:pt idx="219">
                  <c:v>115.74242260336473</c:v>
                </c:pt>
                <c:pt idx="220">
                  <c:v>118.69488245875955</c:v>
                </c:pt>
                <c:pt idx="221">
                  <c:v>121.51170258864676</c:v>
                </c:pt>
                <c:pt idx="222">
                  <c:v>125.29411591126187</c:v>
                </c:pt>
                <c:pt idx="223">
                  <c:v>129.50832684202561</c:v>
                </c:pt>
                <c:pt idx="224">
                  <c:v>132.5328493432402</c:v>
                </c:pt>
                <c:pt idx="225">
                  <c:v>134.8941424626843</c:v>
                </c:pt>
                <c:pt idx="226">
                  <c:v>134.93103871905117</c:v>
                </c:pt>
                <c:pt idx="227">
                  <c:v>132.44466967669251</c:v>
                </c:pt>
                <c:pt idx="228">
                  <c:v>126.66580517063875</c:v>
                </c:pt>
                <c:pt idx="229">
                  <c:v>118.17256941142621</c:v>
                </c:pt>
                <c:pt idx="230">
                  <c:v>113.42713718626727</c:v>
                </c:pt>
                <c:pt idx="231">
                  <c:v>112.0716560079469</c:v>
                </c:pt>
                <c:pt idx="232">
                  <c:v>115.38500398939581</c:v>
                </c:pt>
                <c:pt idx="233">
                  <c:v>117.62481926493682</c:v>
                </c:pt>
                <c:pt idx="234">
                  <c:v>121.38208864903112</c:v>
                </c:pt>
                <c:pt idx="235">
                  <c:v>125.91864346865829</c:v>
                </c:pt>
                <c:pt idx="236">
                  <c:v>130.88857209517576</c:v>
                </c:pt>
                <c:pt idx="237">
                  <c:v>135.40546810016383</c:v>
                </c:pt>
                <c:pt idx="238">
                  <c:v>138.71080653871689</c:v>
                </c:pt>
                <c:pt idx="239">
                  <c:v>139.33257838289143</c:v>
                </c:pt>
                <c:pt idx="240">
                  <c:v>139.39537880291775</c:v>
                </c:pt>
                <c:pt idx="241">
                  <c:v>140.31652176908253</c:v>
                </c:pt>
                <c:pt idx="242">
                  <c:v>142.92812213495549</c:v>
                </c:pt>
                <c:pt idx="243">
                  <c:v>146.78740143185516</c:v>
                </c:pt>
                <c:pt idx="244">
                  <c:v>147.50149719832086</c:v>
                </c:pt>
                <c:pt idx="245">
                  <c:v>148.02706942893474</c:v>
                </c:pt>
                <c:pt idx="246">
                  <c:v>144.06532388556155</c:v>
                </c:pt>
                <c:pt idx="247">
                  <c:v>133.63525317018153</c:v>
                </c:pt>
                <c:pt idx="248">
                  <c:v>117.85329926833037</c:v>
                </c:pt>
                <c:pt idx="249">
                  <c:v>103.09165857682231</c:v>
                </c:pt>
                <c:pt idx="250">
                  <c:v>96.963045981527955</c:v>
                </c:pt>
                <c:pt idx="251">
                  <c:v>94.152877233305844</c:v>
                </c:pt>
                <c:pt idx="252">
                  <c:v>94.876223017845788</c:v>
                </c:pt>
                <c:pt idx="253">
                  <c:v>95.145117774966323</c:v>
                </c:pt>
                <c:pt idx="254">
                  <c:v>96.442671995918658</c:v>
                </c:pt>
                <c:pt idx="255">
                  <c:v>98.788821417220817</c:v>
                </c:pt>
                <c:pt idx="256">
                  <c:v>98.924729757577154</c:v>
                </c:pt>
                <c:pt idx="257">
                  <c:v>100.0788972322063</c:v>
                </c:pt>
                <c:pt idx="258">
                  <c:v>100.0768289709487</c:v>
                </c:pt>
                <c:pt idx="259">
                  <c:v>98.244376545127068</c:v>
                </c:pt>
                <c:pt idx="260">
                  <c:v>98.25950994820991</c:v>
                </c:pt>
                <c:pt idx="261">
                  <c:v>100.39945283037204</c:v>
                </c:pt>
                <c:pt idx="262">
                  <c:v>101.55400670177099</c:v>
                </c:pt>
                <c:pt idx="263">
                  <c:v>102.38288404066721</c:v>
                </c:pt>
                <c:pt idx="264">
                  <c:v>104.84572707533067</c:v>
                </c:pt>
                <c:pt idx="265">
                  <c:v>105.24135191531197</c:v>
                </c:pt>
                <c:pt idx="266">
                  <c:v>107.44557096399893</c:v>
                </c:pt>
                <c:pt idx="267">
                  <c:v>108.03738038521692</c:v>
                </c:pt>
                <c:pt idx="268">
                  <c:v>107.20828932686376</c:v>
                </c:pt>
                <c:pt idx="269">
                  <c:v>107.77054349718998</c:v>
                </c:pt>
                <c:pt idx="270">
                  <c:v>105.05768155621713</c:v>
                </c:pt>
                <c:pt idx="271">
                  <c:v>103.51225180742817</c:v>
                </c:pt>
                <c:pt idx="272">
                  <c:v>100.66675052600885</c:v>
                </c:pt>
                <c:pt idx="273">
                  <c:v>99.815711629103589</c:v>
                </c:pt>
                <c:pt idx="274">
                  <c:v>99.658544558892189</c:v>
                </c:pt>
                <c:pt idx="275">
                  <c:v>100.24393243737643</c:v>
                </c:pt>
                <c:pt idx="276">
                  <c:v>100.27153570644245</c:v>
                </c:pt>
                <c:pt idx="277">
                  <c:v>100.3277049812573</c:v>
                </c:pt>
                <c:pt idx="278">
                  <c:v>100.65822709103679</c:v>
                </c:pt>
                <c:pt idx="279">
                  <c:v>99.473266447305889</c:v>
                </c:pt>
                <c:pt idx="280">
                  <c:v>97.458969110857538</c:v>
                </c:pt>
                <c:pt idx="281">
                  <c:v>91.458756480321171</c:v>
                </c:pt>
                <c:pt idx="282">
                  <c:v>85.725584829925211</c:v>
                </c:pt>
                <c:pt idx="283">
                  <c:v>79.806835502879522</c:v>
                </c:pt>
                <c:pt idx="284">
                  <c:v>76.932361935926451</c:v>
                </c:pt>
                <c:pt idx="285">
                  <c:v>75.571337280267116</c:v>
                </c:pt>
                <c:pt idx="286">
                  <c:v>74.66154390081185</c:v>
                </c:pt>
                <c:pt idx="287">
                  <c:v>74.101841412521324</c:v>
                </c:pt>
                <c:pt idx="288">
                  <c:v>73.0520561785426</c:v>
                </c:pt>
                <c:pt idx="289">
                  <c:v>71.732144304936043</c:v>
                </c:pt>
                <c:pt idx="290">
                  <c:v>70.604063105983769</c:v>
                </c:pt>
                <c:pt idx="291">
                  <c:v>67.439333986265481</c:v>
                </c:pt>
                <c:pt idx="292">
                  <c:v>64.67958444966672</c:v>
                </c:pt>
                <c:pt idx="293">
                  <c:v>64.070326304998105</c:v>
                </c:pt>
                <c:pt idx="294">
                  <c:v>63.819585672183599</c:v>
                </c:pt>
                <c:pt idx="295">
                  <c:v>63.830036418334103</c:v>
                </c:pt>
                <c:pt idx="296">
                  <c:v>64.207059253950248</c:v>
                </c:pt>
                <c:pt idx="297">
                  <c:v>65.733987879908</c:v>
                </c:pt>
                <c:pt idx="298">
                  <c:v>65.836748047254716</c:v>
                </c:pt>
                <c:pt idx="299">
                  <c:v>65.62832559516319</c:v>
                </c:pt>
                <c:pt idx="300">
                  <c:v>66.955418097287108</c:v>
                </c:pt>
                <c:pt idx="301">
                  <c:v>67.0441484467066</c:v>
                </c:pt>
                <c:pt idx="302">
                  <c:v>66.783354822420065</c:v>
                </c:pt>
                <c:pt idx="303">
                  <c:v>66.32107390509627</c:v>
                </c:pt>
                <c:pt idx="304">
                  <c:v>65.177748076399411</c:v>
                </c:pt>
                <c:pt idx="305">
                  <c:v>63.162844091677051</c:v>
                </c:pt>
                <c:pt idx="306">
                  <c:v>60.58682055879207</c:v>
                </c:pt>
                <c:pt idx="307">
                  <c:v>58.194967698443229</c:v>
                </c:pt>
                <c:pt idx="308">
                  <c:v>56.861226566929126</c:v>
                </c:pt>
                <c:pt idx="309">
                  <c:v>56.075784821189856</c:v>
                </c:pt>
                <c:pt idx="310">
                  <c:v>56.287178476861207</c:v>
                </c:pt>
                <c:pt idx="311">
                  <c:v>56.023228023823094</c:v>
                </c:pt>
                <c:pt idx="312">
                  <c:v>56.653911015031547</c:v>
                </c:pt>
                <c:pt idx="313">
                  <c:v>57.287102444060721</c:v>
                </c:pt>
                <c:pt idx="314">
                  <c:v>57.575000499704771</c:v>
                </c:pt>
                <c:pt idx="315">
                  <c:v>58.348315542289171</c:v>
                </c:pt>
                <c:pt idx="316">
                  <c:v>59.178150911187252</c:v>
                </c:pt>
                <c:pt idx="317">
                  <c:v>60.035331829368104</c:v>
                </c:pt>
                <c:pt idx="318">
                  <c:v>60.879942041557399</c:v>
                </c:pt>
                <c:pt idx="319">
                  <c:v>61.738434685563199</c:v>
                </c:pt>
                <c:pt idx="320">
                  <c:v>62.181530877439634</c:v>
                </c:pt>
                <c:pt idx="321">
                  <c:v>61.861106126688277</c:v>
                </c:pt>
                <c:pt idx="322">
                  <c:v>60.888962861025007</c:v>
                </c:pt>
                <c:pt idx="323">
                  <c:v>58.486227456157373</c:v>
                </c:pt>
                <c:pt idx="324">
                  <c:v>55.290678468864641</c:v>
                </c:pt>
                <c:pt idx="325">
                  <c:v>53.363987777638016</c:v>
                </c:pt>
                <c:pt idx="326">
                  <c:v>51.432327696303801</c:v>
                </c:pt>
                <c:pt idx="327">
                  <c:v>50.383733744168374</c:v>
                </c:pt>
                <c:pt idx="328">
                  <c:v>49.344119801419119</c:v>
                </c:pt>
                <c:pt idx="329">
                  <c:v>49.124271160377525</c:v>
                </c:pt>
                <c:pt idx="330">
                  <c:v>48.602204847806917</c:v>
                </c:pt>
                <c:pt idx="331">
                  <c:v>48.670274009802412</c:v>
                </c:pt>
                <c:pt idx="332">
                  <c:v>49.608510149445969</c:v>
                </c:pt>
                <c:pt idx="333">
                  <c:v>49.4323327484733</c:v>
                </c:pt>
                <c:pt idx="334">
                  <c:v>49.964707543843474</c:v>
                </c:pt>
                <c:pt idx="335">
                  <c:v>50.885813207369303</c:v>
                </c:pt>
                <c:pt idx="336">
                  <c:v>50.956189162688354</c:v>
                </c:pt>
                <c:pt idx="337">
                  <c:v>51.901378398480894</c:v>
                </c:pt>
                <c:pt idx="338">
                  <c:v>51.975137277064874</c:v>
                </c:pt>
                <c:pt idx="339">
                  <c:v>52.444425393624329</c:v>
                </c:pt>
                <c:pt idx="340">
                  <c:v>52.97771001387224</c:v>
                </c:pt>
                <c:pt idx="341">
                  <c:v>52.149884566387776</c:v>
                </c:pt>
                <c:pt idx="342">
                  <c:v>52.17230148071917</c:v>
                </c:pt>
                <c:pt idx="343">
                  <c:v>52.128130008848984</c:v>
                </c:pt>
                <c:pt idx="344">
                  <c:v>50.892887833820559</c:v>
                </c:pt>
                <c:pt idx="345">
                  <c:v>50.643359923306924</c:v>
                </c:pt>
                <c:pt idx="346">
                  <c:v>50.256072895894953</c:v>
                </c:pt>
                <c:pt idx="347">
                  <c:v>50.029723341088022</c:v>
                </c:pt>
                <c:pt idx="348">
                  <c:v>50.316225535715439</c:v>
                </c:pt>
                <c:pt idx="349">
                  <c:v>49.587015313568784</c:v>
                </c:pt>
                <c:pt idx="350">
                  <c:v>49.667594855455967</c:v>
                </c:pt>
                <c:pt idx="351">
                  <c:v>49.312788067333898</c:v>
                </c:pt>
                <c:pt idx="352">
                  <c:v>49.393989819105286</c:v>
                </c:pt>
                <c:pt idx="353">
                  <c:v>48.908417898501085</c:v>
                </c:pt>
                <c:pt idx="354">
                  <c:v>48.516537866212502</c:v>
                </c:pt>
                <c:pt idx="355">
                  <c:v>48.338563679558995</c:v>
                </c:pt>
                <c:pt idx="356">
                  <c:v>47.934607181874647</c:v>
                </c:pt>
                <c:pt idx="357">
                  <c:v>47.477778180166887</c:v>
                </c:pt>
                <c:pt idx="358">
                  <c:v>47.149173357203196</c:v>
                </c:pt>
                <c:pt idx="359">
                  <c:v>47.218398461502638</c:v>
                </c:pt>
                <c:pt idx="360">
                  <c:v>46.6040859690712</c:v>
                </c:pt>
                <c:pt idx="361">
                  <c:v>45.991682205938211</c:v>
                </c:pt>
                <c:pt idx="362">
                  <c:v>45.38705412724277</c:v>
                </c:pt>
                <c:pt idx="363">
                  <c:v>44.889723169425586</c:v>
                </c:pt>
                <c:pt idx="364">
                  <c:v>43.851602985888213</c:v>
                </c:pt>
                <c:pt idx="365">
                  <c:v>42.669713363880803</c:v>
                </c:pt>
                <c:pt idx="366">
                  <c:v>41.870676603391793</c:v>
                </c:pt>
                <c:pt idx="367">
                  <c:v>41.326775539361577</c:v>
                </c:pt>
                <c:pt idx="368">
                  <c:v>40.753448599602208</c:v>
                </c:pt>
                <c:pt idx="369">
                  <c:v>40.199310667531222</c:v>
                </c:pt>
                <c:pt idx="370">
                  <c:v>39.585416469385237</c:v>
                </c:pt>
                <c:pt idx="371">
                  <c:v>39.22170494517556</c:v>
                </c:pt>
                <c:pt idx="372">
                  <c:v>38.719473728688769</c:v>
                </c:pt>
                <c:pt idx="373">
                  <c:v>38.530022320869108</c:v>
                </c:pt>
                <c:pt idx="374">
                  <c:v>37.812210984546155</c:v>
                </c:pt>
                <c:pt idx="375">
                  <c:v>37.13830542331921</c:v>
                </c:pt>
                <c:pt idx="376">
                  <c:v>36.519919700914002</c:v>
                </c:pt>
                <c:pt idx="377">
                  <c:v>35.816819096608725</c:v>
                </c:pt>
                <c:pt idx="378">
                  <c:v>34.934346899820547</c:v>
                </c:pt>
                <c:pt idx="379">
                  <c:v>34.224029546911666</c:v>
                </c:pt>
                <c:pt idx="380">
                  <c:v>33.668401513435242</c:v>
                </c:pt>
                <c:pt idx="381">
                  <c:v>32.929630757637391</c:v>
                </c:pt>
                <c:pt idx="382">
                  <c:v>32.150712961621615</c:v>
                </c:pt>
                <c:pt idx="383">
                  <c:v>31.498882843835155</c:v>
                </c:pt>
                <c:pt idx="384">
                  <c:v>30.842863514653786</c:v>
                </c:pt>
                <c:pt idx="385">
                  <c:v>30.20614216458727</c:v>
                </c:pt>
                <c:pt idx="386">
                  <c:v>29.141138594195887</c:v>
                </c:pt>
                <c:pt idx="387">
                  <c:v>26.982880774244684</c:v>
                </c:pt>
                <c:pt idx="388">
                  <c:v>25.625952876486792</c:v>
                </c:pt>
                <c:pt idx="389">
                  <c:v>24.664817859310567</c:v>
                </c:pt>
                <c:pt idx="390">
                  <c:v>23.499167304856901</c:v>
                </c:pt>
                <c:pt idx="391">
                  <c:v>22.126469070124077</c:v>
                </c:pt>
                <c:pt idx="392">
                  <c:v>21.640345913566257</c:v>
                </c:pt>
                <c:pt idx="393">
                  <c:v>20.316314558139091</c:v>
                </c:pt>
                <c:pt idx="394">
                  <c:v>19.749779611763159</c:v>
                </c:pt>
                <c:pt idx="395">
                  <c:v>19.254539070046771</c:v>
                </c:pt>
                <c:pt idx="396">
                  <c:v>18.669643985495174</c:v>
                </c:pt>
                <c:pt idx="397">
                  <c:v>18.120513957835758</c:v>
                </c:pt>
                <c:pt idx="398">
                  <c:v>17.679268748397543</c:v>
                </c:pt>
                <c:pt idx="399">
                  <c:v>17.109698884284011</c:v>
                </c:pt>
                <c:pt idx="400">
                  <c:v>16.580754119867308</c:v>
                </c:pt>
              </c:numCache>
            </c:numRef>
          </c:yVal>
          <c:smooth val="1"/>
          <c:extLst>
            <c:ext xmlns:c16="http://schemas.microsoft.com/office/drawing/2014/chart" uri="{C3380CC4-5D6E-409C-BE32-E72D297353CC}">
              <c16:uniqueId val="{00000000-AE74-476B-9B96-4F9C790085E0}"/>
            </c:ext>
          </c:extLst>
        </c:ser>
        <c:ser>
          <c:idx val="1"/>
          <c:order val="1"/>
          <c:tx>
            <c:strRef>
              <c:f>'Typical AS7341 filters'!$C$4</c:f>
              <c:strCache>
                <c:ptCount val="1"/>
                <c:pt idx="0">
                  <c:v>F2 - 512x</c:v>
                </c:pt>
              </c:strCache>
            </c:strRef>
          </c:tx>
          <c:spPr>
            <a:ln w="19050" cap="rnd">
              <a:solidFill>
                <a:schemeClr val="accent2"/>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filters'!$C$5:$C$405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33.81857635435528</c:v>
                </c:pt>
                <c:pt idx="60">
                  <c:v>96.984087698239165</c:v>
                </c:pt>
                <c:pt idx="61">
                  <c:v>182.98226748070886</c:v>
                </c:pt>
                <c:pt idx="62">
                  <c:v>308.95717510698648</c:v>
                </c:pt>
                <c:pt idx="63">
                  <c:v>452.32372022950153</c:v>
                </c:pt>
                <c:pt idx="64">
                  <c:v>636.76171967578466</c:v>
                </c:pt>
                <c:pt idx="65">
                  <c:v>836.10377814942899</c:v>
                </c:pt>
                <c:pt idx="66">
                  <c:v>1059.2840748935557</c:v>
                </c:pt>
                <c:pt idx="67">
                  <c:v>1266.9622454349717</c:v>
                </c:pt>
                <c:pt idx="68">
                  <c:v>1431.8863905269227</c:v>
                </c:pt>
                <c:pt idx="69">
                  <c:v>1573.6308154677868</c:v>
                </c:pt>
                <c:pt idx="70">
                  <c:v>1680.2929567248109</c:v>
                </c:pt>
                <c:pt idx="71">
                  <c:v>1747.3029086019594</c:v>
                </c:pt>
                <c:pt idx="72">
                  <c:v>1771.472074963541</c:v>
                </c:pt>
                <c:pt idx="73">
                  <c:v>1766.7142899301195</c:v>
                </c:pt>
                <c:pt idx="74">
                  <c:v>1745.6423418318113</c:v>
                </c:pt>
                <c:pt idx="75">
                  <c:v>1692.2270389696314</c:v>
                </c:pt>
                <c:pt idx="76">
                  <c:v>1587.3431290702238</c:v>
                </c:pt>
                <c:pt idx="77">
                  <c:v>1481.2521150989523</c:v>
                </c:pt>
                <c:pt idx="78">
                  <c:v>1320.0377304495671</c:v>
                </c:pt>
                <c:pt idx="79">
                  <c:v>1122.0702013435571</c:v>
                </c:pt>
                <c:pt idx="80">
                  <c:v>915.77344087338395</c:v>
                </c:pt>
                <c:pt idx="81">
                  <c:v>694.01443198948368</c:v>
                </c:pt>
                <c:pt idx="82">
                  <c:v>476.04965181831449</c:v>
                </c:pt>
                <c:pt idx="83">
                  <c:v>319.80634530279434</c:v>
                </c:pt>
                <c:pt idx="84">
                  <c:v>191.49202644370064</c:v>
                </c:pt>
                <c:pt idx="85">
                  <c:v>112.52949407977556</c:v>
                </c:pt>
                <c:pt idx="86">
                  <c:v>66.187989143593455</c:v>
                </c:pt>
                <c:pt idx="87">
                  <c:v>39.141524207143995</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6.6652058855087359</c:v>
                </c:pt>
                <c:pt idx="122">
                  <c:v>3.1963350123414664</c:v>
                </c:pt>
                <c:pt idx="123">
                  <c:v>11.516755460162367</c:v>
                </c:pt>
                <c:pt idx="124">
                  <c:v>14.733525218410309</c:v>
                </c:pt>
                <c:pt idx="125">
                  <c:v>19.080357135190244</c:v>
                </c:pt>
                <c:pt idx="126">
                  <c:v>19.755382826679128</c:v>
                </c:pt>
                <c:pt idx="127">
                  <c:v>17.918768331433313</c:v>
                </c:pt>
                <c:pt idx="128">
                  <c:v>20.176454718785557</c:v>
                </c:pt>
                <c:pt idx="129">
                  <c:v>19.743581984358418</c:v>
                </c:pt>
                <c:pt idx="130">
                  <c:v>18.68004769999779</c:v>
                </c:pt>
                <c:pt idx="131">
                  <c:v>13.909660905213659</c:v>
                </c:pt>
                <c:pt idx="132">
                  <c:v>15.111849456253058</c:v>
                </c:pt>
                <c:pt idx="133">
                  <c:v>13.929367994270105</c:v>
                </c:pt>
                <c:pt idx="134">
                  <c:v>12.351095857396396</c:v>
                </c:pt>
                <c:pt idx="135">
                  <c:v>16.154997158957819</c:v>
                </c:pt>
                <c:pt idx="136">
                  <c:v>12.709064950032172</c:v>
                </c:pt>
                <c:pt idx="137">
                  <c:v>13.949911129050252</c:v>
                </c:pt>
                <c:pt idx="138">
                  <c:v>15.680378089476717</c:v>
                </c:pt>
                <c:pt idx="139">
                  <c:v>16.918523451308939</c:v>
                </c:pt>
                <c:pt idx="140">
                  <c:v>16.268450273766362</c:v>
                </c:pt>
                <c:pt idx="141">
                  <c:v>19.924522743593901</c:v>
                </c:pt>
                <c:pt idx="142">
                  <c:v>18.840467074449787</c:v>
                </c:pt>
                <c:pt idx="143">
                  <c:v>21.081222384482221</c:v>
                </c:pt>
                <c:pt idx="144">
                  <c:v>22.384810593707517</c:v>
                </c:pt>
                <c:pt idx="145">
                  <c:v>24.618086998517779</c:v>
                </c:pt>
                <c:pt idx="146">
                  <c:v>21.738317353180911</c:v>
                </c:pt>
                <c:pt idx="147">
                  <c:v>22.572675023566333</c:v>
                </c:pt>
                <c:pt idx="148">
                  <c:v>16.970487704221814</c:v>
                </c:pt>
                <c:pt idx="149">
                  <c:v>14.147177641231529</c:v>
                </c:pt>
                <c:pt idx="150">
                  <c:v>14.869490498717594</c:v>
                </c:pt>
                <c:pt idx="151">
                  <c:v>13.128793556907912</c:v>
                </c:pt>
                <c:pt idx="152">
                  <c:v>12.501083820168477</c:v>
                </c:pt>
                <c:pt idx="153">
                  <c:v>16.109519159613384</c:v>
                </c:pt>
                <c:pt idx="154">
                  <c:v>16.465894097123254</c:v>
                </c:pt>
                <c:pt idx="155">
                  <c:v>21.152170251959713</c:v>
                </c:pt>
                <c:pt idx="156">
                  <c:v>25.291423453535916</c:v>
                </c:pt>
                <c:pt idx="157">
                  <c:v>29.261853805983861</c:v>
                </c:pt>
                <c:pt idx="158">
                  <c:v>31.402366658237792</c:v>
                </c:pt>
                <c:pt idx="159">
                  <c:v>37.784937469310286</c:v>
                </c:pt>
                <c:pt idx="160">
                  <c:v>42.387542934735855</c:v>
                </c:pt>
                <c:pt idx="161">
                  <c:v>43.519343205378604</c:v>
                </c:pt>
                <c:pt idx="162">
                  <c:v>49.251031241540858</c:v>
                </c:pt>
                <c:pt idx="163">
                  <c:v>51.625367539086099</c:v>
                </c:pt>
                <c:pt idx="164">
                  <c:v>52.510378903910116</c:v>
                </c:pt>
                <c:pt idx="165">
                  <c:v>55.986902470869502</c:v>
                </c:pt>
                <c:pt idx="166">
                  <c:v>60.180593364969425</c:v>
                </c:pt>
                <c:pt idx="167">
                  <c:v>62.893622589868812</c:v>
                </c:pt>
                <c:pt idx="168">
                  <c:v>65.532312925919328</c:v>
                </c:pt>
                <c:pt idx="169">
                  <c:v>68.087561002715034</c:v>
                </c:pt>
                <c:pt idx="170">
                  <c:v>71.517355574502787</c:v>
                </c:pt>
                <c:pt idx="171">
                  <c:v>74.897416127281829</c:v>
                </c:pt>
                <c:pt idx="172">
                  <c:v>77.220397706830653</c:v>
                </c:pt>
                <c:pt idx="173">
                  <c:v>78.096792588975404</c:v>
                </c:pt>
                <c:pt idx="174">
                  <c:v>75.282474195600187</c:v>
                </c:pt>
                <c:pt idx="175">
                  <c:v>76.203349304683755</c:v>
                </c:pt>
                <c:pt idx="176">
                  <c:v>75.386963973958657</c:v>
                </c:pt>
                <c:pt idx="177">
                  <c:v>71.701985380795151</c:v>
                </c:pt>
                <c:pt idx="178">
                  <c:v>65.102498417240398</c:v>
                </c:pt>
                <c:pt idx="179">
                  <c:v>60.602462071408858</c:v>
                </c:pt>
                <c:pt idx="180">
                  <c:v>59.664280091749937</c:v>
                </c:pt>
                <c:pt idx="181">
                  <c:v>59.568211194500911</c:v>
                </c:pt>
                <c:pt idx="182">
                  <c:v>62.437211508912945</c:v>
                </c:pt>
                <c:pt idx="183">
                  <c:v>61.965127163879025</c:v>
                </c:pt>
                <c:pt idx="184">
                  <c:v>63.953034446668809</c:v>
                </c:pt>
                <c:pt idx="185">
                  <c:v>64.292940747766465</c:v>
                </c:pt>
                <c:pt idx="186">
                  <c:v>65.685244116950869</c:v>
                </c:pt>
                <c:pt idx="187">
                  <c:v>66.671311809824346</c:v>
                </c:pt>
                <c:pt idx="188">
                  <c:v>69.628102551180675</c:v>
                </c:pt>
                <c:pt idx="189">
                  <c:v>71.746338577036767</c:v>
                </c:pt>
                <c:pt idx="190">
                  <c:v>72.711843088925278</c:v>
                </c:pt>
                <c:pt idx="191">
                  <c:v>73.115919205323749</c:v>
                </c:pt>
                <c:pt idx="192">
                  <c:v>74.510075027238301</c:v>
                </c:pt>
                <c:pt idx="193">
                  <c:v>76.502842397787646</c:v>
                </c:pt>
                <c:pt idx="194">
                  <c:v>78.660482975418475</c:v>
                </c:pt>
                <c:pt idx="195">
                  <c:v>81.361615327743309</c:v>
                </c:pt>
                <c:pt idx="196">
                  <c:v>83.321480398670928</c:v>
                </c:pt>
                <c:pt idx="197">
                  <c:v>84.184467705100829</c:v>
                </c:pt>
                <c:pt idx="198">
                  <c:v>85.618030685513645</c:v>
                </c:pt>
                <c:pt idx="199">
                  <c:v>87.579665100879026</c:v>
                </c:pt>
                <c:pt idx="200">
                  <c:v>89.200600253347062</c:v>
                </c:pt>
                <c:pt idx="201">
                  <c:v>92.300325737471312</c:v>
                </c:pt>
                <c:pt idx="202">
                  <c:v>93.049762307017531</c:v>
                </c:pt>
                <c:pt idx="203">
                  <c:v>94.547179355585982</c:v>
                </c:pt>
                <c:pt idx="204">
                  <c:v>91.922363017366862</c:v>
                </c:pt>
                <c:pt idx="205">
                  <c:v>89.870433225747746</c:v>
                </c:pt>
                <c:pt idx="206">
                  <c:v>88.061670855789487</c:v>
                </c:pt>
                <c:pt idx="207">
                  <c:v>87.002061267404002</c:v>
                </c:pt>
                <c:pt idx="208">
                  <c:v>87.93945743753136</c:v>
                </c:pt>
                <c:pt idx="209">
                  <c:v>89.452675239771921</c:v>
                </c:pt>
                <c:pt idx="210">
                  <c:v>92.916330219736167</c:v>
                </c:pt>
                <c:pt idx="211">
                  <c:v>94.604266559094214</c:v>
                </c:pt>
                <c:pt idx="212">
                  <c:v>94.761657196660479</c:v>
                </c:pt>
                <c:pt idx="213">
                  <c:v>94.588187365403499</c:v>
                </c:pt>
                <c:pt idx="214">
                  <c:v>96.044683507995501</c:v>
                </c:pt>
                <c:pt idx="215">
                  <c:v>97.855863711058774</c:v>
                </c:pt>
                <c:pt idx="216">
                  <c:v>101.67800537979497</c:v>
                </c:pt>
                <c:pt idx="217">
                  <c:v>106.42861855658056</c:v>
                </c:pt>
                <c:pt idx="218">
                  <c:v>109.80708211352413</c:v>
                </c:pt>
                <c:pt idx="219">
                  <c:v>112.88898845597822</c:v>
                </c:pt>
                <c:pt idx="220">
                  <c:v>113.51091921884385</c:v>
                </c:pt>
                <c:pt idx="221">
                  <c:v>115.23897457890837</c:v>
                </c:pt>
                <c:pt idx="222">
                  <c:v>118.10363580157684</c:v>
                </c:pt>
                <c:pt idx="223">
                  <c:v>121.9326308429099</c:v>
                </c:pt>
                <c:pt idx="224">
                  <c:v>125.652728748919</c:v>
                </c:pt>
                <c:pt idx="225">
                  <c:v>129.62199942842844</c:v>
                </c:pt>
                <c:pt idx="226">
                  <c:v>132.92259294650782</c:v>
                </c:pt>
                <c:pt idx="227">
                  <c:v>133.72875927189591</c:v>
                </c:pt>
                <c:pt idx="228">
                  <c:v>134.22519092318052</c:v>
                </c:pt>
                <c:pt idx="229">
                  <c:v>132.64267995160083</c:v>
                </c:pt>
                <c:pt idx="230">
                  <c:v>132.6742461322072</c:v>
                </c:pt>
                <c:pt idx="231">
                  <c:v>131.25170451937404</c:v>
                </c:pt>
                <c:pt idx="232">
                  <c:v>133.92226692539708</c:v>
                </c:pt>
                <c:pt idx="233">
                  <c:v>136.84829296357537</c:v>
                </c:pt>
                <c:pt idx="234">
                  <c:v>141.70831518425592</c:v>
                </c:pt>
                <c:pt idx="235">
                  <c:v>145.64783184623607</c:v>
                </c:pt>
                <c:pt idx="236">
                  <c:v>148.61306623306413</c:v>
                </c:pt>
                <c:pt idx="237">
                  <c:v>152.82033321709241</c:v>
                </c:pt>
                <c:pt idx="238">
                  <c:v>154.82169341715144</c:v>
                </c:pt>
                <c:pt idx="239">
                  <c:v>153.54213311882373</c:v>
                </c:pt>
                <c:pt idx="240">
                  <c:v>151.49085263930181</c:v>
                </c:pt>
                <c:pt idx="241">
                  <c:v>152.07600299688917</c:v>
                </c:pt>
                <c:pt idx="242">
                  <c:v>152.14929130495261</c:v>
                </c:pt>
                <c:pt idx="243">
                  <c:v>153.23959490138728</c:v>
                </c:pt>
                <c:pt idx="244">
                  <c:v>155.82001354650677</c:v>
                </c:pt>
                <c:pt idx="245">
                  <c:v>156.80660596058192</c:v>
                </c:pt>
                <c:pt idx="246">
                  <c:v>156.60167874578875</c:v>
                </c:pt>
                <c:pt idx="247">
                  <c:v>149.77077909475452</c:v>
                </c:pt>
                <c:pt idx="248">
                  <c:v>138.46721557144824</c:v>
                </c:pt>
                <c:pt idx="249">
                  <c:v>122.78803236995503</c:v>
                </c:pt>
                <c:pt idx="250">
                  <c:v>110.87513518757326</c:v>
                </c:pt>
                <c:pt idx="251">
                  <c:v>107.93651917061415</c:v>
                </c:pt>
                <c:pt idx="252">
                  <c:v>107.88172774613476</c:v>
                </c:pt>
                <c:pt idx="253">
                  <c:v>108.00256612293475</c:v>
                </c:pt>
                <c:pt idx="254">
                  <c:v>111.7271133167004</c:v>
                </c:pt>
                <c:pt idx="255">
                  <c:v>113.70442027452549</c:v>
                </c:pt>
                <c:pt idx="256">
                  <c:v>117.14770629186766</c:v>
                </c:pt>
                <c:pt idx="257">
                  <c:v>119.65955103850752</c:v>
                </c:pt>
                <c:pt idx="258">
                  <c:v>122.09809199069993</c:v>
                </c:pt>
                <c:pt idx="259">
                  <c:v>123.7879144468601</c:v>
                </c:pt>
                <c:pt idx="260">
                  <c:v>127.95571739922445</c:v>
                </c:pt>
                <c:pt idx="261">
                  <c:v>129.86450963928556</c:v>
                </c:pt>
                <c:pt idx="262">
                  <c:v>134.67891875900102</c:v>
                </c:pt>
                <c:pt idx="263">
                  <c:v>138.90161974944021</c:v>
                </c:pt>
                <c:pt idx="264">
                  <c:v>144.05456302705556</c:v>
                </c:pt>
                <c:pt idx="265">
                  <c:v>148.37305351994803</c:v>
                </c:pt>
                <c:pt idx="266">
                  <c:v>154.1983343774755</c:v>
                </c:pt>
                <c:pt idx="267">
                  <c:v>155.98296339640785</c:v>
                </c:pt>
                <c:pt idx="268">
                  <c:v>160.28379351038015</c:v>
                </c:pt>
                <c:pt idx="269">
                  <c:v>161.44614492769705</c:v>
                </c:pt>
                <c:pt idx="270">
                  <c:v>159.0398894704789</c:v>
                </c:pt>
                <c:pt idx="271">
                  <c:v>156.08990351913772</c:v>
                </c:pt>
                <c:pt idx="272">
                  <c:v>151.40604010565039</c:v>
                </c:pt>
                <c:pt idx="273">
                  <c:v>146.71707010542937</c:v>
                </c:pt>
                <c:pt idx="274">
                  <c:v>144.74217185934342</c:v>
                </c:pt>
                <c:pt idx="275">
                  <c:v>143.93000416105798</c:v>
                </c:pt>
                <c:pt idx="276">
                  <c:v>141.76320565393587</c:v>
                </c:pt>
                <c:pt idx="277">
                  <c:v>140.57215161215711</c:v>
                </c:pt>
                <c:pt idx="278">
                  <c:v>139.47293089551408</c:v>
                </c:pt>
                <c:pt idx="279">
                  <c:v>138.53249400643151</c:v>
                </c:pt>
                <c:pt idx="280">
                  <c:v>135.79760769490812</c:v>
                </c:pt>
                <c:pt idx="281">
                  <c:v>129.09755241645334</c:v>
                </c:pt>
                <c:pt idx="282">
                  <c:v>121.08523249619215</c:v>
                </c:pt>
                <c:pt idx="283">
                  <c:v>109.90348109506714</c:v>
                </c:pt>
                <c:pt idx="284">
                  <c:v>101.6369350575925</c:v>
                </c:pt>
                <c:pt idx="285">
                  <c:v>97.186364932472557</c:v>
                </c:pt>
                <c:pt idx="286">
                  <c:v>94.401483013180027</c:v>
                </c:pt>
                <c:pt idx="287">
                  <c:v>92.354294981500274</c:v>
                </c:pt>
                <c:pt idx="288">
                  <c:v>90.168855952594413</c:v>
                </c:pt>
                <c:pt idx="289">
                  <c:v>87.755817458648252</c:v>
                </c:pt>
                <c:pt idx="290">
                  <c:v>85.869806480250531</c:v>
                </c:pt>
                <c:pt idx="291">
                  <c:v>82.681486230496063</c:v>
                </c:pt>
                <c:pt idx="292">
                  <c:v>79.475567820505518</c:v>
                </c:pt>
                <c:pt idx="293">
                  <c:v>76.359677686775768</c:v>
                </c:pt>
                <c:pt idx="294">
                  <c:v>74.771675586265943</c:v>
                </c:pt>
                <c:pt idx="295">
                  <c:v>74.026950949893688</c:v>
                </c:pt>
                <c:pt idx="296">
                  <c:v>73.935401565154834</c:v>
                </c:pt>
                <c:pt idx="297">
                  <c:v>74.379850889257597</c:v>
                </c:pt>
                <c:pt idx="298">
                  <c:v>75.313249660117123</c:v>
                </c:pt>
                <c:pt idx="299">
                  <c:v>74.951906906653164</c:v>
                </c:pt>
                <c:pt idx="300">
                  <c:v>76.452640522434208</c:v>
                </c:pt>
                <c:pt idx="301">
                  <c:v>77.287004459397906</c:v>
                </c:pt>
                <c:pt idx="302">
                  <c:v>78.199312911722643</c:v>
                </c:pt>
                <c:pt idx="303">
                  <c:v>78.196131057022299</c:v>
                </c:pt>
                <c:pt idx="304">
                  <c:v>78.939941504693209</c:v>
                </c:pt>
                <c:pt idx="305">
                  <c:v>78.52093289479032</c:v>
                </c:pt>
                <c:pt idx="306">
                  <c:v>77.593647382312639</c:v>
                </c:pt>
                <c:pt idx="307">
                  <c:v>76.165406556849391</c:v>
                </c:pt>
                <c:pt idx="308">
                  <c:v>74.032700050974626</c:v>
                </c:pt>
                <c:pt idx="309">
                  <c:v>72.473396989119024</c:v>
                </c:pt>
                <c:pt idx="310">
                  <c:v>71.828417135959171</c:v>
                </c:pt>
                <c:pt idx="311">
                  <c:v>70.838477466200118</c:v>
                </c:pt>
                <c:pt idx="312">
                  <c:v>69.802258963912578</c:v>
                </c:pt>
                <c:pt idx="313">
                  <c:v>68.630139367260767</c:v>
                </c:pt>
                <c:pt idx="314">
                  <c:v>67.453064310928625</c:v>
                </c:pt>
                <c:pt idx="315">
                  <c:v>66.165314753696336</c:v>
                </c:pt>
                <c:pt idx="316">
                  <c:v>65.630597272220143</c:v>
                </c:pt>
                <c:pt idx="317">
                  <c:v>64.695608729364707</c:v>
                </c:pt>
                <c:pt idx="318">
                  <c:v>64.402668658205386</c:v>
                </c:pt>
                <c:pt idx="319">
                  <c:v>63.876562293721221</c:v>
                </c:pt>
                <c:pt idx="320">
                  <c:v>63.412848320557259</c:v>
                </c:pt>
                <c:pt idx="321">
                  <c:v>62.210110956740117</c:v>
                </c:pt>
                <c:pt idx="322">
                  <c:v>61.929799833008346</c:v>
                </c:pt>
                <c:pt idx="323">
                  <c:v>59.948383142561305</c:v>
                </c:pt>
                <c:pt idx="324">
                  <c:v>59.642259644654914</c:v>
                </c:pt>
                <c:pt idx="325">
                  <c:v>58.785091297906007</c:v>
                </c:pt>
                <c:pt idx="326">
                  <c:v>57.735309031635154</c:v>
                </c:pt>
                <c:pt idx="327">
                  <c:v>57.807826961438217</c:v>
                </c:pt>
                <c:pt idx="328">
                  <c:v>58.865216742968116</c:v>
                </c:pt>
                <c:pt idx="329">
                  <c:v>59.474870100523958</c:v>
                </c:pt>
                <c:pt idx="330">
                  <c:v>60.426566765478064</c:v>
                </c:pt>
                <c:pt idx="331">
                  <c:v>61.708400658019038</c:v>
                </c:pt>
                <c:pt idx="332">
                  <c:v>62.874967482766202</c:v>
                </c:pt>
                <c:pt idx="333">
                  <c:v>64.046414966519535</c:v>
                </c:pt>
                <c:pt idx="334">
                  <c:v>65.271356045370126</c:v>
                </c:pt>
                <c:pt idx="335">
                  <c:v>65.930999465275704</c:v>
                </c:pt>
                <c:pt idx="336">
                  <c:v>67.158848389533958</c:v>
                </c:pt>
                <c:pt idx="337">
                  <c:v>66.841505313785731</c:v>
                </c:pt>
                <c:pt idx="338">
                  <c:v>66.515800681958027</c:v>
                </c:pt>
                <c:pt idx="339">
                  <c:v>64.28671499863627</c:v>
                </c:pt>
                <c:pt idx="340">
                  <c:v>60.698848125562129</c:v>
                </c:pt>
                <c:pt idx="341">
                  <c:v>55.038653682310134</c:v>
                </c:pt>
                <c:pt idx="342">
                  <c:v>47.862415706224972</c:v>
                </c:pt>
                <c:pt idx="343">
                  <c:v>41.296310786231011</c:v>
                </c:pt>
                <c:pt idx="344">
                  <c:v>36.52313126897711</c:v>
                </c:pt>
                <c:pt idx="345">
                  <c:v>32.992659479448477</c:v>
                </c:pt>
                <c:pt idx="346">
                  <c:v>31.650948564228827</c:v>
                </c:pt>
                <c:pt idx="347">
                  <c:v>30.844283711762234</c:v>
                </c:pt>
                <c:pt idx="348">
                  <c:v>30.1162809775815</c:v>
                </c:pt>
                <c:pt idx="349">
                  <c:v>30.57134572429462</c:v>
                </c:pt>
                <c:pt idx="350">
                  <c:v>30.878387417468229</c:v>
                </c:pt>
                <c:pt idx="351">
                  <c:v>30.675454930120939</c:v>
                </c:pt>
                <c:pt idx="352">
                  <c:v>30.835136919236778</c:v>
                </c:pt>
                <c:pt idx="353">
                  <c:v>31.358926770215408</c:v>
                </c:pt>
                <c:pt idx="354">
                  <c:v>31.532166412309454</c:v>
                </c:pt>
                <c:pt idx="355">
                  <c:v>32.487513255833591</c:v>
                </c:pt>
                <c:pt idx="356">
                  <c:v>32.572774613202654</c:v>
                </c:pt>
                <c:pt idx="357">
                  <c:v>33.376169437102391</c:v>
                </c:pt>
                <c:pt idx="358">
                  <c:v>33.244402172519017</c:v>
                </c:pt>
                <c:pt idx="359">
                  <c:v>33.70732170351679</c:v>
                </c:pt>
                <c:pt idx="360">
                  <c:v>33.970448206371174</c:v>
                </c:pt>
                <c:pt idx="361">
                  <c:v>34.721269975868111</c:v>
                </c:pt>
                <c:pt idx="362">
                  <c:v>34.424334899585673</c:v>
                </c:pt>
                <c:pt idx="363">
                  <c:v>34.364337767898782</c:v>
                </c:pt>
                <c:pt idx="364">
                  <c:v>34.037196603332276</c:v>
                </c:pt>
                <c:pt idx="365">
                  <c:v>33.99700739561235</c:v>
                </c:pt>
                <c:pt idx="366">
                  <c:v>33.565749012636395</c:v>
                </c:pt>
                <c:pt idx="367">
                  <c:v>32.564671209647187</c:v>
                </c:pt>
                <c:pt idx="368">
                  <c:v>32.561454708803794</c:v>
                </c:pt>
                <c:pt idx="369">
                  <c:v>32.035969422759521</c:v>
                </c:pt>
                <c:pt idx="370">
                  <c:v>31.572451543921442</c:v>
                </c:pt>
                <c:pt idx="371">
                  <c:v>31.144634816849702</c:v>
                </c:pt>
                <c:pt idx="372">
                  <c:v>30.661452741060415</c:v>
                </c:pt>
                <c:pt idx="373">
                  <c:v>30.21026528875224</c:v>
                </c:pt>
                <c:pt idx="374">
                  <c:v>29.758346551014665</c:v>
                </c:pt>
                <c:pt idx="375">
                  <c:v>29.029207541897218</c:v>
                </c:pt>
                <c:pt idx="376">
                  <c:v>28.238450921152836</c:v>
                </c:pt>
                <c:pt idx="377">
                  <c:v>27.369456102125536</c:v>
                </c:pt>
                <c:pt idx="378">
                  <c:v>26.976329652371081</c:v>
                </c:pt>
                <c:pt idx="379">
                  <c:v>26.274353392314072</c:v>
                </c:pt>
                <c:pt idx="380">
                  <c:v>25.674696526341965</c:v>
                </c:pt>
                <c:pt idx="381">
                  <c:v>24.868019908257285</c:v>
                </c:pt>
                <c:pt idx="382">
                  <c:v>24.147237607345595</c:v>
                </c:pt>
                <c:pt idx="383">
                  <c:v>23.180996032259635</c:v>
                </c:pt>
                <c:pt idx="384">
                  <c:v>23.166115547350092</c:v>
                </c:pt>
                <c:pt idx="385">
                  <c:v>22.214382578440862</c:v>
                </c:pt>
                <c:pt idx="386">
                  <c:v>21.838950733005273</c:v>
                </c:pt>
                <c:pt idx="387">
                  <c:v>21.167021760247081</c:v>
                </c:pt>
                <c:pt idx="388">
                  <c:v>20.284395416744161</c:v>
                </c:pt>
                <c:pt idx="389">
                  <c:v>19.989344144221477</c:v>
                </c:pt>
                <c:pt idx="390">
                  <c:v>19.288333857165782</c:v>
                </c:pt>
                <c:pt idx="391">
                  <c:v>18.597093635625757</c:v>
                </c:pt>
                <c:pt idx="392">
                  <c:v>18.237775801370301</c:v>
                </c:pt>
                <c:pt idx="393">
                  <c:v>17.861994678632357</c:v>
                </c:pt>
                <c:pt idx="394">
                  <c:v>17.16187745573902</c:v>
                </c:pt>
                <c:pt idx="395">
                  <c:v>17.137905342488441</c:v>
                </c:pt>
                <c:pt idx="396">
                  <c:v>16.966209315285763</c:v>
                </c:pt>
                <c:pt idx="397">
                  <c:v>16.411031508983331</c:v>
                </c:pt>
                <c:pt idx="398">
                  <c:v>16.314074250451785</c:v>
                </c:pt>
                <c:pt idx="399">
                  <c:v>16.08311695122697</c:v>
                </c:pt>
                <c:pt idx="400">
                  <c:v>15.830185003330104</c:v>
                </c:pt>
              </c:numCache>
            </c:numRef>
          </c:yVal>
          <c:smooth val="1"/>
          <c:extLst>
            <c:ext xmlns:c16="http://schemas.microsoft.com/office/drawing/2014/chart" uri="{C3380CC4-5D6E-409C-BE32-E72D297353CC}">
              <c16:uniqueId val="{00000001-AE74-476B-9B96-4F9C790085E0}"/>
            </c:ext>
          </c:extLst>
        </c:ser>
        <c:ser>
          <c:idx val="2"/>
          <c:order val="2"/>
          <c:tx>
            <c:strRef>
              <c:f>'Typical AS7341 filters'!$D$4</c:f>
              <c:strCache>
                <c:ptCount val="1"/>
                <c:pt idx="0">
                  <c:v>F3 - 512x</c:v>
                </c:pt>
              </c:strCache>
            </c:strRef>
          </c:tx>
          <c:spPr>
            <a:ln w="19050" cap="rnd">
              <a:solidFill>
                <a:schemeClr val="accent3"/>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filters'!$D$5:$D$405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12.820880880727167</c:v>
                </c:pt>
                <c:pt idx="72">
                  <c:v>48.855716061302978</c:v>
                </c:pt>
                <c:pt idx="73">
                  <c:v>107.07359332909814</c:v>
                </c:pt>
                <c:pt idx="74">
                  <c:v>167.34210138650059</c:v>
                </c:pt>
                <c:pt idx="75">
                  <c:v>260.87775523683933</c:v>
                </c:pt>
                <c:pt idx="76">
                  <c:v>369.34932115811483</c:v>
                </c:pt>
                <c:pt idx="77">
                  <c:v>496.01561652396106</c:v>
                </c:pt>
                <c:pt idx="78">
                  <c:v>678.49267570181314</c:v>
                </c:pt>
                <c:pt idx="79">
                  <c:v>889.34452995378228</c:v>
                </c:pt>
                <c:pt idx="80">
                  <c:v>1096.951639607327</c:v>
                </c:pt>
                <c:pt idx="81">
                  <c:v>1357.0023364312019</c:v>
                </c:pt>
                <c:pt idx="82">
                  <c:v>1614.3588532750325</c:v>
                </c:pt>
                <c:pt idx="83">
                  <c:v>1875.4472611475428</c:v>
                </c:pt>
                <c:pt idx="84">
                  <c:v>2104.8165239936766</c:v>
                </c:pt>
                <c:pt idx="85">
                  <c:v>2234.7406570772328</c:v>
                </c:pt>
                <c:pt idx="86">
                  <c:v>2289.7892434676496</c:v>
                </c:pt>
                <c:pt idx="87">
                  <c:v>2325.0065379043531</c:v>
                </c:pt>
                <c:pt idx="88">
                  <c:v>2352.2025744770976</c:v>
                </c:pt>
                <c:pt idx="89">
                  <c:v>2348.1910034785087</c:v>
                </c:pt>
                <c:pt idx="90">
                  <c:v>2316.8771640273326</c:v>
                </c:pt>
                <c:pt idx="91">
                  <c:v>2268.9781970985687</c:v>
                </c:pt>
                <c:pt idx="92">
                  <c:v>2188.7881396489875</c:v>
                </c:pt>
                <c:pt idx="93">
                  <c:v>2079.3009021612706</c:v>
                </c:pt>
                <c:pt idx="94">
                  <c:v>1933.0047139531637</c:v>
                </c:pt>
                <c:pt idx="95">
                  <c:v>1778.2970856374484</c:v>
                </c:pt>
                <c:pt idx="96">
                  <c:v>1602.2358263007793</c:v>
                </c:pt>
                <c:pt idx="97">
                  <c:v>1405.6975532412196</c:v>
                </c:pt>
                <c:pt idx="98">
                  <c:v>1175.1098482108528</c:v>
                </c:pt>
                <c:pt idx="99">
                  <c:v>958.48731216305725</c:v>
                </c:pt>
                <c:pt idx="100">
                  <c:v>738.65876574898493</c:v>
                </c:pt>
                <c:pt idx="101">
                  <c:v>561.51342371128419</c:v>
                </c:pt>
                <c:pt idx="102">
                  <c:v>417.92529599555911</c:v>
                </c:pt>
                <c:pt idx="103">
                  <c:v>338.00233386039895</c:v>
                </c:pt>
                <c:pt idx="104">
                  <c:v>295.19167974072121</c:v>
                </c:pt>
                <c:pt idx="105">
                  <c:v>235.11943822533334</c:v>
                </c:pt>
                <c:pt idx="106">
                  <c:v>170.68575646207958</c:v>
                </c:pt>
                <c:pt idx="107">
                  <c:v>120.58092009066362</c:v>
                </c:pt>
                <c:pt idx="108">
                  <c:v>73.670348347974411</c:v>
                </c:pt>
                <c:pt idx="109">
                  <c:v>35.862802465649189</c:v>
                </c:pt>
                <c:pt idx="110">
                  <c:v>10.965532430277056</c:v>
                </c:pt>
                <c:pt idx="111">
                  <c:v>10.93473314170695</c:v>
                </c:pt>
                <c:pt idx="112">
                  <c:v>4.1097100814325973</c:v>
                </c:pt>
                <c:pt idx="113">
                  <c:v>4.1253882459253655</c:v>
                </c:pt>
                <c:pt idx="114">
                  <c:v>0</c:v>
                </c:pt>
                <c:pt idx="115">
                  <c:v>0</c:v>
                </c:pt>
                <c:pt idx="116">
                  <c:v>0</c:v>
                </c:pt>
                <c:pt idx="117">
                  <c:v>0</c:v>
                </c:pt>
                <c:pt idx="118">
                  <c:v>0</c:v>
                </c:pt>
                <c:pt idx="119">
                  <c:v>0</c:v>
                </c:pt>
                <c:pt idx="120">
                  <c:v>0</c:v>
                </c:pt>
                <c:pt idx="121">
                  <c:v>0</c:v>
                </c:pt>
                <c:pt idx="122">
                  <c:v>0</c:v>
                </c:pt>
                <c:pt idx="123">
                  <c:v>0.76778369734415797</c:v>
                </c:pt>
                <c:pt idx="124">
                  <c:v>3.6833813046025772</c:v>
                </c:pt>
                <c:pt idx="125">
                  <c:v>7.0667989389593497</c:v>
                </c:pt>
                <c:pt idx="126">
                  <c:v>8.8558612671320223</c:v>
                </c:pt>
                <c:pt idx="127">
                  <c:v>9.2912132088913477</c:v>
                </c:pt>
                <c:pt idx="128">
                  <c:v>12.366214182481471</c:v>
                </c:pt>
                <c:pt idx="129">
                  <c:v>15.285353794341999</c:v>
                </c:pt>
                <c:pt idx="130">
                  <c:v>18.68004769999779</c:v>
                </c:pt>
                <c:pt idx="131">
                  <c:v>24.795482483206957</c:v>
                </c:pt>
                <c:pt idx="132">
                  <c:v>29.0612489543328</c:v>
                </c:pt>
                <c:pt idx="133">
                  <c:v>30.644609587394232</c:v>
                </c:pt>
                <c:pt idx="134">
                  <c:v>37.590291739902078</c:v>
                </c:pt>
                <c:pt idx="135">
                  <c:v>43.253702070758024</c:v>
                </c:pt>
                <c:pt idx="136">
                  <c:v>46.769359016118393</c:v>
                </c:pt>
                <c:pt idx="137">
                  <c:v>51.813955622186647</c:v>
                </c:pt>
                <c:pt idx="138">
                  <c:v>56.35135875905695</c:v>
                </c:pt>
                <c:pt idx="139">
                  <c:v>60.423298040389064</c:v>
                </c:pt>
                <c:pt idx="140">
                  <c:v>62.681381937158633</c:v>
                </c:pt>
                <c:pt idx="141">
                  <c:v>71.633403197206633</c:v>
                </c:pt>
                <c:pt idx="142">
                  <c:v>77.245915005244143</c:v>
                </c:pt>
                <c:pt idx="143">
                  <c:v>84.324889537928883</c:v>
                </c:pt>
                <c:pt idx="144">
                  <c:v>87.207491271318887</c:v>
                </c:pt>
                <c:pt idx="145">
                  <c:v>92.898441503840687</c:v>
                </c:pt>
                <c:pt idx="146">
                  <c:v>92.503478098642162</c:v>
                </c:pt>
                <c:pt idx="147">
                  <c:v>92.594034280343521</c:v>
                </c:pt>
                <c:pt idx="148">
                  <c:v>88.521733159859721</c:v>
                </c:pt>
                <c:pt idx="149">
                  <c:v>82.601263002029242</c:v>
                </c:pt>
                <c:pt idx="150">
                  <c:v>70.258342606440635</c:v>
                </c:pt>
                <c:pt idx="151">
                  <c:v>54.703306487116294</c:v>
                </c:pt>
                <c:pt idx="152">
                  <c:v>45.718249399473279</c:v>
                </c:pt>
                <c:pt idx="153">
                  <c:v>45.176695034567977</c:v>
                </c:pt>
                <c:pt idx="154">
                  <c:v>46.996406068872631</c:v>
                </c:pt>
                <c:pt idx="155">
                  <c:v>49.690812655397416</c:v>
                </c:pt>
                <c:pt idx="156">
                  <c:v>51.896687086476298</c:v>
                </c:pt>
                <c:pt idx="157">
                  <c:v>54.02188394950867</c:v>
                </c:pt>
                <c:pt idx="158">
                  <c:v>55.58218898508089</c:v>
                </c:pt>
                <c:pt idx="159">
                  <c:v>58.674171192181014</c:v>
                </c:pt>
                <c:pt idx="160">
                  <c:v>61.927899606777203</c:v>
                </c:pt>
                <c:pt idx="161">
                  <c:v>65.573064424320464</c:v>
                </c:pt>
                <c:pt idx="162">
                  <c:v>65.38002392882909</c:v>
                </c:pt>
                <c:pt idx="163">
                  <c:v>65.448553382885095</c:v>
                </c:pt>
                <c:pt idx="164">
                  <c:v>67.43438132923194</c:v>
                </c:pt>
                <c:pt idx="165">
                  <c:v>69.780776992677929</c:v>
                </c:pt>
                <c:pt idx="166">
                  <c:v>71.315328701219272</c:v>
                </c:pt>
                <c:pt idx="167">
                  <c:v>72.50958968005537</c:v>
                </c:pt>
                <c:pt idx="168">
                  <c:v>72.927009715225395</c:v>
                </c:pt>
                <c:pt idx="169">
                  <c:v>75.346896550798618</c:v>
                </c:pt>
                <c:pt idx="170">
                  <c:v>77.661458287088948</c:v>
                </c:pt>
                <c:pt idx="171">
                  <c:v>79.246298354027218</c:v>
                </c:pt>
                <c:pt idx="172">
                  <c:v>81.259618509957193</c:v>
                </c:pt>
                <c:pt idx="173">
                  <c:v>79.967374447393979</c:v>
                </c:pt>
                <c:pt idx="174">
                  <c:v>78.045133799108456</c:v>
                </c:pt>
                <c:pt idx="175">
                  <c:v>75.522962257320515</c:v>
                </c:pt>
                <c:pt idx="176">
                  <c:v>74.268463024790137</c:v>
                </c:pt>
                <c:pt idx="177">
                  <c:v>73.246335835150731</c:v>
                </c:pt>
                <c:pt idx="178">
                  <c:v>69.892648802455398</c:v>
                </c:pt>
                <c:pt idx="179">
                  <c:v>63.825997287973152</c:v>
                </c:pt>
                <c:pt idx="180">
                  <c:v>59.027294895040853</c:v>
                </c:pt>
                <c:pt idx="181">
                  <c:v>55.583013966699795</c:v>
                </c:pt>
                <c:pt idx="182">
                  <c:v>56.214233617659161</c:v>
                </c:pt>
                <c:pt idx="183">
                  <c:v>56.220016036102159</c:v>
                </c:pt>
                <c:pt idx="184">
                  <c:v>56.035039705652672</c:v>
                </c:pt>
                <c:pt idx="185">
                  <c:v>55.050830515275031</c:v>
                </c:pt>
                <c:pt idx="186">
                  <c:v>55.732934402261343</c:v>
                </c:pt>
                <c:pt idx="187">
                  <c:v>56.611439317809442</c:v>
                </c:pt>
                <c:pt idx="188">
                  <c:v>58.675367318410693</c:v>
                </c:pt>
                <c:pt idx="189">
                  <c:v>60.305706209347122</c:v>
                </c:pt>
                <c:pt idx="190">
                  <c:v>61.170280693857769</c:v>
                </c:pt>
                <c:pt idx="191">
                  <c:v>61.852631390404412</c:v>
                </c:pt>
                <c:pt idx="192">
                  <c:v>63.324084119841203</c:v>
                </c:pt>
                <c:pt idx="193">
                  <c:v>66.139156851289314</c:v>
                </c:pt>
                <c:pt idx="194">
                  <c:v>69.108852899831945</c:v>
                </c:pt>
                <c:pt idx="195">
                  <c:v>70.74923071977679</c:v>
                </c:pt>
                <c:pt idx="196">
                  <c:v>73.878379286821556</c:v>
                </c:pt>
                <c:pt idx="197">
                  <c:v>77.552868498572096</c:v>
                </c:pt>
                <c:pt idx="198">
                  <c:v>79.934606807032011</c:v>
                </c:pt>
                <c:pt idx="199">
                  <c:v>83.748054752715561</c:v>
                </c:pt>
                <c:pt idx="200">
                  <c:v>87.747229984453426</c:v>
                </c:pt>
                <c:pt idx="201">
                  <c:v>91.576401614040165</c:v>
                </c:pt>
                <c:pt idx="202">
                  <c:v>95.754697257802917</c:v>
                </c:pt>
                <c:pt idx="203">
                  <c:v>99.400361565853714</c:v>
                </c:pt>
                <c:pt idx="204">
                  <c:v>102.31514480100678</c:v>
                </c:pt>
                <c:pt idx="205">
                  <c:v>104.87861690559427</c:v>
                </c:pt>
                <c:pt idx="206">
                  <c:v>107.13575745815686</c:v>
                </c:pt>
                <c:pt idx="207">
                  <c:v>109.06393365423038</c:v>
                </c:pt>
                <c:pt idx="208">
                  <c:v>111.2123239513023</c:v>
                </c:pt>
                <c:pt idx="209">
                  <c:v>112.52578591669723</c:v>
                </c:pt>
                <c:pt idx="210">
                  <c:v>112.59898795712301</c:v>
                </c:pt>
                <c:pt idx="211">
                  <c:v>108.77719038817199</c:v>
                </c:pt>
                <c:pt idx="212">
                  <c:v>102.90938846964438</c:v>
                </c:pt>
                <c:pt idx="213">
                  <c:v>97.245158920611473</c:v>
                </c:pt>
                <c:pt idx="214">
                  <c:v>96.399091934224273</c:v>
                </c:pt>
                <c:pt idx="215">
                  <c:v>97.324038364803016</c:v>
                </c:pt>
                <c:pt idx="216">
                  <c:v>99.371174542207996</c:v>
                </c:pt>
                <c:pt idx="217">
                  <c:v>102.34204388746312</c:v>
                </c:pt>
                <c:pt idx="218">
                  <c:v>105.35784864052883</c:v>
                </c:pt>
                <c:pt idx="219">
                  <c:v>106.46876162435861</c:v>
                </c:pt>
                <c:pt idx="220">
                  <c:v>107.07565450722434</c:v>
                </c:pt>
                <c:pt idx="221">
                  <c:v>108.96624656916997</c:v>
                </c:pt>
                <c:pt idx="222">
                  <c:v>111.27267969737605</c:v>
                </c:pt>
                <c:pt idx="223">
                  <c:v>113.9961874152649</c:v>
                </c:pt>
                <c:pt idx="224">
                  <c:v>117.50521751880177</c:v>
                </c:pt>
                <c:pt idx="225">
                  <c:v>120.3502996095647</c:v>
                </c:pt>
                <c:pt idx="226">
                  <c:v>122.33260614582449</c:v>
                </c:pt>
                <c:pt idx="227">
                  <c:v>123.08915976878212</c:v>
                </c:pt>
                <c:pt idx="228">
                  <c:v>121.68767308969662</c:v>
                </c:pt>
                <c:pt idx="229">
                  <c:v>116.50294127217528</c:v>
                </c:pt>
                <c:pt idx="230">
                  <c:v>111.37162069689505</c:v>
                </c:pt>
                <c:pt idx="231">
                  <c:v>108.31086218217686</c:v>
                </c:pt>
                <c:pt idx="232">
                  <c:v>108.00792996384426</c:v>
                </c:pt>
                <c:pt idx="233">
                  <c:v>109.25023666354974</c:v>
                </c:pt>
                <c:pt idx="234">
                  <c:v>110.64370481910103</c:v>
                </c:pt>
                <c:pt idx="235">
                  <c:v>112.95927463240621</c:v>
                </c:pt>
                <c:pt idx="236">
                  <c:v>114.91704990499062</c:v>
                </c:pt>
                <c:pt idx="237">
                  <c:v>117.01223977441903</c:v>
                </c:pt>
                <c:pt idx="238">
                  <c:v>115.91979583263877</c:v>
                </c:pt>
                <c:pt idx="239">
                  <c:v>114.6632125218979</c:v>
                </c:pt>
                <c:pt idx="240">
                  <c:v>115.79929049915215</c:v>
                </c:pt>
                <c:pt idx="241">
                  <c:v>118.59137848381265</c:v>
                </c:pt>
                <c:pt idx="242">
                  <c:v>122.28072160213583</c:v>
                </c:pt>
                <c:pt idx="243">
                  <c:v>126.62429683956738</c:v>
                </c:pt>
                <c:pt idx="244">
                  <c:v>131.47313642986509</c:v>
                </c:pt>
                <c:pt idx="245">
                  <c:v>134.7556769973751</c:v>
                </c:pt>
                <c:pt idx="246">
                  <c:v>136.87233339198858</c:v>
                </c:pt>
                <c:pt idx="247">
                  <c:v>137.77256750981564</c:v>
                </c:pt>
                <c:pt idx="248">
                  <c:v>137.4261086874524</c:v>
                </c:pt>
                <c:pt idx="249">
                  <c:v>137.87461655192902</c:v>
                </c:pt>
                <c:pt idx="250">
                  <c:v>141.22878436439939</c:v>
                </c:pt>
                <c:pt idx="251">
                  <c:v>141.22931584995879</c:v>
                </c:pt>
                <c:pt idx="252">
                  <c:v>143.2737570067244</c:v>
                </c:pt>
                <c:pt idx="253">
                  <c:v>144.00342149724634</c:v>
                </c:pt>
                <c:pt idx="254">
                  <c:v>145.74037710097528</c:v>
                </c:pt>
                <c:pt idx="255">
                  <c:v>142.67094559160992</c:v>
                </c:pt>
                <c:pt idx="256">
                  <c:v>139.70948676289404</c:v>
                </c:pt>
                <c:pt idx="257">
                  <c:v>135.75919972368854</c:v>
                </c:pt>
                <c:pt idx="258">
                  <c:v>130.81938427574991</c:v>
                </c:pt>
                <c:pt idx="259">
                  <c:v>127.06272699836433</c:v>
                </c:pt>
                <c:pt idx="260">
                  <c:v>126.645590599915</c:v>
                </c:pt>
                <c:pt idx="261">
                  <c:v>128.99147091902145</c:v>
                </c:pt>
                <c:pt idx="262">
                  <c:v>133.15342938794436</c:v>
                </c:pt>
                <c:pt idx="263">
                  <c:v>136.07576520054707</c:v>
                </c:pt>
                <c:pt idx="264">
                  <c:v>139.07222475694687</c:v>
                </c:pt>
                <c:pt idx="265">
                  <c:v>141.68763977122944</c:v>
                </c:pt>
                <c:pt idx="266">
                  <c:v>145.40538346026202</c:v>
                </c:pt>
                <c:pt idx="267">
                  <c:v>148.73785307471678</c:v>
                </c:pt>
                <c:pt idx="268">
                  <c:v>150.5568086799349</c:v>
                </c:pt>
                <c:pt idx="269">
                  <c:v>151.17229934138905</c:v>
                </c:pt>
                <c:pt idx="270">
                  <c:v>150.11206277696638</c:v>
                </c:pt>
                <c:pt idx="271">
                  <c:v>148.28540834318082</c:v>
                </c:pt>
                <c:pt idx="272">
                  <c:v>146.5350683060048</c:v>
                </c:pt>
                <c:pt idx="273">
                  <c:v>144.71273854661203</c:v>
                </c:pt>
                <c:pt idx="274">
                  <c:v>145.33537748171779</c:v>
                </c:pt>
                <c:pt idx="275">
                  <c:v>144.32005837287659</c:v>
                </c:pt>
                <c:pt idx="276">
                  <c:v>143.10784310593797</c:v>
                </c:pt>
                <c:pt idx="277">
                  <c:v>139.81638735617776</c:v>
                </c:pt>
                <c:pt idx="278">
                  <c:v>136.13003774488925</c:v>
                </c:pt>
                <c:pt idx="279">
                  <c:v>129.58902601392143</c:v>
                </c:pt>
                <c:pt idx="280">
                  <c:v>117.34489846987444</c:v>
                </c:pt>
                <c:pt idx="281">
                  <c:v>103.94639438436502</c:v>
                </c:pt>
                <c:pt idx="282">
                  <c:v>89.865250898171098</c:v>
                </c:pt>
                <c:pt idx="283">
                  <c:v>82.343069681996454</c:v>
                </c:pt>
                <c:pt idx="284">
                  <c:v>78.921991985993515</c:v>
                </c:pt>
                <c:pt idx="285">
                  <c:v>76.871489319497513</c:v>
                </c:pt>
                <c:pt idx="286">
                  <c:v>75.775895302316499</c:v>
                </c:pt>
                <c:pt idx="287">
                  <c:v>75.505876302442786</c:v>
                </c:pt>
                <c:pt idx="288">
                  <c:v>74.580341872654358</c:v>
                </c:pt>
                <c:pt idx="289">
                  <c:v>74.277961534965073</c:v>
                </c:pt>
                <c:pt idx="290">
                  <c:v>73.68656897963379</c:v>
                </c:pt>
                <c:pt idx="291">
                  <c:v>71.896944548257437</c:v>
                </c:pt>
                <c:pt idx="292">
                  <c:v>70.175235415978264</c:v>
                </c:pt>
                <c:pt idx="293">
                  <c:v>69.041299897627283</c:v>
                </c:pt>
                <c:pt idx="294">
                  <c:v>69.633658095708796</c:v>
                </c:pt>
                <c:pt idx="295">
                  <c:v>69.524417260633612</c:v>
                </c:pt>
                <c:pt idx="296">
                  <c:v>70.822332025569366</c:v>
                </c:pt>
                <c:pt idx="297">
                  <c:v>72.091240092665061</c:v>
                </c:pt>
                <c:pt idx="298">
                  <c:v>73.442887499683749</c:v>
                </c:pt>
                <c:pt idx="299">
                  <c:v>75.19407784980875</c:v>
                </c:pt>
                <c:pt idx="300">
                  <c:v>77.164932204320237</c:v>
                </c:pt>
                <c:pt idx="301">
                  <c:v>78.683757552037619</c:v>
                </c:pt>
                <c:pt idx="302">
                  <c:v>80.482504529583153</c:v>
                </c:pt>
                <c:pt idx="303">
                  <c:v>81.669025129755383</c:v>
                </c:pt>
                <c:pt idx="304">
                  <c:v>82.132770380057366</c:v>
                </c:pt>
                <c:pt idx="305">
                  <c:v>80.575888438868844</c:v>
                </c:pt>
                <c:pt idx="306">
                  <c:v>78.762866726429678</c:v>
                </c:pt>
                <c:pt idx="307">
                  <c:v>74.284779234458057</c:v>
                </c:pt>
                <c:pt idx="308">
                  <c:v>69.91977227036493</c:v>
                </c:pt>
                <c:pt idx="309">
                  <c:v>66.906306438278875</c:v>
                </c:pt>
                <c:pt idx="310">
                  <c:v>64.954407729050459</c:v>
                </c:pt>
                <c:pt idx="311">
                  <c:v>63.970481035959118</c:v>
                </c:pt>
                <c:pt idx="312">
                  <c:v>63.614801105615626</c:v>
                </c:pt>
                <c:pt idx="313">
                  <c:v>63.292239638696039</c:v>
                </c:pt>
                <c:pt idx="314">
                  <c:v>63.784069181045474</c:v>
                </c:pt>
                <c:pt idx="315">
                  <c:v>64.397183979687568</c:v>
                </c:pt>
                <c:pt idx="316">
                  <c:v>63.787041169067884</c:v>
                </c:pt>
                <c:pt idx="317">
                  <c:v>64.238718837208182</c:v>
                </c:pt>
                <c:pt idx="318">
                  <c:v>64.402668658205386</c:v>
                </c:pt>
                <c:pt idx="319">
                  <c:v>64.411094195760739</c:v>
                </c:pt>
                <c:pt idx="320">
                  <c:v>64.468263271800922</c:v>
                </c:pt>
                <c:pt idx="321">
                  <c:v>64.304139937051147</c:v>
                </c:pt>
                <c:pt idx="322">
                  <c:v>63.491055290983347</c:v>
                </c:pt>
                <c:pt idx="323">
                  <c:v>63.30274030548798</c:v>
                </c:pt>
                <c:pt idx="324">
                  <c:v>62.287338398566654</c:v>
                </c:pt>
                <c:pt idx="325">
                  <c:v>61.326233573031622</c:v>
                </c:pt>
                <c:pt idx="326">
                  <c:v>60.760740072594196</c:v>
                </c:pt>
                <c:pt idx="327">
                  <c:v>60.643997403990738</c:v>
                </c:pt>
                <c:pt idx="328">
                  <c:v>60.852228278595732</c:v>
                </c:pt>
                <c:pt idx="329">
                  <c:v>61.282117534517788</c:v>
                </c:pt>
                <c:pt idx="330">
                  <c:v>62.220607884021277</c:v>
                </c:pt>
                <c:pt idx="331">
                  <c:v>63.085097260625751</c:v>
                </c:pt>
                <c:pt idx="332">
                  <c:v>64.161411830239672</c:v>
                </c:pt>
                <c:pt idx="333">
                  <c:v>64.924857067057829</c:v>
                </c:pt>
                <c:pt idx="334">
                  <c:v>65.985137581710759</c:v>
                </c:pt>
                <c:pt idx="335">
                  <c:v>66.561164334716821</c:v>
                </c:pt>
                <c:pt idx="336">
                  <c:v>67.080574673462252</c:v>
                </c:pt>
                <c:pt idx="337">
                  <c:v>67.464010601923434</c:v>
                </c:pt>
                <c:pt idx="338">
                  <c:v>67.985335813303607</c:v>
                </c:pt>
                <c:pt idx="339">
                  <c:v>68.439206158835276</c:v>
                </c:pt>
                <c:pt idx="340">
                  <c:v>68.114198589264305</c:v>
                </c:pt>
                <c:pt idx="341">
                  <c:v>67.201892065141095</c:v>
                </c:pt>
                <c:pt idx="342">
                  <c:v>66.387363333436852</c:v>
                </c:pt>
                <c:pt idx="343">
                  <c:v>65.517462103473974</c:v>
                </c:pt>
                <c:pt idx="344">
                  <c:v>63.690952274384259</c:v>
                </c:pt>
                <c:pt idx="345">
                  <c:v>61.5912627302571</c:v>
                </c:pt>
                <c:pt idx="346">
                  <c:v>60.336937075602499</c:v>
                </c:pt>
                <c:pt idx="347">
                  <c:v>58.294220412182206</c:v>
                </c:pt>
                <c:pt idx="348">
                  <c:v>57.07402516970933</c:v>
                </c:pt>
                <c:pt idx="349">
                  <c:v>55.218578999623055</c:v>
                </c:pt>
                <c:pt idx="350">
                  <c:v>53.454566897220943</c:v>
                </c:pt>
                <c:pt idx="351">
                  <c:v>51.125758216868242</c:v>
                </c:pt>
                <c:pt idx="352">
                  <c:v>49.321776383697241</c:v>
                </c:pt>
                <c:pt idx="353">
                  <c:v>47.398010875165028</c:v>
                </c:pt>
                <c:pt idx="354">
                  <c:v>46.223289399862722</c:v>
                </c:pt>
                <c:pt idx="355">
                  <c:v>45.625320814236623</c:v>
                </c:pt>
                <c:pt idx="356">
                  <c:v>45.018703777635984</c:v>
                </c:pt>
                <c:pt idx="357">
                  <c:v>45.210182804397725</c:v>
                </c:pt>
                <c:pt idx="358">
                  <c:v>45.031695511819819</c:v>
                </c:pt>
                <c:pt idx="359">
                  <c:v>45.177662909515192</c:v>
                </c:pt>
                <c:pt idx="360">
                  <c:v>45.27053531634175</c:v>
                </c:pt>
                <c:pt idx="361">
                  <c:v>45.36165916202124</c:v>
                </c:pt>
                <c:pt idx="362">
                  <c:v>45.66635907571812</c:v>
                </c:pt>
                <c:pt idx="363">
                  <c:v>45.656473099338143</c:v>
                </c:pt>
                <c:pt idx="364">
                  <c:v>44.965294490291726</c:v>
                </c:pt>
                <c:pt idx="365">
                  <c:v>45.167452682742116</c:v>
                </c:pt>
                <c:pt idx="366">
                  <c:v>44.708193530233217</c:v>
                </c:pt>
                <c:pt idx="367">
                  <c:v>44.431458175874546</c:v>
                </c:pt>
                <c:pt idx="368">
                  <c:v>44.057782269840224</c:v>
                </c:pt>
                <c:pt idx="369">
                  <c:v>43.972283511753439</c:v>
                </c:pt>
                <c:pt idx="370">
                  <c:v>43.694629251674357</c:v>
                </c:pt>
                <c:pt idx="371">
                  <c:v>43.397139503038929</c:v>
                </c:pt>
                <c:pt idx="372">
                  <c:v>42.885060849411893</c:v>
                </c:pt>
                <c:pt idx="373">
                  <c:v>42.621706107156093</c:v>
                </c:pt>
                <c:pt idx="374">
                  <c:v>42.316914820250211</c:v>
                </c:pt>
                <c:pt idx="375">
                  <c:v>41.567644602247185</c:v>
                </c:pt>
                <c:pt idx="376">
                  <c:v>40.728534982431974</c:v>
                </c:pt>
                <c:pt idx="377">
                  <c:v>39.871553333960655</c:v>
                </c:pt>
                <c:pt idx="378">
                  <c:v>38.778473875283424</c:v>
                </c:pt>
                <c:pt idx="379">
                  <c:v>37.727276665886876</c:v>
                </c:pt>
                <c:pt idx="380">
                  <c:v>36.649105067944603</c:v>
                </c:pt>
                <c:pt idx="381">
                  <c:v>35.11583031001166</c:v>
                </c:pt>
                <c:pt idx="382">
                  <c:v>33.997668812608381</c:v>
                </c:pt>
                <c:pt idx="383">
                  <c:v>33.135188446112302</c:v>
                </c:pt>
                <c:pt idx="384">
                  <c:v>32.065708323604817</c:v>
                </c:pt>
                <c:pt idx="385">
                  <c:v>31.086590254586447</c:v>
                </c:pt>
                <c:pt idx="386">
                  <c:v>30.020105651561426</c:v>
                </c:pt>
                <c:pt idx="387">
                  <c:v>28.741163731964889</c:v>
                </c:pt>
                <c:pt idx="388">
                  <c:v>27.992465675106942</c:v>
                </c:pt>
                <c:pt idx="389">
                  <c:v>26.968674472542872</c:v>
                </c:pt>
                <c:pt idx="390">
                  <c:v>25.808334034235905</c:v>
                </c:pt>
                <c:pt idx="391">
                  <c:v>25.384354086584064</c:v>
                </c:pt>
                <c:pt idx="392">
                  <c:v>24.974864623518286</c:v>
                </c:pt>
                <c:pt idx="393">
                  <c:v>24.611374347275877</c:v>
                </c:pt>
                <c:pt idx="394">
                  <c:v>24.176454352330762</c:v>
                </c:pt>
                <c:pt idx="395">
                  <c:v>23.897477569206988</c:v>
                </c:pt>
                <c:pt idx="396">
                  <c:v>23.166711514848028</c:v>
                </c:pt>
                <c:pt idx="397">
                  <c:v>23.043823410530759</c:v>
                </c:pt>
                <c:pt idx="398">
                  <c:v>22.86700784059142</c:v>
                </c:pt>
                <c:pt idx="399">
                  <c:v>22.311047345106353</c:v>
                </c:pt>
                <c:pt idx="400">
                  <c:v>21.971205047725402</c:v>
                </c:pt>
              </c:numCache>
            </c:numRef>
          </c:yVal>
          <c:smooth val="1"/>
          <c:extLst>
            <c:ext xmlns:c16="http://schemas.microsoft.com/office/drawing/2014/chart" uri="{C3380CC4-5D6E-409C-BE32-E72D297353CC}">
              <c16:uniqueId val="{00000002-AE74-476B-9B96-4F9C790085E0}"/>
            </c:ext>
          </c:extLst>
        </c:ser>
        <c:ser>
          <c:idx val="3"/>
          <c:order val="3"/>
          <c:tx>
            <c:strRef>
              <c:f>'Typical AS7341 filters'!$E$4</c:f>
              <c:strCache>
                <c:ptCount val="1"/>
                <c:pt idx="0">
                  <c:v>F4 - 512x</c:v>
                </c:pt>
              </c:strCache>
            </c:strRef>
          </c:tx>
          <c:spPr>
            <a:ln w="19050" cap="rnd">
              <a:solidFill>
                <a:schemeClr val="accent4"/>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filters'!$E$5:$E$405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11.031331523932243</c:v>
                </c:pt>
                <c:pt idx="87">
                  <c:v>25.050575492572154</c:v>
                </c:pt>
                <c:pt idx="88">
                  <c:v>59.155326161568304</c:v>
                </c:pt>
                <c:pt idx="89">
                  <c:v>89.838442085589378</c:v>
                </c:pt>
                <c:pt idx="90">
                  <c:v>146.44266838496117</c:v>
                </c:pt>
                <c:pt idx="91">
                  <c:v>196.50149474195993</c:v>
                </c:pt>
                <c:pt idx="92">
                  <c:v>285.8263841580731</c:v>
                </c:pt>
                <c:pt idx="93">
                  <c:v>382.34763841939849</c:v>
                </c:pt>
                <c:pt idx="94">
                  <c:v>523.4588903562335</c:v>
                </c:pt>
                <c:pt idx="95">
                  <c:v>689.54376790023514</c:v>
                </c:pt>
                <c:pt idx="96">
                  <c:v>883.26452889205711</c:v>
                </c:pt>
                <c:pt idx="97">
                  <c:v>1097.4964854182781</c:v>
                </c:pt>
                <c:pt idx="98">
                  <c:v>1356.4724650903338</c:v>
                </c:pt>
                <c:pt idx="99">
                  <c:v>1646.3253208916162</c:v>
                </c:pt>
                <c:pt idx="100">
                  <c:v>1933.9429503246149</c:v>
                </c:pt>
                <c:pt idx="101">
                  <c:v>2196.902652451311</c:v>
                </c:pt>
                <c:pt idx="102">
                  <c:v>2436.1624015684188</c:v>
                </c:pt>
                <c:pt idx="103">
                  <c:v>2598.6672940955345</c:v>
                </c:pt>
                <c:pt idx="104">
                  <c:v>2726.6014090060817</c:v>
                </c:pt>
                <c:pt idx="105">
                  <c:v>2869.5902520754539</c:v>
                </c:pt>
                <c:pt idx="106">
                  <c:v>2966.5466598326725</c:v>
                </c:pt>
                <c:pt idx="107">
                  <c:v>3003.3061724907152</c:v>
                </c:pt>
                <c:pt idx="108">
                  <c:v>2994.0741573874875</c:v>
                </c:pt>
                <c:pt idx="109">
                  <c:v>2960.0605419724293</c:v>
                </c:pt>
                <c:pt idx="110">
                  <c:v>2885.3057207166498</c:v>
                </c:pt>
                <c:pt idx="111">
                  <c:v>2804.7590508478329</c:v>
                </c:pt>
                <c:pt idx="112">
                  <c:v>2705.5591369431268</c:v>
                </c:pt>
                <c:pt idx="113">
                  <c:v>2556.3655830584185</c:v>
                </c:pt>
                <c:pt idx="114">
                  <c:v>2381.9376637156761</c:v>
                </c:pt>
                <c:pt idx="115">
                  <c:v>2176.3143782693323</c:v>
                </c:pt>
                <c:pt idx="116">
                  <c:v>1925.8865862535235</c:v>
                </c:pt>
                <c:pt idx="117">
                  <c:v>1652.059293923629</c:v>
                </c:pt>
                <c:pt idx="118">
                  <c:v>1387.1106082972194</c:v>
                </c:pt>
                <c:pt idx="119">
                  <c:v>1297.3461492079953</c:v>
                </c:pt>
                <c:pt idx="120">
                  <c:v>1014.2177170489834</c:v>
                </c:pt>
                <c:pt idx="121">
                  <c:v>812.32196729637724</c:v>
                </c:pt>
                <c:pt idx="122">
                  <c:v>656.84684503617132</c:v>
                </c:pt>
                <c:pt idx="123">
                  <c:v>532.07410225950139</c:v>
                </c:pt>
                <c:pt idx="124">
                  <c:v>443.47910907415024</c:v>
                </c:pt>
                <c:pt idx="125">
                  <c:v>383.72718238549271</c:v>
                </c:pt>
                <c:pt idx="126">
                  <c:v>324.94198649399806</c:v>
                </c:pt>
                <c:pt idx="127">
                  <c:v>264.7995764534034</c:v>
                </c:pt>
                <c:pt idx="128">
                  <c:v>214.78161474836239</c:v>
                </c:pt>
                <c:pt idx="129">
                  <c:v>171.32334044491657</c:v>
                </c:pt>
                <c:pt idx="130">
                  <c:v>133.87367518331752</c:v>
                </c:pt>
                <c:pt idx="131">
                  <c:v>112.48682297259741</c:v>
                </c:pt>
                <c:pt idx="132">
                  <c:v>93.57722163295162</c:v>
                </c:pt>
                <c:pt idx="133">
                  <c:v>69.089665251579717</c:v>
                </c:pt>
                <c:pt idx="134">
                  <c:v>59.070458448417547</c:v>
                </c:pt>
                <c:pt idx="135">
                  <c:v>52.63402300176579</c:v>
                </c:pt>
                <c:pt idx="136">
                  <c:v>52.869710192133837</c:v>
                </c:pt>
                <c:pt idx="137">
                  <c:v>51.315744510434854</c:v>
                </c:pt>
                <c:pt idx="138">
                  <c:v>50.471216975503182</c:v>
                </c:pt>
                <c:pt idx="139">
                  <c:v>50.755570353926814</c:v>
                </c:pt>
                <c:pt idx="140">
                  <c:v>48.805350821299093</c:v>
                </c:pt>
                <c:pt idx="141">
                  <c:v>42.695405879129787</c:v>
                </c:pt>
                <c:pt idx="142">
                  <c:v>34.854864087732111</c:v>
                </c:pt>
                <c:pt idx="143">
                  <c:v>25.297466861378666</c:v>
                </c:pt>
                <c:pt idx="144">
                  <c:v>23.783861255814237</c:v>
                </c:pt>
                <c:pt idx="145">
                  <c:v>23.224610375960172</c:v>
                </c:pt>
                <c:pt idx="146">
                  <c:v>24.513421696140178</c:v>
                </c:pt>
                <c:pt idx="147">
                  <c:v>27.179343395722725</c:v>
                </c:pt>
                <c:pt idx="148">
                  <c:v>25.685062471254632</c:v>
                </c:pt>
                <c:pt idx="149">
                  <c:v>30.576158127822982</c:v>
                </c:pt>
                <c:pt idx="150">
                  <c:v>36.430251721858113</c:v>
                </c:pt>
                <c:pt idx="151">
                  <c:v>36.833559701324972</c:v>
                </c:pt>
                <c:pt idx="152">
                  <c:v>42.503684988572815</c:v>
                </c:pt>
                <c:pt idx="153">
                  <c:v>44.476281158063045</c:v>
                </c:pt>
                <c:pt idx="154">
                  <c:v>46.653366608515896</c:v>
                </c:pt>
                <c:pt idx="155">
                  <c:v>49.355063921239321</c:v>
                </c:pt>
                <c:pt idx="156">
                  <c:v>51.239766996774065</c:v>
                </c:pt>
                <c:pt idx="157">
                  <c:v>55.951236947705404</c:v>
                </c:pt>
                <c:pt idx="158">
                  <c:v>57.780354651157531</c:v>
                </c:pt>
                <c:pt idx="159">
                  <c:v>62.053311941468927</c:v>
                </c:pt>
                <c:pt idx="160">
                  <c:v>63.431003966165008</c:v>
                </c:pt>
                <c:pt idx="161">
                  <c:v>64.984965191815348</c:v>
                </c:pt>
                <c:pt idx="162">
                  <c:v>64.227953022594221</c:v>
                </c:pt>
                <c:pt idx="163">
                  <c:v>66.29487088352586</c:v>
                </c:pt>
                <c:pt idx="164">
                  <c:v>70.750826312636789</c:v>
                </c:pt>
                <c:pt idx="165">
                  <c:v>71.674053887828109</c:v>
                </c:pt>
                <c:pt idx="166">
                  <c:v>72.640892431725206</c:v>
                </c:pt>
                <c:pt idx="167">
                  <c:v>67.311769631305879</c:v>
                </c:pt>
                <c:pt idx="168">
                  <c:v>63.237407025789864</c:v>
                </c:pt>
                <c:pt idx="169">
                  <c:v>57.824362469217547</c:v>
                </c:pt>
                <c:pt idx="170">
                  <c:v>57.754565498309809</c:v>
                </c:pt>
                <c:pt idx="171">
                  <c:v>58.468305492910332</c:v>
                </c:pt>
                <c:pt idx="172">
                  <c:v>58.925103480904625</c:v>
                </c:pt>
                <c:pt idx="173">
                  <c:v>59.157151272487347</c:v>
                </c:pt>
                <c:pt idx="174">
                  <c:v>59.85762474267905</c:v>
                </c:pt>
                <c:pt idx="175">
                  <c:v>61.008038580237894</c:v>
                </c:pt>
                <c:pt idx="176">
                  <c:v>62.636053153437459</c:v>
                </c:pt>
                <c:pt idx="177">
                  <c:v>62.87712564162036</c:v>
                </c:pt>
                <c:pt idx="178">
                  <c:v>64.884764308821516</c:v>
                </c:pt>
                <c:pt idx="179">
                  <c:v>64.040899635744111</c:v>
                </c:pt>
                <c:pt idx="180">
                  <c:v>66.034132058840669</c:v>
                </c:pt>
                <c:pt idx="181">
                  <c:v>67.119111205071462</c:v>
                </c:pt>
                <c:pt idx="182">
                  <c:v>68.452756803791601</c:v>
                </c:pt>
                <c:pt idx="183">
                  <c:v>70.377611315266563</c:v>
                </c:pt>
                <c:pt idx="184">
                  <c:v>69.840774125885943</c:v>
                </c:pt>
                <c:pt idx="185">
                  <c:v>71.726812021726957</c:v>
                </c:pt>
                <c:pt idx="186">
                  <c:v>70.860445168589422</c:v>
                </c:pt>
                <c:pt idx="187">
                  <c:v>73.180641069363418</c:v>
                </c:pt>
                <c:pt idx="188">
                  <c:v>74.322131936653548</c:v>
                </c:pt>
                <c:pt idx="189">
                  <c:v>72.909792716123846</c:v>
                </c:pt>
                <c:pt idx="190">
                  <c:v>70.018811863409525</c:v>
                </c:pt>
                <c:pt idx="191">
                  <c:v>67.388823706212222</c:v>
                </c:pt>
                <c:pt idx="192">
                  <c:v>66.926352378155528</c:v>
                </c:pt>
                <c:pt idx="193">
                  <c:v>68.400324606888944</c:v>
                </c:pt>
                <c:pt idx="194">
                  <c:v>68.734279171377565</c:v>
                </c:pt>
                <c:pt idx="195">
                  <c:v>67.025586997683277</c:v>
                </c:pt>
                <c:pt idx="196">
                  <c:v>64.99075471096333</c:v>
                </c:pt>
                <c:pt idx="197">
                  <c:v>61.894925927601484</c:v>
                </c:pt>
                <c:pt idx="198">
                  <c:v>62.884335171587118</c:v>
                </c:pt>
                <c:pt idx="199">
                  <c:v>63.495257198137288</c:v>
                </c:pt>
                <c:pt idx="200">
                  <c:v>64.129963114931812</c:v>
                </c:pt>
                <c:pt idx="201">
                  <c:v>66.420038324807791</c:v>
                </c:pt>
                <c:pt idx="202">
                  <c:v>67.623373769634838</c:v>
                </c:pt>
                <c:pt idx="203">
                  <c:v>68.124298433017287</c:v>
                </c:pt>
                <c:pt idx="204">
                  <c:v>67.91145337930223</c:v>
                </c:pt>
                <c:pt idx="205">
                  <c:v>69.680852799287521</c:v>
                </c:pt>
                <c:pt idx="206">
                  <c:v>72.909359068862145</c:v>
                </c:pt>
                <c:pt idx="207">
                  <c:v>74.72569679408933</c:v>
                </c:pt>
                <c:pt idx="208">
                  <c:v>76.924818324143601</c:v>
                </c:pt>
                <c:pt idx="209">
                  <c:v>80.223430969001811</c:v>
                </c:pt>
                <c:pt idx="210">
                  <c:v>81.745092044462552</c:v>
                </c:pt>
                <c:pt idx="211">
                  <c:v>82.025796660787663</c:v>
                </c:pt>
                <c:pt idx="212">
                  <c:v>80.59168976538416</c:v>
                </c:pt>
                <c:pt idx="213">
                  <c:v>81.126198152349829</c:v>
                </c:pt>
                <c:pt idx="214">
                  <c:v>81.691142245730504</c:v>
                </c:pt>
                <c:pt idx="215">
                  <c:v>83.319304246734831</c:v>
                </c:pt>
                <c:pt idx="216">
                  <c:v>85.175292464749717</c:v>
                </c:pt>
                <c:pt idx="217">
                  <c:v>85.285036572885929</c:v>
                </c:pt>
                <c:pt idx="218">
                  <c:v>86.671068053948545</c:v>
                </c:pt>
                <c:pt idx="219">
                  <c:v>86.851401861076454</c:v>
                </c:pt>
                <c:pt idx="220">
                  <c:v>87.769860372365855</c:v>
                </c:pt>
                <c:pt idx="221">
                  <c:v>90.327283340233009</c:v>
                </c:pt>
                <c:pt idx="222">
                  <c:v>94.554813442358324</c:v>
                </c:pt>
                <c:pt idx="223">
                  <c:v>98.844795417033481</c:v>
                </c:pt>
                <c:pt idx="224">
                  <c:v>103.74497633015935</c:v>
                </c:pt>
                <c:pt idx="225">
                  <c:v>109.26061943406101</c:v>
                </c:pt>
                <c:pt idx="226">
                  <c:v>114.29882305565093</c:v>
                </c:pt>
                <c:pt idx="227">
                  <c:v>117.95280138796856</c:v>
                </c:pt>
                <c:pt idx="228">
                  <c:v>123.900176236782</c:v>
                </c:pt>
                <c:pt idx="229">
                  <c:v>128.93239519770989</c:v>
                </c:pt>
                <c:pt idx="230">
                  <c:v>133.79543694459204</c:v>
                </c:pt>
                <c:pt idx="231">
                  <c:v>139.71349062735661</c:v>
                </c:pt>
                <c:pt idx="232">
                  <c:v>147.5414805110307</c:v>
                </c:pt>
                <c:pt idx="233">
                  <c:v>154.35878385738471</c:v>
                </c:pt>
                <c:pt idx="234">
                  <c:v>160.88400059484536</c:v>
                </c:pt>
                <c:pt idx="235">
                  <c:v>166.53756071661257</c:v>
                </c:pt>
                <c:pt idx="236">
                  <c:v>171.98602553577408</c:v>
                </c:pt>
                <c:pt idx="237">
                  <c:v>172.97461531870641</c:v>
                </c:pt>
                <c:pt idx="238">
                  <c:v>169.95020914446195</c:v>
                </c:pt>
                <c:pt idx="239">
                  <c:v>163.60723439010906</c:v>
                </c:pt>
                <c:pt idx="240">
                  <c:v>159.81888380533672</c:v>
                </c:pt>
                <c:pt idx="241">
                  <c:v>156.06226781987445</c:v>
                </c:pt>
                <c:pt idx="242">
                  <c:v>152.95113210234368</c:v>
                </c:pt>
                <c:pt idx="243">
                  <c:v>150.61839130438986</c:v>
                </c:pt>
                <c:pt idx="244">
                  <c:v>149.93618490998503</c:v>
                </c:pt>
                <c:pt idx="245">
                  <c:v>150.27299737889101</c:v>
                </c:pt>
                <c:pt idx="246">
                  <c:v>149.40868825221577</c:v>
                </c:pt>
                <c:pt idx="247">
                  <c:v>148.32271907588259</c:v>
                </c:pt>
                <c:pt idx="248">
                  <c:v>148.04539890421006</c:v>
                </c:pt>
                <c:pt idx="249">
                  <c:v>149.39909057982584</c:v>
                </c:pt>
                <c:pt idx="250">
                  <c:v>153.03298126649847</c:v>
                </c:pt>
                <c:pt idx="251">
                  <c:v>157.76968617472872</c:v>
                </c:pt>
                <c:pt idx="252">
                  <c:v>163.10182159247645</c:v>
                </c:pt>
                <c:pt idx="253">
                  <c:v>168.00399174678736</c:v>
                </c:pt>
                <c:pt idx="254">
                  <c:v>172.4343309569885</c:v>
                </c:pt>
                <c:pt idx="255">
                  <c:v>176.17700099570015</c:v>
                </c:pt>
                <c:pt idx="256">
                  <c:v>178.10790160300621</c:v>
                </c:pt>
                <c:pt idx="257">
                  <c:v>177.9663868172712</c:v>
                </c:pt>
                <c:pt idx="258">
                  <c:v>172.02749032261116</c:v>
                </c:pt>
                <c:pt idx="259">
                  <c:v>163.52230673844483</c:v>
                </c:pt>
                <c:pt idx="260">
                  <c:v>152.62977211955274</c:v>
                </c:pt>
                <c:pt idx="261">
                  <c:v>144.05138884357726</c:v>
                </c:pt>
                <c:pt idx="262">
                  <c:v>137.51197044810621</c:v>
                </c:pt>
                <c:pt idx="263">
                  <c:v>133.032537224816</c:v>
                </c:pt>
                <c:pt idx="264">
                  <c:v>130.62391203806692</c:v>
                </c:pt>
                <c:pt idx="265">
                  <c:v>128.53247078181545</c:v>
                </c:pt>
                <c:pt idx="266">
                  <c:v>128.46286827831409</c:v>
                </c:pt>
                <c:pt idx="267">
                  <c:v>127.42870506974302</c:v>
                </c:pt>
                <c:pt idx="268">
                  <c:v>125.60497802792324</c:v>
                </c:pt>
                <c:pt idx="269">
                  <c:v>122.44746576334425</c:v>
                </c:pt>
                <c:pt idx="270">
                  <c:v>118.76085741137588</c:v>
                </c:pt>
                <c:pt idx="271">
                  <c:v>115.62975747536122</c:v>
                </c:pt>
                <c:pt idx="272">
                  <c:v>112.4382657084857</c:v>
                </c:pt>
                <c:pt idx="273">
                  <c:v>112.44300044965284</c:v>
                </c:pt>
                <c:pt idx="274">
                  <c:v>114.29094991079303</c:v>
                </c:pt>
                <c:pt idx="275">
                  <c:v>114.2858840628455</c:v>
                </c:pt>
                <c:pt idx="276">
                  <c:v>115.06254767846558</c:v>
                </c:pt>
                <c:pt idx="277">
                  <c:v>115.25404903684924</c:v>
                </c:pt>
                <c:pt idx="278">
                  <c:v>113.84408340739031</c:v>
                </c:pt>
                <c:pt idx="279">
                  <c:v>111.15453076405373</c:v>
                </c:pt>
                <c:pt idx="280">
                  <c:v>108.38727263247945</c:v>
                </c:pt>
                <c:pt idx="281">
                  <c:v>103.24286548836254</c:v>
                </c:pt>
                <c:pt idx="282">
                  <c:v>98.317069120839776</c:v>
                </c:pt>
                <c:pt idx="283">
                  <c:v>97.898639313913662</c:v>
                </c:pt>
                <c:pt idx="284">
                  <c:v>96.331254924080326</c:v>
                </c:pt>
                <c:pt idx="285">
                  <c:v>96.698807917761144</c:v>
                </c:pt>
                <c:pt idx="286">
                  <c:v>96.789378873547136</c:v>
                </c:pt>
                <c:pt idx="287">
                  <c:v>97.034411281238476</c:v>
                </c:pt>
                <c:pt idx="288">
                  <c:v>98.268770131386802</c:v>
                </c:pt>
                <c:pt idx="289">
                  <c:v>96.591300786396104</c:v>
                </c:pt>
                <c:pt idx="290">
                  <c:v>96.291612053067269</c:v>
                </c:pt>
                <c:pt idx="291">
                  <c:v>92.890852356348631</c:v>
                </c:pt>
                <c:pt idx="292">
                  <c:v>90.46686975312862</c:v>
                </c:pt>
                <c:pt idx="293">
                  <c:v>86.992037871010368</c:v>
                </c:pt>
                <c:pt idx="294">
                  <c:v>85.723765500348307</c:v>
                </c:pt>
                <c:pt idx="295">
                  <c:v>86.342704864634499</c:v>
                </c:pt>
                <c:pt idx="296">
                  <c:v>87.036235877577013</c:v>
                </c:pt>
                <c:pt idx="297">
                  <c:v>87.094355314771718</c:v>
                </c:pt>
                <c:pt idx="298">
                  <c:v>88.281093972455182</c:v>
                </c:pt>
                <c:pt idx="299">
                  <c:v>90.571932740188331</c:v>
                </c:pt>
                <c:pt idx="300">
                  <c:v>91.88562696329825</c:v>
                </c:pt>
                <c:pt idx="301">
                  <c:v>93.000476751594761</c:v>
                </c:pt>
                <c:pt idx="302">
                  <c:v>95.437409626569533</c:v>
                </c:pt>
                <c:pt idx="303">
                  <c:v>96.904947513358564</c:v>
                </c:pt>
                <c:pt idx="304">
                  <c:v>98.317109851730862</c:v>
                </c:pt>
                <c:pt idx="305">
                  <c:v>98.637866115769654</c:v>
                </c:pt>
                <c:pt idx="306">
                  <c:v>97.789254235243334</c:v>
                </c:pt>
                <c:pt idx="307">
                  <c:v>94.86720048507442</c:v>
                </c:pt>
                <c:pt idx="308">
                  <c:v>91.92393589662683</c:v>
                </c:pt>
                <c:pt idx="309">
                  <c:v>89.478328126230736</c:v>
                </c:pt>
                <c:pt idx="310">
                  <c:v>87.967395743483976</c:v>
                </c:pt>
                <c:pt idx="311">
                  <c:v>87.223554664060813</c:v>
                </c:pt>
                <c:pt idx="312">
                  <c:v>87.204484190372796</c:v>
                </c:pt>
                <c:pt idx="313">
                  <c:v>87.694066969277657</c:v>
                </c:pt>
                <c:pt idx="314">
                  <c:v>87.867729520791272</c:v>
                </c:pt>
                <c:pt idx="315">
                  <c:v>89.895490931182366</c:v>
                </c:pt>
                <c:pt idx="316">
                  <c:v>91.44038271635165</c:v>
                </c:pt>
                <c:pt idx="317">
                  <c:v>93.205537999932218</c:v>
                </c:pt>
                <c:pt idx="318">
                  <c:v>95.294271296503041</c:v>
                </c:pt>
                <c:pt idx="319">
                  <c:v>97.373894821530399</c:v>
                </c:pt>
                <c:pt idx="320">
                  <c:v>99.384907908779056</c:v>
                </c:pt>
                <c:pt idx="321">
                  <c:v>102.43291762021444</c:v>
                </c:pt>
                <c:pt idx="322">
                  <c:v>104.34390644132918</c:v>
                </c:pt>
                <c:pt idx="323">
                  <c:v>106.3073193173684</c:v>
                </c:pt>
                <c:pt idx="324">
                  <c:v>107.16835209397222</c:v>
                </c:pt>
                <c:pt idx="325">
                  <c:v>109.26911783040165</c:v>
                </c:pt>
                <c:pt idx="326">
                  <c:v>110.84843175069398</c:v>
                </c:pt>
                <c:pt idx="327">
                  <c:v>112.61264992487963</c:v>
                </c:pt>
                <c:pt idx="328">
                  <c:v>114.99829262444827</c:v>
                </c:pt>
                <c:pt idx="329">
                  <c:v>117.06034515641802</c:v>
                </c:pt>
                <c:pt idx="330">
                  <c:v>119.05909241241291</c:v>
                </c:pt>
                <c:pt idx="331">
                  <c:v>120.33947949844655</c:v>
                </c:pt>
                <c:pt idx="332">
                  <c:v>120.76496311907268</c:v>
                </c:pt>
                <c:pt idx="333">
                  <c:v>120.58614289207543</c:v>
                </c:pt>
                <c:pt idx="334">
                  <c:v>119.43944374766393</c:v>
                </c:pt>
                <c:pt idx="335">
                  <c:v>117.21066571604571</c:v>
                </c:pt>
                <c:pt idx="336">
                  <c:v>113.73170945220612</c:v>
                </c:pt>
                <c:pt idx="337">
                  <c:v>108.23810697494291</c:v>
                </c:pt>
                <c:pt idx="338">
                  <c:v>100.70182847431319</c:v>
                </c:pt>
                <c:pt idx="339">
                  <c:v>92.277581337755421</c:v>
                </c:pt>
                <c:pt idx="340">
                  <c:v>83.25068716465637</c:v>
                </c:pt>
                <c:pt idx="341">
                  <c:v>75.716158933122784</c:v>
                </c:pt>
                <c:pt idx="342">
                  <c:v>69.260620516432979</c:v>
                </c:pt>
                <c:pt idx="343">
                  <c:v>63.712158899704313</c:v>
                </c:pt>
                <c:pt idx="344">
                  <c:v>60.323040579499072</c:v>
                </c:pt>
                <c:pt idx="345">
                  <c:v>56.899304384421313</c:v>
                </c:pt>
                <c:pt idx="346">
                  <c:v>55.667124992355618</c:v>
                </c:pt>
                <c:pt idx="347">
                  <c:v>54.826083248419465</c:v>
                </c:pt>
                <c:pt idx="348">
                  <c:v>55.017303541972062</c:v>
                </c:pt>
                <c:pt idx="349">
                  <c:v>54.414069901615306</c:v>
                </c:pt>
                <c:pt idx="350">
                  <c:v>55.20240014726631</c:v>
                </c:pt>
                <c:pt idx="351">
                  <c:v>55.694442993694757</c:v>
                </c:pt>
                <c:pt idx="352">
                  <c:v>56.254266182869912</c:v>
                </c:pt>
                <c:pt idx="353">
                  <c:v>57.035846166928479</c:v>
                </c:pt>
                <c:pt idx="354">
                  <c:v>57.546203702464759</c:v>
                </c:pt>
                <c:pt idx="355">
                  <c:v>58.263320476396068</c:v>
                </c:pt>
                <c:pt idx="356">
                  <c:v>58.389187679998642</c:v>
                </c:pt>
                <c:pt idx="357">
                  <c:v>59.240929191969428</c:v>
                </c:pt>
                <c:pt idx="358">
                  <c:v>59.642292644965117</c:v>
                </c:pt>
                <c:pt idx="359">
                  <c:v>60.236883879353584</c:v>
                </c:pt>
                <c:pt idx="360">
                  <c:v>59.93959249636567</c:v>
                </c:pt>
                <c:pt idx="361">
                  <c:v>60.132199413852234</c:v>
                </c:pt>
                <c:pt idx="362">
                  <c:v>59.42212778812862</c:v>
                </c:pt>
                <c:pt idx="363">
                  <c:v>58.06388105610484</c:v>
                </c:pt>
                <c:pt idx="364">
                  <c:v>55.754180939200729</c:v>
                </c:pt>
                <c:pt idx="365">
                  <c:v>52.591288991579916</c:v>
                </c:pt>
                <c:pt idx="366">
                  <c:v>49.414319164994609</c:v>
                </c:pt>
                <c:pt idx="367">
                  <c:v>46.639232495172664</c:v>
                </c:pt>
                <c:pt idx="368">
                  <c:v>44.264303124230103</c:v>
                </c:pt>
                <c:pt idx="369">
                  <c:v>42.600293386581718</c:v>
                </c:pt>
                <c:pt idx="370">
                  <c:v>41.503049101120155</c:v>
                </c:pt>
                <c:pt idx="371">
                  <c:v>40.590699882179941</c:v>
                </c:pt>
                <c:pt idx="372">
                  <c:v>39.743798430505933</c:v>
                </c:pt>
                <c:pt idx="373">
                  <c:v>38.80280123995491</c:v>
                </c:pt>
                <c:pt idx="374">
                  <c:v>38.289982603484468</c:v>
                </c:pt>
                <c:pt idx="375">
                  <c:v>37.547167501374098</c:v>
                </c:pt>
                <c:pt idx="376">
                  <c:v>37.334490400562643</c:v>
                </c:pt>
                <c:pt idx="377">
                  <c:v>36.492608136167384</c:v>
                </c:pt>
                <c:pt idx="378">
                  <c:v>36.013400085915393</c:v>
                </c:pt>
                <c:pt idx="379">
                  <c:v>35.032471189752101</c:v>
                </c:pt>
                <c:pt idx="380">
                  <c:v>34.345834139460095</c:v>
                </c:pt>
                <c:pt idx="381">
                  <c:v>33.612818117754351</c:v>
                </c:pt>
                <c:pt idx="382">
                  <c:v>32.629553367432997</c:v>
                </c:pt>
                <c:pt idx="383">
                  <c:v>31.907959244404442</c:v>
                </c:pt>
                <c:pt idx="384">
                  <c:v>31.590157564568305</c:v>
                </c:pt>
                <c:pt idx="385">
                  <c:v>30.20614216458727</c:v>
                </c:pt>
                <c:pt idx="386">
                  <c:v>29.276364295329049</c:v>
                </c:pt>
                <c:pt idx="387">
                  <c:v>28.200153591127904</c:v>
                </c:pt>
                <c:pt idx="388">
                  <c:v>26.504943344545705</c:v>
                </c:pt>
                <c:pt idx="389">
                  <c:v>25.071380791057447</c:v>
                </c:pt>
                <c:pt idx="390">
                  <c:v>23.499167304856901</c:v>
                </c:pt>
                <c:pt idx="391">
                  <c:v>21.990723861104907</c:v>
                </c:pt>
                <c:pt idx="392">
                  <c:v>20.687626282151388</c:v>
                </c:pt>
                <c:pt idx="393">
                  <c:v>19.975436797096489</c:v>
                </c:pt>
                <c:pt idx="394">
                  <c:v>19.273060793548186</c:v>
                </c:pt>
                <c:pt idx="395">
                  <c:v>19.254539070046771</c:v>
                </c:pt>
                <c:pt idx="396">
                  <c:v>18.6015065986868</c:v>
                </c:pt>
                <c:pt idx="397">
                  <c:v>18.257272553743956</c:v>
                </c:pt>
                <c:pt idx="398">
                  <c:v>17.54274929860297</c:v>
                </c:pt>
                <c:pt idx="399">
                  <c:v>17.588770453043963</c:v>
                </c:pt>
                <c:pt idx="400">
                  <c:v>16.580754119867308</c:v>
                </c:pt>
              </c:numCache>
            </c:numRef>
          </c:yVal>
          <c:smooth val="1"/>
          <c:extLst>
            <c:ext xmlns:c16="http://schemas.microsoft.com/office/drawing/2014/chart" uri="{C3380CC4-5D6E-409C-BE32-E72D297353CC}">
              <c16:uniqueId val="{00000003-AE74-476B-9B96-4F9C790085E0}"/>
            </c:ext>
          </c:extLst>
        </c:ser>
        <c:ser>
          <c:idx val="4"/>
          <c:order val="4"/>
          <c:tx>
            <c:strRef>
              <c:f>'Typical AS7341 filters'!$F$4</c:f>
              <c:strCache>
                <c:ptCount val="1"/>
                <c:pt idx="0">
                  <c:v>F5 - 512x</c:v>
                </c:pt>
              </c:strCache>
            </c:strRef>
          </c:tx>
          <c:spPr>
            <a:ln w="19050" cap="rnd">
              <a:solidFill>
                <a:schemeClr val="accent5"/>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filters'!$F$5:$F$405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2.926427132990467</c:v>
                </c:pt>
                <c:pt idx="104">
                  <c:v>25.668841716584449</c:v>
                </c:pt>
                <c:pt idx="105">
                  <c:v>39.658700423550201</c:v>
                </c:pt>
                <c:pt idx="106">
                  <c:v>73.35255649610032</c:v>
                </c:pt>
                <c:pt idx="107">
                  <c:v>106.55988287081904</c:v>
                </c:pt>
                <c:pt idx="108">
                  <c:v>157.07074270417183</c:v>
                </c:pt>
                <c:pt idx="109">
                  <c:v>213.79747623752402</c:v>
                </c:pt>
                <c:pt idx="110">
                  <c:v>286.47453474098808</c:v>
                </c:pt>
                <c:pt idx="111">
                  <c:v>379.98197667431651</c:v>
                </c:pt>
                <c:pt idx="112">
                  <c:v>497.27491985334427</c:v>
                </c:pt>
                <c:pt idx="113">
                  <c:v>658.68698993275007</c:v>
                </c:pt>
                <c:pt idx="114">
                  <c:v>843.2861142580166</c:v>
                </c:pt>
                <c:pt idx="115">
                  <c:v>1049.0951361913706</c:v>
                </c:pt>
                <c:pt idx="116">
                  <c:v>1302.1460252034376</c:v>
                </c:pt>
                <c:pt idx="117">
                  <c:v>1578.8222237752666</c:v>
                </c:pt>
                <c:pt idx="118">
                  <c:v>1829.439997320791</c:v>
                </c:pt>
                <c:pt idx="119">
                  <c:v>1958.1230061301046</c:v>
                </c:pt>
                <c:pt idx="120">
                  <c:v>2270.7400081369733</c:v>
                </c:pt>
                <c:pt idx="121">
                  <c:v>2580.2678284275694</c:v>
                </c:pt>
                <c:pt idx="122">
                  <c:v>2912.6602799961615</c:v>
                </c:pt>
                <c:pt idx="123">
                  <c:v>3224.6915288454629</c:v>
                </c:pt>
                <c:pt idx="124">
                  <c:v>3477.1119515448327</c:v>
                </c:pt>
                <c:pt idx="125">
                  <c:v>3616.7876969593949</c:v>
                </c:pt>
                <c:pt idx="126">
                  <c:v>3662.9204641052988</c:v>
                </c:pt>
                <c:pt idx="127">
                  <c:v>3664.0562947349381</c:v>
                </c:pt>
                <c:pt idx="128">
                  <c:v>3637.6195297836284</c:v>
                </c:pt>
                <c:pt idx="129">
                  <c:v>3569.1301109788569</c:v>
                </c:pt>
                <c:pt idx="130">
                  <c:v>3484.4515643062541</c:v>
                </c:pt>
                <c:pt idx="131">
                  <c:v>3377.0237606396986</c:v>
                </c:pt>
                <c:pt idx="132">
                  <c:v>3236.8419085335877</c:v>
                </c:pt>
                <c:pt idx="133">
                  <c:v>3071.7042300964436</c:v>
                </c:pt>
                <c:pt idx="134">
                  <c:v>2868.6762639222416</c:v>
                </c:pt>
                <c:pt idx="135">
                  <c:v>2626.4898606821744</c:v>
                </c:pt>
                <c:pt idx="136">
                  <c:v>2369.4780692839981</c:v>
                </c:pt>
                <c:pt idx="137">
                  <c:v>2096.9705693633036</c:v>
                </c:pt>
                <c:pt idx="138">
                  <c:v>1816.4737993028184</c:v>
                </c:pt>
                <c:pt idx="139">
                  <c:v>1518.3166331588966</c:v>
                </c:pt>
                <c:pt idx="140">
                  <c:v>1243.579478279964</c:v>
                </c:pt>
                <c:pt idx="141">
                  <c:v>1028.0104948897138</c:v>
                </c:pt>
                <c:pt idx="142">
                  <c:v>863.36440368666149</c:v>
                </c:pt>
                <c:pt idx="143">
                  <c:v>721.44627715783611</c:v>
                </c:pt>
                <c:pt idx="144">
                  <c:v>588.53397852622686</c:v>
                </c:pt>
                <c:pt idx="145">
                  <c:v>498.86463087562447</c:v>
                </c:pt>
                <c:pt idx="146">
                  <c:v>431.99124272065893</c:v>
                </c:pt>
                <c:pt idx="147">
                  <c:v>350.56746312110164</c:v>
                </c:pt>
                <c:pt idx="148">
                  <c:v>258.22661020207784</c:v>
                </c:pt>
                <c:pt idx="149">
                  <c:v>193.49688128652153</c:v>
                </c:pt>
                <c:pt idx="150">
                  <c:v>136.05583806326598</c:v>
                </c:pt>
                <c:pt idx="151">
                  <c:v>87.525290379386078</c:v>
                </c:pt>
                <c:pt idx="152">
                  <c:v>53.576073515007764</c:v>
                </c:pt>
                <c:pt idx="153">
                  <c:v>40.9742117755384</c:v>
                </c:pt>
                <c:pt idx="154">
                  <c:v>34.646985496030183</c:v>
                </c:pt>
                <c:pt idx="155">
                  <c:v>28.202893669279614</c:v>
                </c:pt>
                <c:pt idx="156">
                  <c:v>24.306043318982571</c:v>
                </c:pt>
                <c:pt idx="157">
                  <c:v>25.081588976557597</c:v>
                </c:pt>
                <c:pt idx="158">
                  <c:v>26.377987992919746</c:v>
                </c:pt>
                <c:pt idx="159">
                  <c:v>28.26190444858981</c:v>
                </c:pt>
                <c:pt idx="160">
                  <c:v>30.663328931511042</c:v>
                </c:pt>
                <c:pt idx="161">
                  <c:v>33.521656252791622</c:v>
                </c:pt>
                <c:pt idx="162">
                  <c:v>35.714198093281091</c:v>
                </c:pt>
                <c:pt idx="163">
                  <c:v>38.64849919592784</c:v>
                </c:pt>
                <c:pt idx="164">
                  <c:v>42.284673538411838</c:v>
                </c:pt>
                <c:pt idx="165">
                  <c:v>46.520517995118617</c:v>
                </c:pt>
                <c:pt idx="166">
                  <c:v>48.250519790416014</c:v>
                </c:pt>
                <c:pt idx="167">
                  <c:v>53.277655499682261</c:v>
                </c:pt>
                <c:pt idx="168">
                  <c:v>56.86266841431911</c:v>
                </c:pt>
                <c:pt idx="169">
                  <c:v>61.078547370082603</c:v>
                </c:pt>
                <c:pt idx="170">
                  <c:v>66.35630929593043</c:v>
                </c:pt>
                <c:pt idx="171">
                  <c:v>69.582115627926342</c:v>
                </c:pt>
                <c:pt idx="172">
                  <c:v>71.755569561424181</c:v>
                </c:pt>
                <c:pt idx="173">
                  <c:v>73.420337942928967</c:v>
                </c:pt>
                <c:pt idx="174">
                  <c:v>78.045133799108456</c:v>
                </c:pt>
                <c:pt idx="175">
                  <c:v>82.780424095861832</c:v>
                </c:pt>
                <c:pt idx="176">
                  <c:v>86.124573085976508</c:v>
                </c:pt>
                <c:pt idx="177">
                  <c:v>90.2341908330622</c:v>
                </c:pt>
                <c:pt idx="178">
                  <c:v>93.843400728530455</c:v>
                </c:pt>
                <c:pt idx="179">
                  <c:v>101.21900580011905</c:v>
                </c:pt>
                <c:pt idx="180">
                  <c:v>107.43816984493048</c:v>
                </c:pt>
                <c:pt idx="181">
                  <c:v>111.58552237843129</c:v>
                </c:pt>
                <c:pt idx="182">
                  <c:v>114.29536060269447</c:v>
                </c:pt>
                <c:pt idx="183">
                  <c:v>118.18514319998117</c:v>
                </c:pt>
                <c:pt idx="184">
                  <c:v>124.8606863006391</c:v>
                </c:pt>
                <c:pt idx="185">
                  <c:v>132.40327485243154</c:v>
                </c:pt>
                <c:pt idx="186">
                  <c:v>138.93424361706579</c:v>
                </c:pt>
                <c:pt idx="187">
                  <c:v>144.38875812068468</c:v>
                </c:pt>
                <c:pt idx="188">
                  <c:v>149.81777121967528</c:v>
                </c:pt>
                <c:pt idx="189">
                  <c:v>156.6784907303938</c:v>
                </c:pt>
                <c:pt idx="190">
                  <c:v>162.35131102394956</c:v>
                </c:pt>
                <c:pt idx="191">
                  <c:v>170.85834905682702</c:v>
                </c:pt>
                <c:pt idx="192">
                  <c:v>177.6487030547641</c:v>
                </c:pt>
                <c:pt idx="193">
                  <c:v>179.95126721647094</c:v>
                </c:pt>
                <c:pt idx="194">
                  <c:v>176.04965237355563</c:v>
                </c:pt>
                <c:pt idx="195">
                  <c:v>166.07451000537077</c:v>
                </c:pt>
                <c:pt idx="196">
                  <c:v>155.90374776817984</c:v>
                </c:pt>
                <c:pt idx="197">
                  <c:v>151.78993739387982</c:v>
                </c:pt>
                <c:pt idx="198">
                  <c:v>149.6023833819682</c:v>
                </c:pt>
                <c:pt idx="199">
                  <c:v>147.24331195085284</c:v>
                </c:pt>
                <c:pt idx="200">
                  <c:v>142.79362891879998</c:v>
                </c:pt>
                <c:pt idx="201">
                  <c:v>132.4781145879</c:v>
                </c:pt>
                <c:pt idx="202">
                  <c:v>121.54174378862368</c:v>
                </c:pt>
                <c:pt idx="203">
                  <c:v>115.75738308934864</c:v>
                </c:pt>
                <c:pt idx="204">
                  <c:v>114.67897140568186</c:v>
                </c:pt>
                <c:pt idx="205">
                  <c:v>113.8120595721696</c:v>
                </c:pt>
                <c:pt idx="206">
                  <c:v>113.55320715614961</c:v>
                </c:pt>
                <c:pt idx="207">
                  <c:v>113.68981012243592</c:v>
                </c:pt>
                <c:pt idx="208">
                  <c:v>111.56763489044384</c:v>
                </c:pt>
                <c:pt idx="209">
                  <c:v>110.57344578249587</c:v>
                </c:pt>
                <c:pt idx="210">
                  <c:v>112.59898795712301</c:v>
                </c:pt>
                <c:pt idx="211">
                  <c:v>116.39513694630129</c:v>
                </c:pt>
                <c:pt idx="212">
                  <c:v>119.73622479428504</c:v>
                </c:pt>
                <c:pt idx="213">
                  <c:v>121.86642866553862</c:v>
                </c:pt>
                <c:pt idx="214">
                  <c:v>124.22015339318237</c:v>
                </c:pt>
                <c:pt idx="215">
                  <c:v>123.38348033133497</c:v>
                </c:pt>
                <c:pt idx="216">
                  <c:v>120.66499765839542</c:v>
                </c:pt>
                <c:pt idx="217">
                  <c:v>119.57672836156715</c:v>
                </c:pt>
                <c:pt idx="218">
                  <c:v>120.12930377087324</c:v>
                </c:pt>
                <c:pt idx="219">
                  <c:v>121.0926116297144</c:v>
                </c:pt>
                <c:pt idx="220">
                  <c:v>121.01872804906658</c:v>
                </c:pt>
                <c:pt idx="221">
                  <c:v>119.36105298530789</c:v>
                </c:pt>
                <c:pt idx="222">
                  <c:v>111.63220370286028</c:v>
                </c:pt>
                <c:pt idx="223">
                  <c:v>101.73077484526803</c:v>
                </c:pt>
                <c:pt idx="224">
                  <c:v>94.149018659132381</c:v>
                </c:pt>
                <c:pt idx="225">
                  <c:v>90.717219796333509</c:v>
                </c:pt>
                <c:pt idx="226">
                  <c:v>88.736785950553283</c:v>
                </c:pt>
                <c:pt idx="227">
                  <c:v>87.501533844573871</c:v>
                </c:pt>
                <c:pt idx="228">
                  <c:v>85.550121687301868</c:v>
                </c:pt>
                <c:pt idx="229">
                  <c:v>82.368321536378701</c:v>
                </c:pt>
                <c:pt idx="230">
                  <c:v>77.735896325349557</c:v>
                </c:pt>
                <c:pt idx="231">
                  <c:v>73.147439911227082</c:v>
                </c:pt>
                <c:pt idx="232">
                  <c:v>67.717756439678197</c:v>
                </c:pt>
                <c:pt idx="233">
                  <c:v>65.093346583508719</c:v>
                </c:pt>
                <c:pt idx="234">
                  <c:v>66.347871520639444</c:v>
                </c:pt>
                <c:pt idx="235">
                  <c:v>67.504771997790698</c:v>
                </c:pt>
                <c:pt idx="236">
                  <c:v>67.781581977858863</c:v>
                </c:pt>
                <c:pt idx="237">
                  <c:v>69.855133109477592</c:v>
                </c:pt>
                <c:pt idx="238">
                  <c:v>71.516619801831382</c:v>
                </c:pt>
                <c:pt idx="239">
                  <c:v>72.626613094764949</c:v>
                </c:pt>
                <c:pt idx="240">
                  <c:v>74.555707581645905</c:v>
                </c:pt>
                <c:pt idx="241">
                  <c:v>75.340405154422157</c:v>
                </c:pt>
                <c:pt idx="242">
                  <c:v>76.575796150845719</c:v>
                </c:pt>
                <c:pt idx="243">
                  <c:v>77.627952680308027</c:v>
                </c:pt>
                <c:pt idx="244">
                  <c:v>79.330241271724148</c:v>
                </c:pt>
                <c:pt idx="245">
                  <c:v>81.874282539314251</c:v>
                </c:pt>
                <c:pt idx="246">
                  <c:v>85.08280183826318</c:v>
                </c:pt>
                <c:pt idx="247">
                  <c:v>87.090466849297869</c:v>
                </c:pt>
                <c:pt idx="248">
                  <c:v>90.159856154040739</c:v>
                </c:pt>
                <c:pt idx="249">
                  <c:v>92.614864006007025</c:v>
                </c:pt>
                <c:pt idx="250">
                  <c:v>94.222785986397795</c:v>
                </c:pt>
                <c:pt idx="251">
                  <c:v>95.21315738232957</c:v>
                </c:pt>
                <c:pt idx="252">
                  <c:v>95.302633008937207</c:v>
                </c:pt>
                <c:pt idx="253">
                  <c:v>97.502316638760533</c:v>
                </c:pt>
                <c:pt idx="254">
                  <c:v>99.241231674371662</c:v>
                </c:pt>
                <c:pt idx="255">
                  <c:v>103.11218340484537</c:v>
                </c:pt>
                <c:pt idx="256">
                  <c:v>106.73457684370166</c:v>
                </c:pt>
                <c:pt idx="257">
                  <c:v>108.78141003500684</c:v>
                </c:pt>
                <c:pt idx="258">
                  <c:v>113.37679970564993</c:v>
                </c:pt>
                <c:pt idx="259">
                  <c:v>113.96347679234739</c:v>
                </c:pt>
                <c:pt idx="260">
                  <c:v>116.819639605094</c:v>
                </c:pt>
                <c:pt idx="261">
                  <c:v>118.95152563598425</c:v>
                </c:pt>
                <c:pt idx="262">
                  <c:v>119.20609799542646</c:v>
                </c:pt>
                <c:pt idx="263">
                  <c:v>123.46810644394687</c:v>
                </c:pt>
                <c:pt idx="264">
                  <c:v>124.77508015576544</c:v>
                </c:pt>
                <c:pt idx="265">
                  <c:v>126.16022719356047</c:v>
                </c:pt>
                <c:pt idx="266">
                  <c:v>129.96410380076517</c:v>
                </c:pt>
                <c:pt idx="267">
                  <c:v>130.19889431038962</c:v>
                </c:pt>
                <c:pt idx="268">
                  <c:v>130.46847044314583</c:v>
                </c:pt>
                <c:pt idx="269">
                  <c:v>129.15691594215764</c:v>
                </c:pt>
                <c:pt idx="270">
                  <c:v>127.06581247510846</c:v>
                </c:pt>
                <c:pt idx="271">
                  <c:v>123.02348974732038</c:v>
                </c:pt>
                <c:pt idx="272">
                  <c:v>119.5417662496355</c:v>
                </c:pt>
                <c:pt idx="273">
                  <c:v>116.85252987905099</c:v>
                </c:pt>
                <c:pt idx="274">
                  <c:v>115.0818907406255</c:v>
                </c:pt>
                <c:pt idx="275">
                  <c:v>114.2858840628455</c:v>
                </c:pt>
                <c:pt idx="276">
                  <c:v>115.83091193675249</c:v>
                </c:pt>
                <c:pt idx="277">
                  <c:v>115.44299010084409</c:v>
                </c:pt>
                <c:pt idx="278">
                  <c:v>115.32981369655691</c:v>
                </c:pt>
                <c:pt idx="279">
                  <c:v>116.99516292242767</c:v>
                </c:pt>
                <c:pt idx="280">
                  <c:v>117.88235602011814</c:v>
                </c:pt>
                <c:pt idx="281">
                  <c:v>117.84109008041381</c:v>
                </c:pt>
                <c:pt idx="282">
                  <c:v>116.94556642794626</c:v>
                </c:pt>
                <c:pt idx="283">
                  <c:v>116.32860768216337</c:v>
                </c:pt>
                <c:pt idx="284">
                  <c:v>111.91669031627232</c:v>
                </c:pt>
                <c:pt idx="285">
                  <c:v>108.72521428064238</c:v>
                </c:pt>
                <c:pt idx="286">
                  <c:v>104.58983868407971</c:v>
                </c:pt>
                <c:pt idx="287">
                  <c:v>101.0905120743449</c:v>
                </c:pt>
                <c:pt idx="288">
                  <c:v>98.574427270209156</c:v>
                </c:pt>
                <c:pt idx="289">
                  <c:v>96.591300786396104</c:v>
                </c:pt>
                <c:pt idx="290">
                  <c:v>95.264110095183923</c:v>
                </c:pt>
                <c:pt idx="291">
                  <c:v>92.890852356348631</c:v>
                </c:pt>
                <c:pt idx="292">
                  <c:v>88.353157843008788</c:v>
                </c:pt>
                <c:pt idx="293">
                  <c:v>81.330651279404933</c:v>
                </c:pt>
                <c:pt idx="294">
                  <c:v>72.608299800768194</c:v>
                </c:pt>
                <c:pt idx="295">
                  <c:v>67.670432800350056</c:v>
                </c:pt>
                <c:pt idx="296">
                  <c:v>64.466481715582376</c:v>
                </c:pt>
                <c:pt idx="297">
                  <c:v>62.046781596508893</c:v>
                </c:pt>
                <c:pt idx="298">
                  <c:v>60.973806430127937</c:v>
                </c:pt>
                <c:pt idx="299">
                  <c:v>59.574052016273605</c:v>
                </c:pt>
                <c:pt idx="300">
                  <c:v>59.713785998112435</c:v>
                </c:pt>
                <c:pt idx="301">
                  <c:v>59.362006437188143</c:v>
                </c:pt>
                <c:pt idx="302">
                  <c:v>58.678024579015236</c:v>
                </c:pt>
                <c:pt idx="303">
                  <c:v>57.470795461679707</c:v>
                </c:pt>
                <c:pt idx="304">
                  <c:v>57.14062711427583</c:v>
                </c:pt>
                <c:pt idx="305">
                  <c:v>54.834866360411418</c:v>
                </c:pt>
                <c:pt idx="306">
                  <c:v>52.295992482325786</c:v>
                </c:pt>
                <c:pt idx="307">
                  <c:v>49.732144747682185</c:v>
                </c:pt>
                <c:pt idx="308">
                  <c:v>47.093023087981081</c:v>
                </c:pt>
                <c:pt idx="309">
                  <c:v>44.13184509393281</c:v>
                </c:pt>
                <c:pt idx="310">
                  <c:v>43.037276286732812</c:v>
                </c:pt>
                <c:pt idx="311">
                  <c:v>42.189120928623346</c:v>
                </c:pt>
                <c:pt idx="312">
                  <c:v>41.281945398325036</c:v>
                </c:pt>
                <c:pt idx="313">
                  <c:v>40.415526516275783</c:v>
                </c:pt>
                <c:pt idx="314">
                  <c:v>39.88856243770396</c:v>
                </c:pt>
                <c:pt idx="315">
                  <c:v>39.084996057035809</c:v>
                </c:pt>
                <c:pt idx="316">
                  <c:v>38.438144750724433</c:v>
                </c:pt>
                <c:pt idx="317">
                  <c:v>38.287372962717249</c:v>
                </c:pt>
                <c:pt idx="318">
                  <c:v>37.575750577578454</c:v>
                </c:pt>
                <c:pt idx="319">
                  <c:v>37.149967191745823</c:v>
                </c:pt>
                <c:pt idx="320">
                  <c:v>36.939523293528495</c:v>
                </c:pt>
                <c:pt idx="321">
                  <c:v>35.68574387280043</c:v>
                </c:pt>
                <c:pt idx="322">
                  <c:v>35.214984218769452</c:v>
                </c:pt>
                <c:pt idx="323">
                  <c:v>34.231644893456817</c:v>
                </c:pt>
                <c:pt idx="324">
                  <c:v>33.276797226631494</c:v>
                </c:pt>
                <c:pt idx="325">
                  <c:v>33.37366854664981</c:v>
                </c:pt>
                <c:pt idx="326">
                  <c:v>33.279741450549515</c:v>
                </c:pt>
                <c:pt idx="327">
                  <c:v>32.449126533909762</c:v>
                </c:pt>
                <c:pt idx="328">
                  <c:v>33.365235369080381</c:v>
                </c:pt>
                <c:pt idx="329">
                  <c:v>33.844815582066119</c:v>
                </c:pt>
                <c:pt idx="330">
                  <c:v>34.494517870171684</c:v>
                </c:pt>
                <c:pt idx="331">
                  <c:v>34.984290136829692</c:v>
                </c:pt>
                <c:pt idx="332">
                  <c:v>35.538025098954805</c:v>
                </c:pt>
                <c:pt idx="333">
                  <c:v>36.175842867622627</c:v>
                </c:pt>
                <c:pt idx="334">
                  <c:v>36.799403651338693</c:v>
                </c:pt>
                <c:pt idx="335">
                  <c:v>37.731121557786224</c:v>
                </c:pt>
                <c:pt idx="336">
                  <c:v>37.962752294783186</c:v>
                </c:pt>
                <c:pt idx="337">
                  <c:v>38.284075220468665</c:v>
                </c:pt>
                <c:pt idx="338">
                  <c:v>38.749321094954617</c:v>
                </c:pt>
                <c:pt idx="339">
                  <c:v>39.448666021890446</c:v>
                </c:pt>
                <c:pt idx="340">
                  <c:v>39.217265854424909</c:v>
                </c:pt>
                <c:pt idx="341">
                  <c:v>37.706038986776001</c:v>
                </c:pt>
                <c:pt idx="342">
                  <c:v>36.369386974240456</c:v>
                </c:pt>
                <c:pt idx="343">
                  <c:v>35.052970539860929</c:v>
                </c:pt>
                <c:pt idx="344">
                  <c:v>33.304904538309046</c:v>
                </c:pt>
                <c:pt idx="345">
                  <c:v>32.024477598561731</c:v>
                </c:pt>
                <c:pt idx="346">
                  <c:v>31.057956553657796</c:v>
                </c:pt>
                <c:pt idx="347">
                  <c:v>30.770493559341745</c:v>
                </c:pt>
                <c:pt idx="348">
                  <c:v>30.189735321429261</c:v>
                </c:pt>
                <c:pt idx="349">
                  <c:v>30.351934152110687</c:v>
                </c:pt>
                <c:pt idx="350">
                  <c:v>30.368602719538327</c:v>
                </c:pt>
                <c:pt idx="351">
                  <c:v>31.473161795916049</c:v>
                </c:pt>
                <c:pt idx="352">
                  <c:v>32.062765321173607</c:v>
                </c:pt>
                <c:pt idx="353">
                  <c:v>32.293940641804397</c:v>
                </c:pt>
                <c:pt idx="354">
                  <c:v>32.678790645484341</c:v>
                </c:pt>
                <c:pt idx="355">
                  <c:v>32.915920024042386</c:v>
                </c:pt>
                <c:pt idx="356">
                  <c:v>33.283970565455981</c:v>
                </c:pt>
                <c:pt idx="357">
                  <c:v>33.517894148087962</c:v>
                </c:pt>
                <c:pt idx="358">
                  <c:v>33.879645526134034</c:v>
                </c:pt>
                <c:pt idx="359">
                  <c:v>33.988802469308155</c:v>
                </c:pt>
                <c:pt idx="360">
                  <c:v>34.321382588668399</c:v>
                </c:pt>
                <c:pt idx="361">
                  <c:v>34.511262294562464</c:v>
                </c:pt>
                <c:pt idx="362">
                  <c:v>34.773466085179848</c:v>
                </c:pt>
                <c:pt idx="363">
                  <c:v>34.224928689732863</c:v>
                </c:pt>
                <c:pt idx="364">
                  <c:v>34.106802322357503</c:v>
                </c:pt>
                <c:pt idx="365">
                  <c:v>33.650099156881609</c:v>
                </c:pt>
                <c:pt idx="366">
                  <c:v>33.358125822867514</c:v>
                </c:pt>
                <c:pt idx="367">
                  <c:v>32.633664157125253</c:v>
                </c:pt>
                <c:pt idx="368">
                  <c:v>32.217253284820671</c:v>
                </c:pt>
                <c:pt idx="369">
                  <c:v>31.418573866432251</c:v>
                </c:pt>
                <c:pt idx="370">
                  <c:v>30.887582746873253</c:v>
                </c:pt>
                <c:pt idx="371">
                  <c:v>31.076185069999482</c:v>
                </c:pt>
                <c:pt idx="372">
                  <c:v>30.524876114151461</c:v>
                </c:pt>
                <c:pt idx="373">
                  <c:v>30.21026528875224</c:v>
                </c:pt>
                <c:pt idx="374">
                  <c:v>29.894852727854179</c:v>
                </c:pt>
                <c:pt idx="375">
                  <c:v>29.369925940276293</c:v>
                </c:pt>
                <c:pt idx="376">
                  <c:v>28.645736270977157</c:v>
                </c:pt>
                <c:pt idx="377">
                  <c:v>28.045245141684191</c:v>
                </c:pt>
                <c:pt idx="378">
                  <c:v>27.313533773025718</c:v>
                </c:pt>
                <c:pt idx="379">
                  <c:v>26.67857421373429</c:v>
                </c:pt>
                <c:pt idx="380">
                  <c:v>25.335980213329538</c:v>
                </c:pt>
                <c:pt idx="381">
                  <c:v>25.141294852304064</c:v>
                </c:pt>
                <c:pt idx="382">
                  <c:v>24.489266468639443</c:v>
                </c:pt>
                <c:pt idx="383">
                  <c:v>23.453713632639161</c:v>
                </c:pt>
                <c:pt idx="384">
                  <c:v>22.894372256472082</c:v>
                </c:pt>
                <c:pt idx="385">
                  <c:v>22.756196787671129</c:v>
                </c:pt>
                <c:pt idx="386">
                  <c:v>21.703725031872111</c:v>
                </c:pt>
                <c:pt idx="387">
                  <c:v>21.505153098270199</c:v>
                </c:pt>
                <c:pt idx="388">
                  <c:v>20.690083325079044</c:v>
                </c:pt>
                <c:pt idx="389">
                  <c:v>20.395907075968353</c:v>
                </c:pt>
                <c:pt idx="390">
                  <c:v>19.627917199721516</c:v>
                </c:pt>
                <c:pt idx="391">
                  <c:v>18.936456658173672</c:v>
                </c:pt>
                <c:pt idx="392">
                  <c:v>18.714135617077737</c:v>
                </c:pt>
                <c:pt idx="393">
                  <c:v>18.134696887466436</c:v>
                </c:pt>
                <c:pt idx="394">
                  <c:v>17.570493585637568</c:v>
                </c:pt>
                <c:pt idx="395">
                  <c:v>17.411019371850806</c:v>
                </c:pt>
                <c:pt idx="396">
                  <c:v>17.102484088902514</c:v>
                </c:pt>
                <c:pt idx="397">
                  <c:v>16.821307296707911</c:v>
                </c:pt>
                <c:pt idx="398">
                  <c:v>16.382333975349074</c:v>
                </c:pt>
                <c:pt idx="399">
                  <c:v>15.672484178004154</c:v>
                </c:pt>
                <c:pt idx="400">
                  <c:v>15.693717891232431</c:v>
                </c:pt>
              </c:numCache>
            </c:numRef>
          </c:yVal>
          <c:smooth val="1"/>
          <c:extLst>
            <c:ext xmlns:c16="http://schemas.microsoft.com/office/drawing/2014/chart" uri="{C3380CC4-5D6E-409C-BE32-E72D297353CC}">
              <c16:uniqueId val="{00000004-AE74-476B-9B96-4F9C790085E0}"/>
            </c:ext>
          </c:extLst>
        </c:ser>
        <c:ser>
          <c:idx val="5"/>
          <c:order val="5"/>
          <c:tx>
            <c:strRef>
              <c:f>'Typical AS7341 filters'!$G$4</c:f>
              <c:strCache>
                <c:ptCount val="1"/>
                <c:pt idx="0">
                  <c:v>F6 - 512x</c:v>
                </c:pt>
              </c:strCache>
            </c:strRef>
          </c:tx>
          <c:spPr>
            <a:ln w="19050" cap="rnd">
              <a:solidFill>
                <a:schemeClr val="accent6"/>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filters'!$G$5:$G$405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2.6897294040248694</c:v>
                </c:pt>
                <c:pt idx="120">
                  <c:v>0</c:v>
                </c:pt>
                <c:pt idx="121">
                  <c:v>0</c:v>
                </c:pt>
                <c:pt idx="122">
                  <c:v>2.3972512592560999</c:v>
                </c:pt>
                <c:pt idx="123">
                  <c:v>34.550266380487109</c:v>
                </c:pt>
                <c:pt idx="124">
                  <c:v>75.140978613892571</c:v>
                </c:pt>
                <c:pt idx="125">
                  <c:v>122.96230153789269</c:v>
                </c:pt>
                <c:pt idx="126">
                  <c:v>183.92942631735738</c:v>
                </c:pt>
                <c:pt idx="127">
                  <c:v>254.8447051581627</c:v>
                </c:pt>
                <c:pt idx="128">
                  <c:v>347.55570386553188</c:v>
                </c:pt>
                <c:pt idx="129">
                  <c:v>456.64994460596722</c:v>
                </c:pt>
                <c:pt idx="130">
                  <c:v>580.94948346993124</c:v>
                </c:pt>
                <c:pt idx="131">
                  <c:v>731.16434932188315</c:v>
                </c:pt>
                <c:pt idx="132">
                  <c:v>931.12241649682301</c:v>
                </c:pt>
                <c:pt idx="133">
                  <c:v>1146.665573288315</c:v>
                </c:pt>
                <c:pt idx="134">
                  <c:v>1395.1368277180802</c:v>
                </c:pt>
                <c:pt idx="135">
                  <c:v>1680.6408334722246</c:v>
                </c:pt>
                <c:pt idx="136">
                  <c:v>2000.9151857330651</c:v>
                </c:pt>
                <c:pt idx="137">
                  <c:v>2341.0940141216834</c:v>
                </c:pt>
                <c:pt idx="138">
                  <c:v>2700.4551140970684</c:v>
                </c:pt>
                <c:pt idx="139">
                  <c:v>3068.0533812987956</c:v>
                </c:pt>
                <c:pt idx="140">
                  <c:v>3416.3745574909362</c:v>
                </c:pt>
                <c:pt idx="141">
                  <c:v>3713.5515246869772</c:v>
                </c:pt>
                <c:pt idx="142">
                  <c:v>3938.5996419137286</c:v>
                </c:pt>
                <c:pt idx="143">
                  <c:v>4082.2615968528467</c:v>
                </c:pt>
                <c:pt idx="144">
                  <c:v>4148.1852131464238</c:v>
                </c:pt>
                <c:pt idx="145">
                  <c:v>4138.1610767885832</c:v>
                </c:pt>
                <c:pt idx="146">
                  <c:v>4095.1289754268892</c:v>
                </c:pt>
                <c:pt idx="147">
                  <c:v>4032.2168261484921</c:v>
                </c:pt>
                <c:pt idx="148">
                  <c:v>3937.6118092093047</c:v>
                </c:pt>
                <c:pt idx="149">
                  <c:v>3784.141838744898</c:v>
                </c:pt>
                <c:pt idx="150">
                  <c:v>3557.1538645557166</c:v>
                </c:pt>
                <c:pt idx="151">
                  <c:v>3349.665800561088</c:v>
                </c:pt>
                <c:pt idx="152">
                  <c:v>3090.625094169081</c:v>
                </c:pt>
                <c:pt idx="153">
                  <c:v>2821.9675084383625</c:v>
                </c:pt>
                <c:pt idx="154">
                  <c:v>2549.1262299108939</c:v>
                </c:pt>
                <c:pt idx="155">
                  <c:v>2282.4198948067001</c:v>
                </c:pt>
                <c:pt idx="156">
                  <c:v>1995.7232325153796</c:v>
                </c:pt>
                <c:pt idx="157">
                  <c:v>1695.9012854149325</c:v>
                </c:pt>
                <c:pt idx="158">
                  <c:v>1409.3382156217122</c:v>
                </c:pt>
                <c:pt idx="159">
                  <c:v>1205.4316636550695</c:v>
                </c:pt>
                <c:pt idx="160">
                  <c:v>1018.5035139211708</c:v>
                </c:pt>
                <c:pt idx="161">
                  <c:v>813.34123855457585</c:v>
                </c:pt>
                <c:pt idx="162">
                  <c:v>634.21503388229803</c:v>
                </c:pt>
                <c:pt idx="163">
                  <c:v>523.02421539598697</c:v>
                </c:pt>
                <c:pt idx="164">
                  <c:v>453.52385148061325</c:v>
                </c:pt>
                <c:pt idx="165">
                  <c:v>386.22848661063597</c:v>
                </c:pt>
                <c:pt idx="166">
                  <c:v>310.18191293838862</c:v>
                </c:pt>
                <c:pt idx="167">
                  <c:v>237.02059422297668</c:v>
                </c:pt>
                <c:pt idx="168">
                  <c:v>190.47718971074607</c:v>
                </c:pt>
                <c:pt idx="169">
                  <c:v>163.71053270505746</c:v>
                </c:pt>
                <c:pt idx="170">
                  <c:v>141.5601264979849</c:v>
                </c:pt>
                <c:pt idx="171">
                  <c:v>110.17168307755004</c:v>
                </c:pt>
                <c:pt idx="172">
                  <c:v>81.972422181097159</c:v>
                </c:pt>
                <c:pt idx="173">
                  <c:v>65.236542312347709</c:v>
                </c:pt>
                <c:pt idx="174">
                  <c:v>60.087846376304739</c:v>
                </c:pt>
                <c:pt idx="175">
                  <c:v>58.513286073239321</c:v>
                </c:pt>
                <c:pt idx="176">
                  <c:v>57.043548407594827</c:v>
                </c:pt>
                <c:pt idx="177">
                  <c:v>55.596616356801164</c:v>
                </c:pt>
                <c:pt idx="178">
                  <c:v>53.562590671040589</c:v>
                </c:pt>
                <c:pt idx="179">
                  <c:v>53.510684594967394</c:v>
                </c:pt>
                <c:pt idx="180">
                  <c:v>56.05469731039851</c:v>
                </c:pt>
                <c:pt idx="181">
                  <c:v>57.890233414374123</c:v>
                </c:pt>
                <c:pt idx="182">
                  <c:v>64.096672279913946</c:v>
                </c:pt>
                <c:pt idx="183">
                  <c:v>66.479143049989418</c:v>
                </c:pt>
                <c:pt idx="184">
                  <c:v>66.389340520827631</c:v>
                </c:pt>
                <c:pt idx="185">
                  <c:v>65.699348826623847</c:v>
                </c:pt>
                <c:pt idx="186">
                  <c:v>68.073798448476353</c:v>
                </c:pt>
                <c:pt idx="187">
                  <c:v>70.419107444104412</c:v>
                </c:pt>
                <c:pt idx="188">
                  <c:v>68.650179762540503</c:v>
                </c:pt>
                <c:pt idx="189">
                  <c:v>63.989977649789552</c:v>
                </c:pt>
                <c:pt idx="190">
                  <c:v>59.439046334597641</c:v>
                </c:pt>
                <c:pt idx="191">
                  <c:v>58.989083640848662</c:v>
                </c:pt>
                <c:pt idx="192">
                  <c:v>61.996932656251715</c:v>
                </c:pt>
                <c:pt idx="193">
                  <c:v>65.008572973489507</c:v>
                </c:pt>
                <c:pt idx="194">
                  <c:v>68.54699230715039</c:v>
                </c:pt>
                <c:pt idx="195">
                  <c:v>71.493959464195498</c:v>
                </c:pt>
                <c:pt idx="196">
                  <c:v>74.433855822812703</c:v>
                </c:pt>
                <c:pt idx="197">
                  <c:v>78.473923943923296</c:v>
                </c:pt>
                <c:pt idx="198">
                  <c:v>83.051323127489681</c:v>
                </c:pt>
                <c:pt idx="199">
                  <c:v>87.032292193998529</c:v>
                </c:pt>
                <c:pt idx="200">
                  <c:v>90.472299238629006</c:v>
                </c:pt>
                <c:pt idx="201">
                  <c:v>91.214439552324606</c:v>
                </c:pt>
                <c:pt idx="202">
                  <c:v>90.34482735623213</c:v>
                </c:pt>
                <c:pt idx="203">
                  <c:v>91.13197705947168</c:v>
                </c:pt>
                <c:pt idx="204">
                  <c:v>93.535036052759253</c:v>
                </c:pt>
                <c:pt idx="205">
                  <c:v>99.16121359898608</c:v>
                </c:pt>
                <c:pt idx="206">
                  <c:v>106.95749496654594</c:v>
                </c:pt>
                <c:pt idx="207">
                  <c:v>116.3585850079391</c:v>
                </c:pt>
                <c:pt idx="208">
                  <c:v>123.64820682125622</c:v>
                </c:pt>
                <c:pt idx="209">
                  <c:v>131.5167308584742</c:v>
                </c:pt>
                <c:pt idx="210">
                  <c:v>139.90645905223633</c:v>
                </c:pt>
                <c:pt idx="211">
                  <c:v>152.53609271044962</c:v>
                </c:pt>
                <c:pt idx="212">
                  <c:v>168.44548783929744</c:v>
                </c:pt>
                <c:pt idx="213">
                  <c:v>188.11358610872387</c:v>
                </c:pt>
                <c:pt idx="214">
                  <c:v>204.67086614711218</c:v>
                </c:pt>
                <c:pt idx="215">
                  <c:v>209.53918642476717</c:v>
                </c:pt>
                <c:pt idx="216">
                  <c:v>186.85329784454467</c:v>
                </c:pt>
                <c:pt idx="217">
                  <c:v>140.18727886668125</c:v>
                </c:pt>
                <c:pt idx="218">
                  <c:v>107.31551136864677</c:v>
                </c:pt>
                <c:pt idx="219">
                  <c:v>96.838421376929176</c:v>
                </c:pt>
                <c:pt idx="220">
                  <c:v>98.674058911498904</c:v>
                </c:pt>
                <c:pt idx="221">
                  <c:v>101.61819375776213</c:v>
                </c:pt>
                <c:pt idx="222">
                  <c:v>105.70005761237013</c:v>
                </c:pt>
                <c:pt idx="223">
                  <c:v>108.76534970158976</c:v>
                </c:pt>
                <c:pt idx="224">
                  <c:v>113.52198980630003</c:v>
                </c:pt>
                <c:pt idx="225">
                  <c:v>119.98670353823671</c:v>
                </c:pt>
                <c:pt idx="226">
                  <c:v>123.7932939804015</c:v>
                </c:pt>
                <c:pt idx="227">
                  <c:v>128.22551814959567</c:v>
                </c:pt>
                <c:pt idx="228">
                  <c:v>133.85644039866628</c:v>
                </c:pt>
                <c:pt idx="229">
                  <c:v>141.36184912324453</c:v>
                </c:pt>
                <c:pt idx="230">
                  <c:v>149.11837804718499</c:v>
                </c:pt>
                <c:pt idx="231">
                  <c:v>157.38922160847574</c:v>
                </c:pt>
                <c:pt idx="232">
                  <c:v>166.26789919127691</c:v>
                </c:pt>
                <c:pt idx="233">
                  <c:v>174.72424609257607</c:v>
                </c:pt>
                <c:pt idx="234">
                  <c:v>180.63495656775248</c:v>
                </c:pt>
                <c:pt idx="235">
                  <c:v>183.36539786219367</c:v>
                </c:pt>
                <c:pt idx="236">
                  <c:v>176.46584273546017</c:v>
                </c:pt>
                <c:pt idx="237">
                  <c:v>167.30010870757235</c:v>
                </c:pt>
                <c:pt idx="238">
                  <c:v>156.78643571939958</c:v>
                </c:pt>
                <c:pt idx="239">
                  <c:v>145.6479360433058</c:v>
                </c:pt>
                <c:pt idx="240">
                  <c:v>133.84335802556114</c:v>
                </c:pt>
                <c:pt idx="241">
                  <c:v>121.38176385990235</c:v>
                </c:pt>
                <c:pt idx="242">
                  <c:v>105.24160465757591</c:v>
                </c:pt>
                <c:pt idx="243">
                  <c:v>93.153543216369641</c:v>
                </c:pt>
                <c:pt idx="244">
                  <c:v>80.344694484917554</c:v>
                </c:pt>
                <c:pt idx="245">
                  <c:v>69.215415912288108</c:v>
                </c:pt>
                <c:pt idx="246">
                  <c:v>57.95495197678796</c:v>
                </c:pt>
                <c:pt idx="247">
                  <c:v>52.130160679389704</c:v>
                </c:pt>
                <c:pt idx="248">
                  <c:v>51.847122822993398</c:v>
                </c:pt>
                <c:pt idx="249">
                  <c:v>52.174436962660074</c:v>
                </c:pt>
                <c:pt idx="250">
                  <c:v>51.854150677077982</c:v>
                </c:pt>
                <c:pt idx="251">
                  <c:v>56.618959957866352</c:v>
                </c:pt>
                <c:pt idx="252">
                  <c:v>57.565348797344633</c:v>
                </c:pt>
                <c:pt idx="253">
                  <c:v>61.072879652849998</c:v>
                </c:pt>
                <c:pt idx="254">
                  <c:v>64.582146425838388</c:v>
                </c:pt>
                <c:pt idx="255">
                  <c:v>68.741455603230236</c:v>
                </c:pt>
                <c:pt idx="256">
                  <c:v>70.288623775120598</c:v>
                </c:pt>
                <c:pt idx="257">
                  <c:v>74.406484463944679</c:v>
                </c:pt>
                <c:pt idx="258">
                  <c:v>75.875242879934945</c:v>
                </c:pt>
                <c:pt idx="259">
                  <c:v>81.215351277305047</c:v>
                </c:pt>
                <c:pt idx="260">
                  <c:v>83.193051756151064</c:v>
                </c:pt>
                <c:pt idx="261">
                  <c:v>87.740391386542512</c:v>
                </c:pt>
                <c:pt idx="262">
                  <c:v>90.221799945350185</c:v>
                </c:pt>
                <c:pt idx="263">
                  <c:v>96.513801516042975</c:v>
                </c:pt>
                <c:pt idx="264">
                  <c:v>97.48053137169174</c:v>
                </c:pt>
                <c:pt idx="265">
                  <c:v>102.22213280298745</c:v>
                </c:pt>
                <c:pt idx="266">
                  <c:v>104.87202435408278</c:v>
                </c:pt>
                <c:pt idx="267">
                  <c:v>106.75883150491849</c:v>
                </c:pt>
                <c:pt idx="268">
                  <c:v>108.47702647866097</c:v>
                </c:pt>
                <c:pt idx="269">
                  <c:v>109.44790604189332</c:v>
                </c:pt>
                <c:pt idx="270">
                  <c:v>110.87115010082992</c:v>
                </c:pt>
                <c:pt idx="271">
                  <c:v>112.7544171473771</c:v>
                </c:pt>
                <c:pt idx="272">
                  <c:v>113.85896581671567</c:v>
                </c:pt>
                <c:pt idx="273">
                  <c:v>117.85469565845965</c:v>
                </c:pt>
                <c:pt idx="274">
                  <c:v>118.64112447487166</c:v>
                </c:pt>
                <c:pt idx="275">
                  <c:v>122.28199540512649</c:v>
                </c:pt>
                <c:pt idx="276">
                  <c:v>122.74619026133472</c:v>
                </c:pt>
                <c:pt idx="277">
                  <c:v>123.00063266063746</c:v>
                </c:pt>
                <c:pt idx="278">
                  <c:v>119.78700456405669</c:v>
                </c:pt>
                <c:pt idx="279">
                  <c:v>116.08256414768174</c:v>
                </c:pt>
                <c:pt idx="280">
                  <c:v>113.40354310142064</c:v>
                </c:pt>
                <c:pt idx="281">
                  <c:v>112.91638780839651</c:v>
                </c:pt>
                <c:pt idx="282">
                  <c:v>113.84081687676185</c:v>
                </c:pt>
                <c:pt idx="283">
                  <c:v>116.66677223937896</c:v>
                </c:pt>
                <c:pt idx="284">
                  <c:v>118.38298797899027</c:v>
                </c:pt>
                <c:pt idx="285">
                  <c:v>121.40169666313878</c:v>
                </c:pt>
                <c:pt idx="286">
                  <c:v>124.64816391116349</c:v>
                </c:pt>
                <c:pt idx="287">
                  <c:v>127.29916335287875</c:v>
                </c:pt>
                <c:pt idx="288">
                  <c:v>127.45902688892158</c:v>
                </c:pt>
                <c:pt idx="289">
                  <c:v>126.24258381849911</c:v>
                </c:pt>
                <c:pt idx="290">
                  <c:v>124.18095090990077</c:v>
                </c:pt>
                <c:pt idx="291">
                  <c:v>119.49272183920387</c:v>
                </c:pt>
                <c:pt idx="292">
                  <c:v>117.5223822026624</c:v>
                </c:pt>
                <c:pt idx="293">
                  <c:v>113.50389703169922</c:v>
                </c:pt>
                <c:pt idx="294">
                  <c:v>112.36032985928934</c:v>
                </c:pt>
                <c:pt idx="295">
                  <c:v>112.03363238570675</c:v>
                </c:pt>
                <c:pt idx="296">
                  <c:v>113.23790450242134</c:v>
                </c:pt>
                <c:pt idx="297">
                  <c:v>112.14192903303453</c:v>
                </c:pt>
                <c:pt idx="298">
                  <c:v>112.59580205808902</c:v>
                </c:pt>
                <c:pt idx="299">
                  <c:v>113.33600139681319</c:v>
                </c:pt>
                <c:pt idx="300">
                  <c:v>114.32281494270828</c:v>
                </c:pt>
                <c:pt idx="301">
                  <c:v>115.232130142777</c:v>
                </c:pt>
                <c:pt idx="302">
                  <c:v>116.10029376820718</c:v>
                </c:pt>
                <c:pt idx="303">
                  <c:v>117.29419658553344</c:v>
                </c:pt>
                <c:pt idx="304">
                  <c:v>117.91447329362123</c:v>
                </c:pt>
                <c:pt idx="305">
                  <c:v>117.78139934218547</c:v>
                </c:pt>
                <c:pt idx="306">
                  <c:v>118.30373909111503</c:v>
                </c:pt>
                <c:pt idx="307">
                  <c:v>118.79295919771984</c:v>
                </c:pt>
                <c:pt idx="308">
                  <c:v>118.76078966510512</c:v>
                </c:pt>
                <c:pt idx="309">
                  <c:v>120.24915589814719</c:v>
                </c:pt>
                <c:pt idx="310">
                  <c:v>122.53668942750316</c:v>
                </c:pt>
                <c:pt idx="311">
                  <c:v>126.86170549002323</c:v>
                </c:pt>
                <c:pt idx="312">
                  <c:v>128.77646667580549</c:v>
                </c:pt>
                <c:pt idx="313">
                  <c:v>132.39897719600722</c:v>
                </c:pt>
                <c:pt idx="314">
                  <c:v>135.75281980567644</c:v>
                </c:pt>
                <c:pt idx="315">
                  <c:v>139.58927163227074</c:v>
                </c:pt>
                <c:pt idx="316">
                  <c:v>143.52084263040274</c:v>
                </c:pt>
                <c:pt idx="317">
                  <c:v>147.2099232528341</c:v>
                </c:pt>
                <c:pt idx="318">
                  <c:v>150.93528657484035</c:v>
                </c:pt>
                <c:pt idx="319">
                  <c:v>154.21245373839812</c:v>
                </c:pt>
                <c:pt idx="320">
                  <c:v>156.99297399749611</c:v>
                </c:pt>
                <c:pt idx="321">
                  <c:v>158.36094163602147</c:v>
                </c:pt>
                <c:pt idx="322">
                  <c:v>157.68680125547505</c:v>
                </c:pt>
                <c:pt idx="323">
                  <c:v>153.01029212427053</c:v>
                </c:pt>
                <c:pt idx="324">
                  <c:v>145.39400634405146</c:v>
                </c:pt>
                <c:pt idx="325">
                  <c:v>135.69699749170809</c:v>
                </c:pt>
                <c:pt idx="326">
                  <c:v>126.81598446686672</c:v>
                </c:pt>
                <c:pt idx="327">
                  <c:v>120.87091091937081</c:v>
                </c:pt>
                <c:pt idx="328">
                  <c:v>116.24017483421552</c:v>
                </c:pt>
                <c:pt idx="329">
                  <c:v>111.63860285443656</c:v>
                </c:pt>
                <c:pt idx="330">
                  <c:v>109.599602878276</c:v>
                </c:pt>
                <c:pt idx="331">
                  <c:v>107.86822792189153</c:v>
                </c:pt>
                <c:pt idx="332">
                  <c:v>106.13165866656188</c:v>
                </c:pt>
                <c:pt idx="333">
                  <c:v>105.89220230125298</c:v>
                </c:pt>
                <c:pt idx="334">
                  <c:v>105.4017401996317</c:v>
                </c:pt>
                <c:pt idx="335">
                  <c:v>105.15876258798455</c:v>
                </c:pt>
                <c:pt idx="336">
                  <c:v>105.43469554860401</c:v>
                </c:pt>
                <c:pt idx="337">
                  <c:v>105.04776737323719</c:v>
                </c:pt>
                <c:pt idx="338">
                  <c:v>104.41433827981781</c:v>
                </c:pt>
                <c:pt idx="339">
                  <c:v>103.58158505163047</c:v>
                </c:pt>
                <c:pt idx="340">
                  <c:v>102.51530898788263</c:v>
                </c:pt>
                <c:pt idx="341">
                  <c:v>100.34671665835549</c:v>
                </c:pt>
                <c:pt idx="342">
                  <c:v>96.632175786027659</c:v>
                </c:pt>
                <c:pt idx="343">
                  <c:v>91.844800491781527</c:v>
                </c:pt>
                <c:pt idx="344">
                  <c:v>85.994011942735028</c:v>
                </c:pt>
                <c:pt idx="345">
                  <c:v>80.880424818693115</c:v>
                </c:pt>
                <c:pt idx="346">
                  <c:v>77.163085375555525</c:v>
                </c:pt>
                <c:pt idx="347">
                  <c:v>73.937732725324778</c:v>
                </c:pt>
                <c:pt idx="348">
                  <c:v>72.058711314652328</c:v>
                </c:pt>
                <c:pt idx="349">
                  <c:v>70.650526243226324</c:v>
                </c:pt>
                <c:pt idx="350">
                  <c:v>69.039413376792169</c:v>
                </c:pt>
                <c:pt idx="351">
                  <c:v>68.312715234453719</c:v>
                </c:pt>
                <c:pt idx="352">
                  <c:v>67.375135235709408</c:v>
                </c:pt>
                <c:pt idx="353">
                  <c:v>66.673681458691931</c:v>
                </c:pt>
                <c:pt idx="354">
                  <c:v>66.002557422129556</c:v>
                </c:pt>
                <c:pt idx="355">
                  <c:v>66.188845688258766</c:v>
                </c:pt>
                <c:pt idx="356">
                  <c:v>65.501147202531968</c:v>
                </c:pt>
                <c:pt idx="357">
                  <c:v>65.264229408856266</c:v>
                </c:pt>
                <c:pt idx="358">
                  <c:v>64.794822068731335</c:v>
                </c:pt>
                <c:pt idx="359">
                  <c:v>63.755393451745739</c:v>
                </c:pt>
                <c:pt idx="360">
                  <c:v>63.168188813500116</c:v>
                </c:pt>
                <c:pt idx="361">
                  <c:v>61.952265985167898</c:v>
                </c:pt>
                <c:pt idx="362">
                  <c:v>59.910911447960459</c:v>
                </c:pt>
                <c:pt idx="363">
                  <c:v>57.297131126192284</c:v>
                </c:pt>
                <c:pt idx="364">
                  <c:v>53.666009368444143</c:v>
                </c:pt>
                <c:pt idx="365">
                  <c:v>50.371076263703195</c:v>
                </c:pt>
                <c:pt idx="366">
                  <c:v>46.507594508230227</c:v>
                </c:pt>
                <c:pt idx="367">
                  <c:v>43.672535753615819</c:v>
                </c:pt>
                <c:pt idx="368">
                  <c:v>41.92373344114484</c:v>
                </c:pt>
                <c:pt idx="369">
                  <c:v>39.513315604945362</c:v>
                </c:pt>
                <c:pt idx="370">
                  <c:v>39.037521431746683</c:v>
                </c:pt>
                <c:pt idx="371">
                  <c:v>37.784260261320959</c:v>
                </c:pt>
                <c:pt idx="372">
                  <c:v>37.695149026871604</c:v>
                </c:pt>
                <c:pt idx="373">
                  <c:v>36.825154076582862</c:v>
                </c:pt>
                <c:pt idx="374">
                  <c:v>36.44714921615099</c:v>
                </c:pt>
                <c:pt idx="375">
                  <c:v>36.38872494688524</c:v>
                </c:pt>
                <c:pt idx="376">
                  <c:v>34.61925473506718</c:v>
                </c:pt>
                <c:pt idx="377">
                  <c:v>34.05976759375622</c:v>
                </c:pt>
                <c:pt idx="378">
                  <c:v>33.787852889594774</c:v>
                </c:pt>
                <c:pt idx="379">
                  <c:v>33.146107356457755</c:v>
                </c:pt>
                <c:pt idx="380">
                  <c:v>32.313536261385536</c:v>
                </c:pt>
                <c:pt idx="381">
                  <c:v>31.768212245438562</c:v>
                </c:pt>
                <c:pt idx="382">
                  <c:v>31.193032149998842</c:v>
                </c:pt>
                <c:pt idx="383">
                  <c:v>30.476191842411932</c:v>
                </c:pt>
                <c:pt idx="384">
                  <c:v>30.774927691934284</c:v>
                </c:pt>
                <c:pt idx="385">
                  <c:v>30.070688612279703</c:v>
                </c:pt>
                <c:pt idx="386">
                  <c:v>28.80307434136299</c:v>
                </c:pt>
                <c:pt idx="387">
                  <c:v>28.200153591127904</c:v>
                </c:pt>
                <c:pt idx="388">
                  <c:v>27.586777766772059</c:v>
                </c:pt>
                <c:pt idx="389">
                  <c:v>26.426590563547038</c:v>
                </c:pt>
                <c:pt idx="390">
                  <c:v>25.672500697213611</c:v>
                </c:pt>
                <c:pt idx="391">
                  <c:v>25.044991064036147</c:v>
                </c:pt>
                <c:pt idx="392">
                  <c:v>24.294350601079095</c:v>
                </c:pt>
                <c:pt idx="393">
                  <c:v>23.725092168565116</c:v>
                </c:pt>
                <c:pt idx="394">
                  <c:v>23.495427469166515</c:v>
                </c:pt>
                <c:pt idx="395">
                  <c:v>22.94157846643871</c:v>
                </c:pt>
                <c:pt idx="396">
                  <c:v>22.076513325914004</c:v>
                </c:pt>
                <c:pt idx="397">
                  <c:v>21.949754643265205</c:v>
                </c:pt>
                <c:pt idx="398">
                  <c:v>21.092254993261935</c:v>
                </c:pt>
                <c:pt idx="399">
                  <c:v>20.942271434363629</c:v>
                </c:pt>
                <c:pt idx="400">
                  <c:v>20.060665478357976</c:v>
                </c:pt>
              </c:numCache>
            </c:numRef>
          </c:yVal>
          <c:smooth val="1"/>
          <c:extLst>
            <c:ext xmlns:c16="http://schemas.microsoft.com/office/drawing/2014/chart" uri="{C3380CC4-5D6E-409C-BE32-E72D297353CC}">
              <c16:uniqueId val="{00000005-AE74-476B-9B96-4F9C790085E0}"/>
            </c:ext>
          </c:extLst>
        </c:ser>
        <c:ser>
          <c:idx val="6"/>
          <c:order val="6"/>
          <c:tx>
            <c:strRef>
              <c:f>'Typical AS7341 filters'!$H$4</c:f>
              <c:strCache>
                <c:ptCount val="1"/>
                <c:pt idx="0">
                  <c:v>F7 - 256x</c:v>
                </c:pt>
              </c:strCache>
            </c:strRef>
          </c:tx>
          <c:spPr>
            <a:ln w="19050" cap="rnd">
              <a:solidFill>
                <a:schemeClr val="accent1">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filters'!$H$5:$H$405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1.4953000189751282</c:v>
                </c:pt>
                <c:pt idx="100">
                  <c:v>0</c:v>
                </c:pt>
                <c:pt idx="101">
                  <c:v>0</c:v>
                </c:pt>
                <c:pt idx="102">
                  <c:v>0</c:v>
                </c:pt>
                <c:pt idx="103">
                  <c:v>0</c:v>
                </c:pt>
                <c:pt idx="104">
                  <c:v>0</c:v>
                </c:pt>
                <c:pt idx="105">
                  <c:v>0</c:v>
                </c:pt>
                <c:pt idx="106">
                  <c:v>0</c:v>
                </c:pt>
                <c:pt idx="107">
                  <c:v>4.2063111659533821</c:v>
                </c:pt>
                <c:pt idx="108">
                  <c:v>9.7300460082230344</c:v>
                </c:pt>
                <c:pt idx="109">
                  <c:v>9.6553698945978592</c:v>
                </c:pt>
                <c:pt idx="110">
                  <c:v>6.8534577689231595</c:v>
                </c:pt>
                <c:pt idx="111">
                  <c:v>12.301574784420319</c:v>
                </c:pt>
                <c:pt idx="112">
                  <c:v>12.329130244297794</c:v>
                </c:pt>
                <c:pt idx="113">
                  <c:v>9.6259059071591864</c:v>
                </c:pt>
                <c:pt idx="114">
                  <c:v>13.824362528819943</c:v>
                </c:pt>
                <c:pt idx="115">
                  <c:v>12.555659874630765</c:v>
                </c:pt>
                <c:pt idx="116">
                  <c:v>12.614977639215219</c:v>
                </c:pt>
                <c:pt idx="117">
                  <c:v>11.26724156128647</c:v>
                </c:pt>
                <c:pt idx="118">
                  <c:v>11.451893566953309</c:v>
                </c:pt>
                <c:pt idx="119">
                  <c:v>20.621258764190664</c:v>
                </c:pt>
                <c:pt idx="120">
                  <c:v>19.903590010346946</c:v>
                </c:pt>
                <c:pt idx="121">
                  <c:v>20.828768392214801</c:v>
                </c:pt>
                <c:pt idx="122">
                  <c:v>18.378926320963433</c:v>
                </c:pt>
                <c:pt idx="123">
                  <c:v>13.052322854850685</c:v>
                </c:pt>
                <c:pt idx="124">
                  <c:v>10.313467652887216</c:v>
                </c:pt>
                <c:pt idx="125">
                  <c:v>8.4801587267512204</c:v>
                </c:pt>
                <c:pt idx="126">
                  <c:v>5.4497607797735528</c:v>
                </c:pt>
                <c:pt idx="127">
                  <c:v>6.6365808634938208</c:v>
                </c:pt>
                <c:pt idx="128">
                  <c:v>8.4610939143294281</c:v>
                </c:pt>
                <c:pt idx="129">
                  <c:v>11.464015345756499</c:v>
                </c:pt>
                <c:pt idx="130">
                  <c:v>14.944038159998232</c:v>
                </c:pt>
                <c:pt idx="131">
                  <c:v>20.56210742509845</c:v>
                </c:pt>
                <c:pt idx="132">
                  <c:v>24.411449121639556</c:v>
                </c:pt>
                <c:pt idx="133">
                  <c:v>32.31613374670664</c:v>
                </c:pt>
                <c:pt idx="134">
                  <c:v>41.349320913892285</c:v>
                </c:pt>
                <c:pt idx="135">
                  <c:v>52.11289406115425</c:v>
                </c:pt>
                <c:pt idx="136">
                  <c:v>64.053687348162157</c:v>
                </c:pt>
                <c:pt idx="137">
                  <c:v>79.215566768535354</c:v>
                </c:pt>
                <c:pt idx="138">
                  <c:v>99.472398505117937</c:v>
                </c:pt>
                <c:pt idx="139">
                  <c:v>121.81336884942435</c:v>
                </c:pt>
                <c:pt idx="140">
                  <c:v>145.9375686323159</c:v>
                </c:pt>
                <c:pt idx="141">
                  <c:v>177.8975244963741</c:v>
                </c:pt>
                <c:pt idx="142">
                  <c:v>216.1943596793113</c:v>
                </c:pt>
                <c:pt idx="143">
                  <c:v>260.47021435049146</c:v>
                </c:pt>
                <c:pt idx="144">
                  <c:v>314.786398974012</c:v>
                </c:pt>
                <c:pt idx="145">
                  <c:v>376.23868809055472</c:v>
                </c:pt>
                <c:pt idx="146">
                  <c:v>447.71683399742807</c:v>
                </c:pt>
                <c:pt idx="147">
                  <c:v>528.84552912355412</c:v>
                </c:pt>
                <c:pt idx="148">
                  <c:v>621.94544126823723</c:v>
                </c:pt>
                <c:pt idx="149">
                  <c:v>726.06966539352777</c:v>
                </c:pt>
                <c:pt idx="150">
                  <c:v>876.18472763693433</c:v>
                </c:pt>
                <c:pt idx="151">
                  <c:v>1006.1761506530257</c:v>
                </c:pt>
                <c:pt idx="152">
                  <c:v>1156.1716664538674</c:v>
                </c:pt>
                <c:pt idx="153">
                  <c:v>1306.2718796816941</c:v>
                </c:pt>
                <c:pt idx="154">
                  <c:v>1467.5228114061103</c:v>
                </c:pt>
                <c:pt idx="155">
                  <c:v>1641.4755612989052</c:v>
                </c:pt>
                <c:pt idx="156">
                  <c:v>1818.0263482509258</c:v>
                </c:pt>
                <c:pt idx="157">
                  <c:v>1981.123970315017</c:v>
                </c:pt>
                <c:pt idx="158">
                  <c:v>2121.2298677639628</c:v>
                </c:pt>
                <c:pt idx="159">
                  <c:v>2218.2523046007282</c:v>
                </c:pt>
                <c:pt idx="160">
                  <c:v>2284.1173845256953</c:v>
                </c:pt>
                <c:pt idx="161">
                  <c:v>2318.2871745351681</c:v>
                </c:pt>
                <c:pt idx="162">
                  <c:v>2320.8468406101538</c:v>
                </c:pt>
                <c:pt idx="163">
                  <c:v>2316.653105087295</c:v>
                </c:pt>
                <c:pt idx="164">
                  <c:v>2299.954595991263</c:v>
                </c:pt>
                <c:pt idx="165">
                  <c:v>2264.0886984717322</c:v>
                </c:pt>
                <c:pt idx="166">
                  <c:v>2222.7052633123508</c:v>
                </c:pt>
                <c:pt idx="167">
                  <c:v>2166.7112873212245</c:v>
                </c:pt>
                <c:pt idx="168">
                  <c:v>2104.1737208742657</c:v>
                </c:pt>
                <c:pt idx="169">
                  <c:v>2035.1171726179164</c:v>
                </c:pt>
                <c:pt idx="170">
                  <c:v>1951.3670215173613</c:v>
                </c:pt>
                <c:pt idx="171">
                  <c:v>1852.8654331616913</c:v>
                </c:pt>
                <c:pt idx="172">
                  <c:v>1741.6169698186729</c:v>
                </c:pt>
                <c:pt idx="173">
                  <c:v>1614.7797892798328</c:v>
                </c:pt>
                <c:pt idx="174">
                  <c:v>1478.4833311441726</c:v>
                </c:pt>
                <c:pt idx="175">
                  <c:v>1345.8055796845042</c:v>
                </c:pt>
                <c:pt idx="176">
                  <c:v>1224.5348391497023</c:v>
                </c:pt>
                <c:pt idx="177">
                  <c:v>1088.9876918141688</c:v>
                </c:pt>
                <c:pt idx="178">
                  <c:v>945.61923286312719</c:v>
                </c:pt>
                <c:pt idx="179">
                  <c:v>823.9356013538353</c:v>
                </c:pt>
                <c:pt idx="180">
                  <c:v>742.08775416607125</c:v>
                </c:pt>
                <c:pt idx="181">
                  <c:v>665.1084425977549</c:v>
                </c:pt>
                <c:pt idx="182">
                  <c:v>576.24775273010027</c:v>
                </c:pt>
                <c:pt idx="183">
                  <c:v>486.69298553881134</c:v>
                </c:pt>
                <c:pt idx="184">
                  <c:v>426.35356297779208</c:v>
                </c:pt>
                <c:pt idx="185">
                  <c:v>387.76679888496642</c:v>
                </c:pt>
                <c:pt idx="186">
                  <c:v>351.31653292854031</c:v>
                </c:pt>
                <c:pt idx="187">
                  <c:v>306.53023240374864</c:v>
                </c:pt>
                <c:pt idx="188">
                  <c:v>268.73318231832093</c:v>
                </c:pt>
                <c:pt idx="189">
                  <c:v>246.45836846328035</c:v>
                </c:pt>
                <c:pt idx="190">
                  <c:v>233.90899787336807</c:v>
                </c:pt>
                <c:pt idx="191">
                  <c:v>218.9659512493638</c:v>
                </c:pt>
                <c:pt idx="192">
                  <c:v>195.47045128010862</c:v>
                </c:pt>
                <c:pt idx="193">
                  <c:v>169.58758166997262</c:v>
                </c:pt>
                <c:pt idx="194">
                  <c:v>153.7625155305204</c:v>
                </c:pt>
                <c:pt idx="195">
                  <c:v>145.59446953385645</c:v>
                </c:pt>
                <c:pt idx="196">
                  <c:v>137.75818092580261</c:v>
                </c:pt>
                <c:pt idx="197">
                  <c:v>124.89511838962441</c:v>
                </c:pt>
                <c:pt idx="198">
                  <c:v>110.36842499503044</c:v>
                </c:pt>
                <c:pt idx="199">
                  <c:v>101.62890304414503</c:v>
                </c:pt>
                <c:pt idx="200">
                  <c:v>98.102493150320612</c:v>
                </c:pt>
                <c:pt idx="201">
                  <c:v>95.919946354627044</c:v>
                </c:pt>
                <c:pt idx="202">
                  <c:v>91.607130333265332</c:v>
                </c:pt>
                <c:pt idx="203">
                  <c:v>82.683845063820456</c:v>
                </c:pt>
                <c:pt idx="204">
                  <c:v>75.25807498497872</c:v>
                </c:pt>
                <c:pt idx="205">
                  <c:v>72.360885599260115</c:v>
                </c:pt>
                <c:pt idx="206">
                  <c:v>71.483259135974876</c:v>
                </c:pt>
                <c:pt idx="207">
                  <c:v>71.70108525718571</c:v>
                </c:pt>
                <c:pt idx="208">
                  <c:v>69.1079776630297</c:v>
                </c:pt>
                <c:pt idx="209">
                  <c:v>64.42722442864526</c:v>
                </c:pt>
                <c:pt idx="210">
                  <c:v>61.353149343566244</c:v>
                </c:pt>
                <c:pt idx="211">
                  <c:v>59.703441629990166</c:v>
                </c:pt>
                <c:pt idx="212">
                  <c:v>59.690987804251556</c:v>
                </c:pt>
                <c:pt idx="213">
                  <c:v>58.276242777561343</c:v>
                </c:pt>
                <c:pt idx="214">
                  <c:v>53.870080786772384</c:v>
                </c:pt>
                <c:pt idx="215">
                  <c:v>49.459757201785145</c:v>
                </c:pt>
                <c:pt idx="216">
                  <c:v>46.66896232964411</c:v>
                </c:pt>
                <c:pt idx="217">
                  <c:v>46.906770115087262</c:v>
                </c:pt>
                <c:pt idx="218">
                  <c:v>48.051721508349296</c:v>
                </c:pt>
                <c:pt idx="219">
                  <c:v>48.865059773993735</c:v>
                </c:pt>
                <c:pt idx="220">
                  <c:v>48.979514749548365</c:v>
                </c:pt>
                <c:pt idx="221">
                  <c:v>50.181824077907216</c:v>
                </c:pt>
                <c:pt idx="222">
                  <c:v>50.333360767795305</c:v>
                </c:pt>
                <c:pt idx="223">
                  <c:v>51.947629708221967</c:v>
                </c:pt>
                <c:pt idx="224">
                  <c:v>54.135685729001125</c:v>
                </c:pt>
                <c:pt idx="225">
                  <c:v>56.720987127166445</c:v>
                </c:pt>
                <c:pt idx="226">
                  <c:v>59.705615238335234</c:v>
                </c:pt>
                <c:pt idx="227">
                  <c:v>62.186624681992754</c:v>
                </c:pt>
                <c:pt idx="228">
                  <c:v>64.531341789990634</c:v>
                </c:pt>
                <c:pt idx="229">
                  <c:v>66.228582856953153</c:v>
                </c:pt>
                <c:pt idx="230">
                  <c:v>68.579504690873293</c:v>
                </c:pt>
                <c:pt idx="231">
                  <c:v>70.51488423318807</c:v>
                </c:pt>
                <c:pt idx="232">
                  <c:v>73.581584511270435</c:v>
                </c:pt>
                <c:pt idx="233">
                  <c:v>76.893894794554171</c:v>
                </c:pt>
                <c:pt idx="234">
                  <c:v>80.154365016263839</c:v>
                </c:pt>
                <c:pt idx="235">
                  <c:v>82.20495157324082</c:v>
                </c:pt>
                <c:pt idx="236">
                  <c:v>81.805357559484847</c:v>
                </c:pt>
                <c:pt idx="237">
                  <c:v>78.269056705297004</c:v>
                </c:pt>
                <c:pt idx="238">
                  <c:v>74.46373325520355</c:v>
                </c:pt>
                <c:pt idx="239">
                  <c:v>72.231903240989055</c:v>
                </c:pt>
                <c:pt idx="240">
                  <c:v>70.986551367630938</c:v>
                </c:pt>
                <c:pt idx="241">
                  <c:v>70.357574125690533</c:v>
                </c:pt>
                <c:pt idx="242">
                  <c:v>69.760149373021747</c:v>
                </c:pt>
                <c:pt idx="243">
                  <c:v>68.957817705624279</c:v>
                </c:pt>
                <c:pt idx="244">
                  <c:v>69.388599782428798</c:v>
                </c:pt>
                <c:pt idx="245">
                  <c:v>67.990364303221071</c:v>
                </c:pt>
                <c:pt idx="246">
                  <c:v>65.969998526769274</c:v>
                </c:pt>
                <c:pt idx="247">
                  <c:v>66.403895151127358</c:v>
                </c:pt>
                <c:pt idx="248">
                  <c:v>66.422619198935323</c:v>
                </c:pt>
                <c:pt idx="249">
                  <c:v>68.3087006017156</c:v>
                </c:pt>
                <c:pt idx="250">
                  <c:v>70.40360295180507</c:v>
                </c:pt>
                <c:pt idx="251">
                  <c:v>72.73521822302682</c:v>
                </c:pt>
                <c:pt idx="252">
                  <c:v>74.83495343654802</c:v>
                </c:pt>
                <c:pt idx="253">
                  <c:v>77.573271699409489</c:v>
                </c:pt>
                <c:pt idx="254">
                  <c:v>79.866587746620141</c:v>
                </c:pt>
                <c:pt idx="255">
                  <c:v>83.008550162391231</c:v>
                </c:pt>
                <c:pt idx="256">
                  <c:v>84.606676766348869</c:v>
                </c:pt>
                <c:pt idx="257">
                  <c:v>85.93731392765541</c:v>
                </c:pt>
                <c:pt idx="258">
                  <c:v>86.558825929121198</c:v>
                </c:pt>
                <c:pt idx="259">
                  <c:v>86.673372196478766</c:v>
                </c:pt>
                <c:pt idx="260">
                  <c:v>86.031659821321568</c:v>
                </c:pt>
                <c:pt idx="261">
                  <c:v>87.085612346344448</c:v>
                </c:pt>
                <c:pt idx="262">
                  <c:v>86.734967097220718</c:v>
                </c:pt>
                <c:pt idx="263">
                  <c:v>87.601491015687657</c:v>
                </c:pt>
                <c:pt idx="264">
                  <c:v>87.949101637570777</c:v>
                </c:pt>
                <c:pt idx="265">
                  <c:v>88.85130530555027</c:v>
                </c:pt>
                <c:pt idx="266">
                  <c:v>90.074131347064977</c:v>
                </c:pt>
                <c:pt idx="267">
                  <c:v>90.350787541088692</c:v>
                </c:pt>
                <c:pt idx="268">
                  <c:v>90.0803377776015</c:v>
                </c:pt>
                <c:pt idx="269">
                  <c:v>87.85186327883774</c:v>
                </c:pt>
                <c:pt idx="270">
                  <c:v>82.426679007545843</c:v>
                </c:pt>
                <c:pt idx="271">
                  <c:v>72.499652555599482</c:v>
                </c:pt>
                <c:pt idx="272">
                  <c:v>60.075318862295603</c:v>
                </c:pt>
                <c:pt idx="273">
                  <c:v>49.506989502788322</c:v>
                </c:pt>
                <c:pt idx="274">
                  <c:v>42.513069603495673</c:v>
                </c:pt>
                <c:pt idx="275">
                  <c:v>38.61536697003995</c:v>
                </c:pt>
                <c:pt idx="276">
                  <c:v>36.881484397771935</c:v>
                </c:pt>
                <c:pt idx="277">
                  <c:v>35.898802159018615</c:v>
                </c:pt>
                <c:pt idx="278">
                  <c:v>35.65752693999827</c:v>
                </c:pt>
                <c:pt idx="279">
                  <c:v>35.226312705192726</c:v>
                </c:pt>
                <c:pt idx="280">
                  <c:v>35.113893282588386</c:v>
                </c:pt>
                <c:pt idx="281">
                  <c:v>35.000562576122903</c:v>
                </c:pt>
                <c:pt idx="282">
                  <c:v>34.8421894077362</c:v>
                </c:pt>
                <c:pt idx="283">
                  <c:v>34.492784835990307</c:v>
                </c:pt>
                <c:pt idx="284">
                  <c:v>33.823710851140078</c:v>
                </c:pt>
                <c:pt idx="285">
                  <c:v>33.803953019990452</c:v>
                </c:pt>
                <c:pt idx="286">
                  <c:v>32.952962873066213</c:v>
                </c:pt>
                <c:pt idx="287">
                  <c:v>33.072821851483205</c:v>
                </c:pt>
                <c:pt idx="288">
                  <c:v>33.316628131636584</c:v>
                </c:pt>
                <c:pt idx="289">
                  <c:v>33.844393763915541</c:v>
                </c:pt>
                <c:pt idx="290">
                  <c:v>34.494708586083547</c:v>
                </c:pt>
                <c:pt idx="291">
                  <c:v>34.941915050453119</c:v>
                </c:pt>
                <c:pt idx="292">
                  <c:v>34.66487532596517</c:v>
                </c:pt>
                <c:pt idx="293">
                  <c:v>34.382567349018387</c:v>
                </c:pt>
                <c:pt idx="294">
                  <c:v>33.802746648402334</c:v>
                </c:pt>
                <c:pt idx="295">
                  <c:v>33.371720285104132</c:v>
                </c:pt>
                <c:pt idx="296">
                  <c:v>33.076363858095583</c:v>
                </c:pt>
                <c:pt idx="297">
                  <c:v>33.312001594846997</c:v>
                </c:pt>
                <c:pt idx="298">
                  <c:v>33.541828077105144</c:v>
                </c:pt>
                <c:pt idx="299">
                  <c:v>33.78284657020393</c:v>
                </c:pt>
                <c:pt idx="300">
                  <c:v>34.308716010843924</c:v>
                </c:pt>
                <c:pt idx="301">
                  <c:v>34.686035133886406</c:v>
                </c:pt>
                <c:pt idx="302">
                  <c:v>35.275310495944957</c:v>
                </c:pt>
                <c:pt idx="303">
                  <c:v>36.185315661057594</c:v>
                </c:pt>
                <c:pt idx="304">
                  <c:v>36.552385745548321</c:v>
                </c:pt>
                <c:pt idx="305">
                  <c:v>37.205510903316622</c:v>
                </c:pt>
                <c:pt idx="306">
                  <c:v>37.840189682333289</c:v>
                </c:pt>
                <c:pt idx="307">
                  <c:v>38.239422221957312</c:v>
                </c:pt>
                <c:pt idx="308">
                  <c:v>38.250228359670224</c:v>
                </c:pt>
                <c:pt idx="309">
                  <c:v>38.463534714895573</c:v>
                </c:pt>
                <c:pt idx="310">
                  <c:v>38.554226673531481</c:v>
                </c:pt>
                <c:pt idx="311">
                  <c:v>38.657008478785109</c:v>
                </c:pt>
                <c:pt idx="312">
                  <c:v>38.671611614356003</c:v>
                </c:pt>
                <c:pt idx="313">
                  <c:v>38.699773032094264</c:v>
                </c:pt>
                <c:pt idx="314">
                  <c:v>38.383333666469845</c:v>
                </c:pt>
                <c:pt idx="315">
                  <c:v>37.875222369556134</c:v>
                </c:pt>
                <c:pt idx="316">
                  <c:v>36.963299868202633</c:v>
                </c:pt>
                <c:pt idx="317">
                  <c:v>35.637411588209375</c:v>
                </c:pt>
                <c:pt idx="318">
                  <c:v>35.04661351947221</c:v>
                </c:pt>
                <c:pt idx="319">
                  <c:v>33.76459847882893</c:v>
                </c:pt>
                <c:pt idx="320">
                  <c:v>33.157619718238678</c:v>
                </c:pt>
                <c:pt idx="321">
                  <c:v>32.893705232385727</c:v>
                </c:pt>
                <c:pt idx="322">
                  <c:v>32.786364617475009</c:v>
                </c:pt>
                <c:pt idx="323">
                  <c:v>32.511461732981594</c:v>
                </c:pt>
                <c:pt idx="324">
                  <c:v>32.423546015692224</c:v>
                </c:pt>
                <c:pt idx="325">
                  <c:v>32.357211636599558</c:v>
                </c:pt>
                <c:pt idx="326">
                  <c:v>32.607423441447509</c:v>
                </c:pt>
                <c:pt idx="327">
                  <c:v>32.94962720024256</c:v>
                </c:pt>
                <c:pt idx="328">
                  <c:v>33.530819663716017</c:v>
                </c:pt>
                <c:pt idx="329">
                  <c:v>34.091258413974373</c:v>
                </c:pt>
                <c:pt idx="330">
                  <c:v>35.065349135162712</c:v>
                </c:pt>
                <c:pt idx="331">
                  <c:v>35.389200902302257</c:v>
                </c:pt>
                <c:pt idx="332">
                  <c:v>36.100844500974453</c:v>
                </c:pt>
                <c:pt idx="333">
                  <c:v>36.575134731503674</c:v>
                </c:pt>
                <c:pt idx="334">
                  <c:v>37.03733083011889</c:v>
                </c:pt>
                <c:pt idx="335">
                  <c:v>37.652350949106079</c:v>
                </c:pt>
                <c:pt idx="336">
                  <c:v>38.11929972692662</c:v>
                </c:pt>
                <c:pt idx="337">
                  <c:v>38.595327864537516</c:v>
                </c:pt>
                <c:pt idx="338">
                  <c:v>38.981352957798649</c:v>
                </c:pt>
                <c:pt idx="339">
                  <c:v>38.679686177409145</c:v>
                </c:pt>
                <c:pt idx="340">
                  <c:v>38.605690558449467</c:v>
                </c:pt>
                <c:pt idx="341">
                  <c:v>38.23818066602486</c:v>
                </c:pt>
                <c:pt idx="342">
                  <c:v>37.579179472344094</c:v>
                </c:pt>
                <c:pt idx="343">
                  <c:v>36.858273743630591</c:v>
                </c:pt>
                <c:pt idx="344">
                  <c:v>36.597973751085668</c:v>
                </c:pt>
                <c:pt idx="345">
                  <c:v>35.82272959280975</c:v>
                </c:pt>
                <c:pt idx="346">
                  <c:v>35.87601663954743</c:v>
                </c:pt>
                <c:pt idx="347">
                  <c:v>36.083384533616581</c:v>
                </c:pt>
                <c:pt idx="348">
                  <c:v>35.845719797706764</c:v>
                </c:pt>
                <c:pt idx="349">
                  <c:v>36.129772219620911</c:v>
                </c:pt>
                <c:pt idx="350">
                  <c:v>36.267539938441459</c:v>
                </c:pt>
                <c:pt idx="351">
                  <c:v>36.404440602649437</c:v>
                </c:pt>
                <c:pt idx="352">
                  <c:v>36.612211751880672</c:v>
                </c:pt>
                <c:pt idx="353">
                  <c:v>36.825161711812584</c:v>
                </c:pt>
                <c:pt idx="354">
                  <c:v>37.050295534463608</c:v>
                </c:pt>
                <c:pt idx="355">
                  <c:v>37.414191090234731</c:v>
                </c:pt>
                <c:pt idx="356">
                  <c:v>37.622265874201318</c:v>
                </c:pt>
                <c:pt idx="357">
                  <c:v>37.840497833147936</c:v>
                </c:pt>
                <c:pt idx="358">
                  <c:v>38.185183811746896</c:v>
                </c:pt>
                <c:pt idx="359">
                  <c:v>38.63323510486579</c:v>
                </c:pt>
                <c:pt idx="360">
                  <c:v>38.81334268207285</c:v>
                </c:pt>
                <c:pt idx="361">
                  <c:v>39.131431283286844</c:v>
                </c:pt>
                <c:pt idx="362">
                  <c:v>39.17251902366646</c:v>
                </c:pt>
                <c:pt idx="363">
                  <c:v>39.313360042788872</c:v>
                </c:pt>
                <c:pt idx="364">
                  <c:v>38.631174058996756</c:v>
                </c:pt>
                <c:pt idx="365">
                  <c:v>37.812998021650472</c:v>
                </c:pt>
                <c:pt idx="366">
                  <c:v>36.264850479631903</c:v>
                </c:pt>
                <c:pt idx="367">
                  <c:v>34.772445528945298</c:v>
                </c:pt>
                <c:pt idx="368">
                  <c:v>33.112176987176795</c:v>
                </c:pt>
                <c:pt idx="369">
                  <c:v>31.83017090398377</c:v>
                </c:pt>
                <c:pt idx="370">
                  <c:v>30.545148348349159</c:v>
                </c:pt>
                <c:pt idx="371">
                  <c:v>29.501840892444442</c:v>
                </c:pt>
                <c:pt idx="372">
                  <c:v>28.407938397062654</c:v>
                </c:pt>
                <c:pt idx="373">
                  <c:v>27.346086638351348</c:v>
                </c:pt>
                <c:pt idx="374">
                  <c:v>26.891716837384809</c:v>
                </c:pt>
                <c:pt idx="375">
                  <c:v>26.167172995512981</c:v>
                </c:pt>
                <c:pt idx="376">
                  <c:v>25.523215255657373</c:v>
                </c:pt>
                <c:pt idx="377">
                  <c:v>24.869036655758514</c:v>
                </c:pt>
                <c:pt idx="378">
                  <c:v>24.346137511264896</c:v>
                </c:pt>
                <c:pt idx="379">
                  <c:v>23.646918053082668</c:v>
                </c:pt>
                <c:pt idx="380">
                  <c:v>23.235939072652492</c:v>
                </c:pt>
                <c:pt idx="381">
                  <c:v>23.228370243976585</c:v>
                </c:pt>
                <c:pt idx="382">
                  <c:v>22.847527934428975</c:v>
                </c:pt>
                <c:pt idx="383">
                  <c:v>22.362843231121058</c:v>
                </c:pt>
                <c:pt idx="384">
                  <c:v>22.350885674716071</c:v>
                </c:pt>
                <c:pt idx="385">
                  <c:v>21.943475473825728</c:v>
                </c:pt>
                <c:pt idx="386">
                  <c:v>21.365660779039214</c:v>
                </c:pt>
                <c:pt idx="387">
                  <c:v>20.558385351805473</c:v>
                </c:pt>
                <c:pt idx="388">
                  <c:v>19.878707508409278</c:v>
                </c:pt>
                <c:pt idx="389">
                  <c:v>18.634134371731886</c:v>
                </c:pt>
                <c:pt idx="390">
                  <c:v>17.386667138853664</c:v>
                </c:pt>
                <c:pt idx="391">
                  <c:v>15.950062059752018</c:v>
                </c:pt>
                <c:pt idx="392">
                  <c:v>14.563000080198675</c:v>
                </c:pt>
                <c:pt idx="393">
                  <c:v>13.294232680661487</c:v>
                </c:pt>
                <c:pt idx="394">
                  <c:v>12.394689273589293</c:v>
                </c:pt>
                <c:pt idx="395">
                  <c:v>11.334232218538169</c:v>
                </c:pt>
                <c:pt idx="396">
                  <c:v>10.561294955298365</c:v>
                </c:pt>
                <c:pt idx="397">
                  <c:v>10.120136097206387</c:v>
                </c:pt>
                <c:pt idx="398">
                  <c:v>9.6246212105175815</c:v>
                </c:pt>
                <c:pt idx="399">
                  <c:v>9.3076761930505025</c:v>
                </c:pt>
                <c:pt idx="400">
                  <c:v>8.9385958423976017</c:v>
                </c:pt>
              </c:numCache>
            </c:numRef>
          </c:yVal>
          <c:smooth val="1"/>
          <c:extLst>
            <c:ext xmlns:c16="http://schemas.microsoft.com/office/drawing/2014/chart" uri="{C3380CC4-5D6E-409C-BE32-E72D297353CC}">
              <c16:uniqueId val="{00000006-AE74-476B-9B96-4F9C790085E0}"/>
            </c:ext>
          </c:extLst>
        </c:ser>
        <c:ser>
          <c:idx val="7"/>
          <c:order val="7"/>
          <c:tx>
            <c:strRef>
              <c:f>'Typical AS7341 filters'!$I$4</c:f>
              <c:strCache>
                <c:ptCount val="1"/>
                <c:pt idx="0">
                  <c:v>F8 - 256x</c:v>
                </c:pt>
              </c:strCache>
            </c:strRef>
          </c:tx>
          <c:spPr>
            <a:ln w="19050" cap="rnd">
              <a:solidFill>
                <a:schemeClr val="accent2">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filters'!$I$5:$I$405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1.6794373160935971</c:v>
                </c:pt>
                <c:pt idx="79">
                  <c:v>0</c:v>
                </c:pt>
                <c:pt idx="80">
                  <c:v>3.2941490678898706</c:v>
                </c:pt>
                <c:pt idx="81">
                  <c:v>6.5319005363716105</c:v>
                </c:pt>
                <c:pt idx="82">
                  <c:v>1.6192165027833827</c:v>
                </c:pt>
                <c:pt idx="83">
                  <c:v>8.0353353091154354</c:v>
                </c:pt>
                <c:pt idx="84">
                  <c:v>4.787300661092516</c:v>
                </c:pt>
                <c:pt idx="85">
                  <c:v>4.754767355483474</c:v>
                </c:pt>
                <c:pt idx="86">
                  <c:v>6.3036180136755675</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5.9491145337446127</c:v>
                </c:pt>
                <c:pt idx="103">
                  <c:v>5.8528542659809339</c:v>
                </c:pt>
                <c:pt idx="104">
                  <c:v>5.7041870481298771</c:v>
                </c:pt>
                <c:pt idx="105">
                  <c:v>5.6655286319357439</c:v>
                </c:pt>
                <c:pt idx="106">
                  <c:v>4.2318782593904034</c:v>
                </c:pt>
                <c:pt idx="107">
                  <c:v>2.8042074439689215</c:v>
                </c:pt>
                <c:pt idx="108">
                  <c:v>0</c:v>
                </c:pt>
                <c:pt idx="109">
                  <c:v>0</c:v>
                </c:pt>
                <c:pt idx="110">
                  <c:v>1.370691553784632</c:v>
                </c:pt>
                <c:pt idx="111">
                  <c:v>4.1005249281401062</c:v>
                </c:pt>
                <c:pt idx="112">
                  <c:v>5.4796134419101303</c:v>
                </c:pt>
                <c:pt idx="113">
                  <c:v>8.2507764918507309</c:v>
                </c:pt>
                <c:pt idx="114">
                  <c:v>5.5297450115279769</c:v>
                </c:pt>
                <c:pt idx="115">
                  <c:v>2.7901466388068363</c:v>
                </c:pt>
                <c:pt idx="116">
                  <c:v>0</c:v>
                </c:pt>
                <c:pt idx="117">
                  <c:v>0</c:v>
                </c:pt>
                <c:pt idx="118">
                  <c:v>0</c:v>
                </c:pt>
                <c:pt idx="119">
                  <c:v>4.4828823400414484</c:v>
                </c:pt>
                <c:pt idx="120">
                  <c:v>6.0576143509751565</c:v>
                </c:pt>
                <c:pt idx="121">
                  <c:v>5.8320551498201443</c:v>
                </c:pt>
                <c:pt idx="122">
                  <c:v>8.7899212839390319</c:v>
                </c:pt>
                <c:pt idx="123">
                  <c:v>7.677836973441579</c:v>
                </c:pt>
                <c:pt idx="124">
                  <c:v>4.4200575655230923</c:v>
                </c:pt>
                <c:pt idx="125">
                  <c:v>5.65343915116748</c:v>
                </c:pt>
                <c:pt idx="126">
                  <c:v>4.0873205848301648</c:v>
                </c:pt>
                <c:pt idx="127">
                  <c:v>7.9638970361925843</c:v>
                </c:pt>
                <c:pt idx="128">
                  <c:v>9.1119472923547686</c:v>
                </c:pt>
                <c:pt idx="129">
                  <c:v>11.464015345756499</c:v>
                </c:pt>
                <c:pt idx="130">
                  <c:v>14.32136990333164</c:v>
                </c:pt>
                <c:pt idx="131">
                  <c:v>17.538268097878088</c:v>
                </c:pt>
                <c:pt idx="132">
                  <c:v>21.505324226206273</c:v>
                </c:pt>
                <c:pt idx="133">
                  <c:v>25.630037109456989</c:v>
                </c:pt>
                <c:pt idx="134">
                  <c:v>26.313204217931457</c:v>
                </c:pt>
                <c:pt idx="135">
                  <c:v>30.225478555469468</c:v>
                </c:pt>
                <c:pt idx="136">
                  <c:v>31.518481076079787</c:v>
                </c:pt>
                <c:pt idx="137">
                  <c:v>33.380144487370245</c:v>
                </c:pt>
                <c:pt idx="138">
                  <c:v>32.830791624841879</c:v>
                </c:pt>
                <c:pt idx="139">
                  <c:v>31.420114981002314</c:v>
                </c:pt>
                <c:pt idx="140">
                  <c:v>28.709029894881819</c:v>
                </c:pt>
                <c:pt idx="141">
                  <c:v>27.040423723448864</c:v>
                </c:pt>
                <c:pt idx="142">
                  <c:v>22.608560489339744</c:v>
                </c:pt>
                <c:pt idx="143">
                  <c:v>21.549693993026274</c:v>
                </c:pt>
                <c:pt idx="144">
                  <c:v>19.586709269494079</c:v>
                </c:pt>
                <c:pt idx="145">
                  <c:v>16.257227263172119</c:v>
                </c:pt>
                <c:pt idx="146">
                  <c:v>12.950486933809904</c:v>
                </c:pt>
                <c:pt idx="147">
                  <c:v>11.056004093175348</c:v>
                </c:pt>
                <c:pt idx="148">
                  <c:v>9.1732365968766558</c:v>
                </c:pt>
                <c:pt idx="149">
                  <c:v>7.758129674223742</c:v>
                </c:pt>
                <c:pt idx="150">
                  <c:v>10.408643349102316</c:v>
                </c:pt>
                <c:pt idx="151">
                  <c:v>11.305350007337367</c:v>
                </c:pt>
                <c:pt idx="152">
                  <c:v>12.858257643601862</c:v>
                </c:pt>
                <c:pt idx="153">
                  <c:v>14.708691406603528</c:v>
                </c:pt>
                <c:pt idx="154">
                  <c:v>16.808933557479993</c:v>
                </c:pt>
                <c:pt idx="155">
                  <c:v>20.144924049485439</c:v>
                </c:pt>
                <c:pt idx="156">
                  <c:v>24.634503363833684</c:v>
                </c:pt>
                <c:pt idx="157">
                  <c:v>29.261853805983861</c:v>
                </c:pt>
                <c:pt idx="158">
                  <c:v>35.798697990391084</c:v>
                </c:pt>
                <c:pt idx="159">
                  <c:v>43.314440513599592</c:v>
                </c:pt>
                <c:pt idx="160">
                  <c:v>53.209894322327983</c:v>
                </c:pt>
                <c:pt idx="161">
                  <c:v>64.102816343057668</c:v>
                </c:pt>
                <c:pt idx="162">
                  <c:v>79.492892530206291</c:v>
                </c:pt>
                <c:pt idx="163">
                  <c:v>97.890724240780742</c:v>
                </c:pt>
                <c:pt idx="164">
                  <c:v>120.49750106370954</c:v>
                </c:pt>
                <c:pt idx="165">
                  <c:v>150.38027910049971</c:v>
                </c:pt>
                <c:pt idx="166">
                  <c:v>182.39756931761656</c:v>
                </c:pt>
                <c:pt idx="167">
                  <c:v>225.8452811181653</c:v>
                </c:pt>
                <c:pt idx="168">
                  <c:v>278.70357209350129</c:v>
                </c:pt>
                <c:pt idx="169">
                  <c:v>345.44424332259837</c:v>
                </c:pt>
                <c:pt idx="170">
                  <c:v>428.12107701300295</c:v>
                </c:pt>
                <c:pt idx="171">
                  <c:v>521.38265807314247</c:v>
                </c:pt>
                <c:pt idx="172">
                  <c:v>631.78165385373143</c:v>
                </c:pt>
                <c:pt idx="173">
                  <c:v>762.72975277017292</c:v>
                </c:pt>
                <c:pt idx="174">
                  <c:v>906.15234995071069</c:v>
                </c:pt>
                <c:pt idx="175">
                  <c:v>1068.8880514076625</c:v>
                </c:pt>
                <c:pt idx="176">
                  <c:v>1236.6146494007223</c:v>
                </c:pt>
                <c:pt idx="177">
                  <c:v>1418.3755815788677</c:v>
                </c:pt>
                <c:pt idx="178">
                  <c:v>1611.4501364080138</c:v>
                </c:pt>
                <c:pt idx="179">
                  <c:v>1818.2887644900366</c:v>
                </c:pt>
                <c:pt idx="180">
                  <c:v>2025.1882687370494</c:v>
                </c:pt>
                <c:pt idx="181">
                  <c:v>2245.344017032156</c:v>
                </c:pt>
                <c:pt idx="182">
                  <c:v>2445.6303112627365</c:v>
                </c:pt>
                <c:pt idx="183">
                  <c:v>2625.1054203134709</c:v>
                </c:pt>
                <c:pt idx="184">
                  <c:v>2773.3284144174477</c:v>
                </c:pt>
                <c:pt idx="185">
                  <c:v>2890.9722638112862</c:v>
                </c:pt>
                <c:pt idx="186">
                  <c:v>2963.001648257366</c:v>
                </c:pt>
                <c:pt idx="187">
                  <c:v>2985.2178489049757</c:v>
                </c:pt>
                <c:pt idx="188">
                  <c:v>2998.3112699707858</c:v>
                </c:pt>
                <c:pt idx="189">
                  <c:v>3009.8558578182833</c:v>
                </c:pt>
                <c:pt idx="190">
                  <c:v>3005.6152070488292</c:v>
                </c:pt>
                <c:pt idx="191">
                  <c:v>2974.0806926886125</c:v>
                </c:pt>
                <c:pt idx="192">
                  <c:v>2930.350431605586</c:v>
                </c:pt>
                <c:pt idx="193">
                  <c:v>2873.1904947819357</c:v>
                </c:pt>
                <c:pt idx="194">
                  <c:v>2795.8183091834453</c:v>
                </c:pt>
                <c:pt idx="195">
                  <c:v>2705.599528473148</c:v>
                </c:pt>
                <c:pt idx="196">
                  <c:v>2605.9255891797661</c:v>
                </c:pt>
                <c:pt idx="197">
                  <c:v>2494.4023571001535</c:v>
                </c:pt>
                <c:pt idx="198">
                  <c:v>2368.7044035478293</c:v>
                </c:pt>
                <c:pt idx="199">
                  <c:v>2222.1515442991781</c:v>
                </c:pt>
                <c:pt idx="200">
                  <c:v>2060.5156987239561</c:v>
                </c:pt>
                <c:pt idx="201">
                  <c:v>1883.2886071061305</c:v>
                </c:pt>
                <c:pt idx="202">
                  <c:v>1698.3384910997888</c:v>
                </c:pt>
                <c:pt idx="203">
                  <c:v>1528.3929012557942</c:v>
                </c:pt>
                <c:pt idx="204">
                  <c:v>1372.205567226112</c:v>
                </c:pt>
                <c:pt idx="205">
                  <c:v>1200.4760255343917</c:v>
                </c:pt>
                <c:pt idx="206">
                  <c:v>1017.1657771318519</c:v>
                </c:pt>
                <c:pt idx="207">
                  <c:v>850.09376019561626</c:v>
                </c:pt>
                <c:pt idx="208">
                  <c:v>727.67680336187573</c:v>
                </c:pt>
                <c:pt idx="209">
                  <c:v>642.67487508574231</c:v>
                </c:pt>
                <c:pt idx="210">
                  <c:v>557.85262380017173</c:v>
                </c:pt>
                <c:pt idx="211">
                  <c:v>461.15150908861835</c:v>
                </c:pt>
                <c:pt idx="212">
                  <c:v>372.49301884967662</c:v>
                </c:pt>
                <c:pt idx="213">
                  <c:v>313.52264351453971</c:v>
                </c:pt>
                <c:pt idx="214">
                  <c:v>278.74222722892426</c:v>
                </c:pt>
                <c:pt idx="215">
                  <c:v>249.7806376247859</c:v>
                </c:pt>
                <c:pt idx="216">
                  <c:v>218.79403251882582</c:v>
                </c:pt>
                <c:pt idx="217">
                  <c:v>178.56554532447993</c:v>
                </c:pt>
                <c:pt idx="218">
                  <c:v>141.66359378017052</c:v>
                </c:pt>
                <c:pt idx="219">
                  <c:v>118.23917748232792</c:v>
                </c:pt>
                <c:pt idx="220">
                  <c:v>104.39429421071623</c:v>
                </c:pt>
                <c:pt idx="221">
                  <c:v>93.194816144684836</c:v>
                </c:pt>
                <c:pt idx="222">
                  <c:v>79.095281206535475</c:v>
                </c:pt>
                <c:pt idx="223">
                  <c:v>65.114910849542127</c:v>
                </c:pt>
                <c:pt idx="224">
                  <c:v>55.584132169910845</c:v>
                </c:pt>
                <c:pt idx="225">
                  <c:v>52.539632306894561</c:v>
                </c:pt>
                <c:pt idx="226">
                  <c:v>51.671832148161684</c:v>
                </c:pt>
                <c:pt idx="227">
                  <c:v>51.547025178878947</c:v>
                </c:pt>
                <c:pt idx="228">
                  <c:v>51.440698169735391</c:v>
                </c:pt>
                <c:pt idx="229">
                  <c:v>50.645386890611228</c:v>
                </c:pt>
                <c:pt idx="230">
                  <c:v>50.079856286523281</c:v>
                </c:pt>
                <c:pt idx="231">
                  <c:v>49.078359426298888</c:v>
                </c:pt>
                <c:pt idx="232">
                  <c:v>49.747960736411635</c:v>
                </c:pt>
                <c:pt idx="233">
                  <c:v>51.199152722116516</c:v>
                </c:pt>
                <c:pt idx="234">
                  <c:v>53.50016229554452</c:v>
                </c:pt>
                <c:pt idx="235">
                  <c:v>55.512520238870863</c:v>
                </c:pt>
                <c:pt idx="236">
                  <c:v>56.679426309071637</c:v>
                </c:pt>
                <c:pt idx="237">
                  <c:v>57.332084036630064</c:v>
                </c:pt>
                <c:pt idx="238">
                  <c:v>57.566949455869768</c:v>
                </c:pt>
                <c:pt idx="239">
                  <c:v>59.798542847048303</c:v>
                </c:pt>
                <c:pt idx="240">
                  <c:v>62.063660832593534</c:v>
                </c:pt>
                <c:pt idx="241">
                  <c:v>63.979550408914058</c:v>
                </c:pt>
                <c:pt idx="242">
                  <c:v>67.354626980848579</c:v>
                </c:pt>
                <c:pt idx="243">
                  <c:v>69.562710843392907</c:v>
                </c:pt>
                <c:pt idx="244">
                  <c:v>72.634850064647694</c:v>
                </c:pt>
                <c:pt idx="245">
                  <c:v>74.319797616734135</c:v>
                </c:pt>
                <c:pt idx="246">
                  <c:v>75.834671203669359</c:v>
                </c:pt>
                <c:pt idx="247">
                  <c:v>78.195241019084548</c:v>
                </c:pt>
                <c:pt idx="248">
                  <c:v>79.748787314082222</c:v>
                </c:pt>
                <c:pt idx="249">
                  <c:v>81.928533543775458</c:v>
                </c:pt>
                <c:pt idx="250">
                  <c:v>83.472535236271881</c:v>
                </c:pt>
                <c:pt idx="251">
                  <c:v>80.581291325802297</c:v>
                </c:pt>
                <c:pt idx="252">
                  <c:v>70.784058521179333</c:v>
                </c:pt>
                <c:pt idx="253">
                  <c:v>61.287170458649477</c:v>
                </c:pt>
                <c:pt idx="254">
                  <c:v>57.262836497576707</c:v>
                </c:pt>
                <c:pt idx="255">
                  <c:v>56.636042037881523</c:v>
                </c:pt>
                <c:pt idx="256">
                  <c:v>57.489152161749878</c:v>
                </c:pt>
                <c:pt idx="257">
                  <c:v>59.61221269918375</c:v>
                </c:pt>
                <c:pt idx="258">
                  <c:v>61.049045995349964</c:v>
                </c:pt>
                <c:pt idx="259">
                  <c:v>62.439759315347423</c:v>
                </c:pt>
                <c:pt idx="260">
                  <c:v>62.667731900302762</c:v>
                </c:pt>
                <c:pt idx="261">
                  <c:v>64.168345939411694</c:v>
                </c:pt>
                <c:pt idx="262">
                  <c:v>64.724334743403404</c:v>
                </c:pt>
                <c:pt idx="263">
                  <c:v>66.298895185570061</c:v>
                </c:pt>
                <c:pt idx="264">
                  <c:v>68.019748557136012</c:v>
                </c:pt>
                <c:pt idx="265">
                  <c:v>69.442039583464052</c:v>
                </c:pt>
                <c:pt idx="266">
                  <c:v>70.77253177269391</c:v>
                </c:pt>
                <c:pt idx="267">
                  <c:v>71.172554336612322</c:v>
                </c:pt>
                <c:pt idx="268">
                  <c:v>71.26073669260964</c:v>
                </c:pt>
                <c:pt idx="269">
                  <c:v>68.771864332837183</c:v>
                </c:pt>
                <c:pt idx="270">
                  <c:v>65.816768880080687</c:v>
                </c:pt>
                <c:pt idx="271">
                  <c:v>59.560621079670966</c:v>
                </c:pt>
                <c:pt idx="272">
                  <c:v>52.971818321145783</c:v>
                </c:pt>
                <c:pt idx="273">
                  <c:v>48.103957411616186</c:v>
                </c:pt>
                <c:pt idx="274">
                  <c:v>44.885892092993103</c:v>
                </c:pt>
                <c:pt idx="275">
                  <c:v>43.100990405953674</c:v>
                </c:pt>
                <c:pt idx="276">
                  <c:v>42.644216334923797</c:v>
                </c:pt>
                <c:pt idx="277">
                  <c:v>41.755975142858496</c:v>
                </c:pt>
                <c:pt idx="278">
                  <c:v>42.157596955102122</c:v>
                </c:pt>
                <c:pt idx="279">
                  <c:v>42.527102903160134</c:v>
                </c:pt>
                <c:pt idx="280">
                  <c:v>41.921688919008574</c:v>
                </c:pt>
                <c:pt idx="281">
                  <c:v>42.387615984148844</c:v>
                </c:pt>
                <c:pt idx="282">
                  <c:v>41.224174596281941</c:v>
                </c:pt>
                <c:pt idx="283">
                  <c:v>39.227088637008578</c:v>
                </c:pt>
                <c:pt idx="284">
                  <c:v>36.973958430412928</c:v>
                </c:pt>
                <c:pt idx="285">
                  <c:v>35.266624064124656</c:v>
                </c:pt>
                <c:pt idx="286">
                  <c:v>34.544893446644288</c:v>
                </c:pt>
                <c:pt idx="287">
                  <c:v>34.164848988088785</c:v>
                </c:pt>
                <c:pt idx="288">
                  <c:v>33.622285270458931</c:v>
                </c:pt>
                <c:pt idx="289">
                  <c:v>33.09562399037759</c:v>
                </c:pt>
                <c:pt idx="290">
                  <c:v>32.880062652266872</c:v>
                </c:pt>
                <c:pt idx="291">
                  <c:v>31.778449490329788</c:v>
                </c:pt>
                <c:pt idx="292">
                  <c:v>30.437451505725519</c:v>
                </c:pt>
                <c:pt idx="293">
                  <c:v>28.721180757412942</c:v>
                </c:pt>
                <c:pt idx="294">
                  <c:v>27.042197318721861</c:v>
                </c:pt>
                <c:pt idx="295">
                  <c:v>25.955782443969884</c:v>
                </c:pt>
                <c:pt idx="296">
                  <c:v>25.682823701580098</c:v>
                </c:pt>
                <c:pt idx="297">
                  <c:v>25.429008851028239</c:v>
                </c:pt>
                <c:pt idx="298">
                  <c:v>25.312234571198303</c:v>
                </c:pt>
                <c:pt idx="299">
                  <c:v>25.670119974491875</c:v>
                </c:pt>
                <c:pt idx="300">
                  <c:v>26.117361669154544</c:v>
                </c:pt>
                <c:pt idx="301">
                  <c:v>27.120289215421248</c:v>
                </c:pt>
                <c:pt idx="302">
                  <c:v>27.854937737898283</c:v>
                </c:pt>
                <c:pt idx="303">
                  <c:v>28.903440992423711</c:v>
                </c:pt>
                <c:pt idx="304">
                  <c:v>29.7263378051146</c:v>
                </c:pt>
                <c:pt idx="305">
                  <c:v>30.067244276517503</c:v>
                </c:pt>
                <c:pt idx="306">
                  <c:v>30.61228828233704</c:v>
                </c:pt>
                <c:pt idx="307">
                  <c:v>30.716912932391939</c:v>
                </c:pt>
                <c:pt idx="308">
                  <c:v>30.641311965542275</c:v>
                </c:pt>
                <c:pt idx="309">
                  <c:v>30.872047600113547</c:v>
                </c:pt>
                <c:pt idx="310">
                  <c:v>31.281723967671539</c:v>
                </c:pt>
                <c:pt idx="311">
                  <c:v>32.279583222132743</c:v>
                </c:pt>
                <c:pt idx="312">
                  <c:v>32.967548901238494</c:v>
                </c:pt>
                <c:pt idx="313">
                  <c:v>34.410389321640466</c:v>
                </c:pt>
                <c:pt idx="314">
                  <c:v>35.843260115012285</c:v>
                </c:pt>
                <c:pt idx="315">
                  <c:v>37.596043826291591</c:v>
                </c:pt>
                <c:pt idx="316">
                  <c:v>39.820811828088623</c:v>
                </c:pt>
                <c:pt idx="317">
                  <c:v>41.942492099969499</c:v>
                </c:pt>
                <c:pt idx="318">
                  <c:v>44.801856457881996</c:v>
                </c:pt>
                <c:pt idx="319">
                  <c:v>47.840605232535985</c:v>
                </c:pt>
                <c:pt idx="320">
                  <c:v>51.363527627192006</c:v>
                </c:pt>
                <c:pt idx="321">
                  <c:v>54.444753488086725</c:v>
                </c:pt>
                <c:pt idx="322">
                  <c:v>55.771514415440286</c:v>
                </c:pt>
                <c:pt idx="323">
                  <c:v>51.949531446351543</c:v>
                </c:pt>
                <c:pt idx="324">
                  <c:v>42.235934941493824</c:v>
                </c:pt>
                <c:pt idx="325">
                  <c:v>30.917231014028374</c:v>
                </c:pt>
                <c:pt idx="326">
                  <c:v>22.942852060606107</c:v>
                </c:pt>
                <c:pt idx="327">
                  <c:v>19.686359542423403</c:v>
                </c:pt>
                <c:pt idx="328">
                  <c:v>18.131480262601993</c:v>
                </c:pt>
                <c:pt idx="329">
                  <c:v>17.743883897393889</c:v>
                </c:pt>
                <c:pt idx="330">
                  <c:v>17.451127244011211</c:v>
                </c:pt>
                <c:pt idx="331">
                  <c:v>17.492145068414846</c:v>
                </c:pt>
                <c:pt idx="332">
                  <c:v>17.608207006043219</c:v>
                </c:pt>
                <c:pt idx="333">
                  <c:v>17.968133874647002</c:v>
                </c:pt>
                <c:pt idx="334">
                  <c:v>18.082465587295736</c:v>
                </c:pt>
                <c:pt idx="335">
                  <c:v>18.353551822472213</c:v>
                </c:pt>
                <c:pt idx="336">
                  <c:v>18.159502128638554</c:v>
                </c:pt>
                <c:pt idx="337">
                  <c:v>18.752971805148267</c:v>
                </c:pt>
                <c:pt idx="338">
                  <c:v>18.871924844648554</c:v>
                </c:pt>
                <c:pt idx="339">
                  <c:v>19.22449611203238</c:v>
                </c:pt>
                <c:pt idx="340">
                  <c:v>19.188174911229339</c:v>
                </c:pt>
                <c:pt idx="341">
                  <c:v>19.765262372100324</c:v>
                </c:pt>
                <c:pt idx="342">
                  <c:v>19.810352156446989</c:v>
                </c:pt>
                <c:pt idx="343">
                  <c:v>20.23444007558496</c:v>
                </c:pt>
                <c:pt idx="344">
                  <c:v>20.132627687202543</c:v>
                </c:pt>
                <c:pt idx="345">
                  <c:v>20.182868440023789</c:v>
                </c:pt>
                <c:pt idx="346">
                  <c:v>19.791108352808191</c:v>
                </c:pt>
                <c:pt idx="347">
                  <c:v>19.55439039142821</c:v>
                </c:pt>
                <c:pt idx="348">
                  <c:v>19.245038088113056</c:v>
                </c:pt>
                <c:pt idx="349">
                  <c:v>18.869395207818211</c:v>
                </c:pt>
                <c:pt idx="350">
                  <c:v>18.497901896313515</c:v>
                </c:pt>
                <c:pt idx="351">
                  <c:v>18.49229552525021</c:v>
                </c:pt>
                <c:pt idx="352">
                  <c:v>18.197785722828261</c:v>
                </c:pt>
                <c:pt idx="353">
                  <c:v>18.484504999874677</c:v>
                </c:pt>
                <c:pt idx="354">
                  <c:v>18.919299847385673</c:v>
                </c:pt>
                <c:pt idx="355">
                  <c:v>19.421106825465355</c:v>
                </c:pt>
                <c:pt idx="356">
                  <c:v>19.557888686966656</c:v>
                </c:pt>
                <c:pt idx="357">
                  <c:v>20.195771315444123</c:v>
                </c:pt>
                <c:pt idx="358">
                  <c:v>20.398369910526529</c:v>
                </c:pt>
                <c:pt idx="359">
                  <c:v>21.040687242905051</c:v>
                </c:pt>
                <c:pt idx="360">
                  <c:v>21.336810443671151</c:v>
                </c:pt>
                <c:pt idx="361">
                  <c:v>21.910801416223222</c:v>
                </c:pt>
                <c:pt idx="362">
                  <c:v>22.065090929551872</c:v>
                </c:pt>
                <c:pt idx="363">
                  <c:v>22.514566123795753</c:v>
                </c:pt>
                <c:pt idx="364">
                  <c:v>22.69146440222152</c:v>
                </c:pt>
                <c:pt idx="365">
                  <c:v>23.034707051721021</c:v>
                </c:pt>
                <c:pt idx="366">
                  <c:v>23.046174064346225</c:v>
                </c:pt>
                <c:pt idx="367">
                  <c:v>22.905658562717935</c:v>
                </c:pt>
                <c:pt idx="368">
                  <c:v>23.130335691666119</c:v>
                </c:pt>
                <c:pt idx="369">
                  <c:v>22.912235090367624</c:v>
                </c:pt>
                <c:pt idx="370">
                  <c:v>23.148565340228735</c:v>
                </c:pt>
                <c:pt idx="371">
                  <c:v>23.272913929074502</c:v>
                </c:pt>
                <c:pt idx="372">
                  <c:v>23.218026574522366</c:v>
                </c:pt>
                <c:pt idx="373">
                  <c:v>23.186208122292914</c:v>
                </c:pt>
                <c:pt idx="374">
                  <c:v>22.79653153219931</c:v>
                </c:pt>
                <c:pt idx="375">
                  <c:v>22.759989011722229</c:v>
                </c:pt>
                <c:pt idx="376">
                  <c:v>22.468575131974976</c:v>
                </c:pt>
                <c:pt idx="377">
                  <c:v>21.89556488170043</c:v>
                </c:pt>
                <c:pt idx="378">
                  <c:v>21.446182073635008</c:v>
                </c:pt>
                <c:pt idx="379">
                  <c:v>21.086852850754632</c:v>
                </c:pt>
                <c:pt idx="380">
                  <c:v>20.390722043348106</c:v>
                </c:pt>
                <c:pt idx="381">
                  <c:v>19.812433443391793</c:v>
                </c:pt>
                <c:pt idx="382">
                  <c:v>19.222022004714198</c:v>
                </c:pt>
                <c:pt idx="383">
                  <c:v>18.544796825807708</c:v>
                </c:pt>
                <c:pt idx="384">
                  <c:v>18.002993020667958</c:v>
                </c:pt>
                <c:pt idx="385">
                  <c:v>17.338054695368477</c:v>
                </c:pt>
                <c:pt idx="386">
                  <c:v>16.767986940511786</c:v>
                </c:pt>
                <c:pt idx="387">
                  <c:v>16.027425422295714</c:v>
                </c:pt>
                <c:pt idx="388">
                  <c:v>15.551369819503858</c:v>
                </c:pt>
                <c:pt idx="389">
                  <c:v>15.042828474634469</c:v>
                </c:pt>
                <c:pt idx="390">
                  <c:v>14.398333724363189</c:v>
                </c:pt>
                <c:pt idx="391">
                  <c:v>14.117501737993276</c:v>
                </c:pt>
                <c:pt idx="392">
                  <c:v>13.814434655515566</c:v>
                </c:pt>
                <c:pt idx="393">
                  <c:v>13.294232680661487</c:v>
                </c:pt>
                <c:pt idx="394">
                  <c:v>13.007613468437116</c:v>
                </c:pt>
                <c:pt idx="395">
                  <c:v>13.109473409393548</c:v>
                </c:pt>
                <c:pt idx="396">
                  <c:v>12.673553946358039</c:v>
                </c:pt>
                <c:pt idx="397">
                  <c:v>12.581790823553886</c:v>
                </c:pt>
                <c:pt idx="398">
                  <c:v>12.491529656203671</c:v>
                </c:pt>
                <c:pt idx="399">
                  <c:v>12.250544401147351</c:v>
                </c:pt>
                <c:pt idx="400">
                  <c:v>11.940872308546414</c:v>
                </c:pt>
              </c:numCache>
            </c:numRef>
          </c:yVal>
          <c:smooth val="1"/>
          <c:extLst>
            <c:ext xmlns:c16="http://schemas.microsoft.com/office/drawing/2014/chart" uri="{C3380CC4-5D6E-409C-BE32-E72D297353CC}">
              <c16:uniqueId val="{00000007-AE74-476B-9B96-4F9C790085E0}"/>
            </c:ext>
          </c:extLst>
        </c:ser>
        <c:ser>
          <c:idx val="8"/>
          <c:order val="8"/>
          <c:tx>
            <c:strRef>
              <c:f>'Typical AS7341 filters'!$J$4</c:f>
              <c:strCache>
                <c:ptCount val="1"/>
                <c:pt idx="0">
                  <c:v>CLEAR - 256x</c:v>
                </c:pt>
              </c:strCache>
            </c:strRef>
          </c:tx>
          <c:spPr>
            <a:ln w="19050" cap="rnd">
              <a:solidFill>
                <a:schemeClr val="accent3">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filters'!$J$5:$J$405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6.3107952771419402</c:v>
                </c:pt>
                <c:pt idx="44">
                  <c:v>15.358377696776108</c:v>
                </c:pt>
                <c:pt idx="45">
                  <c:v>32.926330169243791</c:v>
                </c:pt>
                <c:pt idx="46">
                  <c:v>55.416570253540144</c:v>
                </c:pt>
                <c:pt idx="47">
                  <c:v>71.074560414196924</c:v>
                </c:pt>
                <c:pt idx="48">
                  <c:v>105.52291055930908</c:v>
                </c:pt>
                <c:pt idx="49">
                  <c:v>135.81908089736265</c:v>
                </c:pt>
                <c:pt idx="50">
                  <c:v>164.97115804470545</c:v>
                </c:pt>
                <c:pt idx="51">
                  <c:v>195.8681315697668</c:v>
                </c:pt>
                <c:pt idx="52">
                  <c:v>226.15558215403101</c:v>
                </c:pt>
                <c:pt idx="53">
                  <c:v>252.60810068971622</c:v>
                </c:pt>
                <c:pt idx="54">
                  <c:v>273.23597741258379</c:v>
                </c:pt>
                <c:pt idx="55">
                  <c:v>292.8230709751324</c:v>
                </c:pt>
                <c:pt idx="56">
                  <c:v>304.54342991005916</c:v>
                </c:pt>
                <c:pt idx="57">
                  <c:v>322.18731400363089</c:v>
                </c:pt>
                <c:pt idx="58">
                  <c:v>331.91807856416716</c:v>
                </c:pt>
                <c:pt idx="59">
                  <c:v>342.69490705746682</c:v>
                </c:pt>
                <c:pt idx="60">
                  <c:v>343.85267456648432</c:v>
                </c:pt>
                <c:pt idx="61">
                  <c:v>361.65906984422452</c:v>
                </c:pt>
                <c:pt idx="62">
                  <c:v>369.90791033217431</c:v>
                </c:pt>
                <c:pt idx="63">
                  <c:v>386.53117910521047</c:v>
                </c:pt>
                <c:pt idx="64">
                  <c:v>386.89319676503374</c:v>
                </c:pt>
                <c:pt idx="65">
                  <c:v>396.25771476276259</c:v>
                </c:pt>
                <c:pt idx="66">
                  <c:v>401.86467666311688</c:v>
                </c:pt>
                <c:pt idx="67">
                  <c:v>409.50373031509707</c:v>
                </c:pt>
                <c:pt idx="68">
                  <c:v>417.79178503438067</c:v>
                </c:pt>
                <c:pt idx="69">
                  <c:v>425.76185352942503</c:v>
                </c:pt>
                <c:pt idx="70">
                  <c:v>432.12832110031007</c:v>
                </c:pt>
                <c:pt idx="71">
                  <c:v>439.57305876778855</c:v>
                </c:pt>
                <c:pt idx="72">
                  <c:v>443.32038648219361</c:v>
                </c:pt>
                <c:pt idx="73">
                  <c:v>456.84733153748545</c:v>
                </c:pt>
                <c:pt idx="74">
                  <c:v>465.0348922740647</c:v>
                </c:pt>
                <c:pt idx="75">
                  <c:v>473.05832949613534</c:v>
                </c:pt>
                <c:pt idx="76">
                  <c:v>479.29516559587927</c:v>
                </c:pt>
                <c:pt idx="77">
                  <c:v>484.1248311963318</c:v>
                </c:pt>
                <c:pt idx="78">
                  <c:v>493.75457093151749</c:v>
                </c:pt>
                <c:pt idx="79">
                  <c:v>502.02251971222847</c:v>
                </c:pt>
                <c:pt idx="80">
                  <c:v>507.29895645504013</c:v>
                </c:pt>
                <c:pt idx="81">
                  <c:v>517.65311750745013</c:v>
                </c:pt>
                <c:pt idx="82">
                  <c:v>524.62614690181601</c:v>
                </c:pt>
                <c:pt idx="83">
                  <c:v>528.72506333979561</c:v>
                </c:pt>
                <c:pt idx="84">
                  <c:v>537.77344092939268</c:v>
                </c:pt>
                <c:pt idx="85">
                  <c:v>545.21332342877167</c:v>
                </c:pt>
                <c:pt idx="86">
                  <c:v>549.99067169319324</c:v>
                </c:pt>
                <c:pt idx="87">
                  <c:v>558.94096567801614</c:v>
                </c:pt>
                <c:pt idx="88">
                  <c:v>566.64575586344381</c:v>
                </c:pt>
                <c:pt idx="89">
                  <c:v>570.00942564649813</c:v>
                </c:pt>
                <c:pt idx="90">
                  <c:v>578.0631646774782</c:v>
                </c:pt>
                <c:pt idx="91">
                  <c:v>584.89898044286508</c:v>
                </c:pt>
                <c:pt idx="92">
                  <c:v>593.05153504455814</c:v>
                </c:pt>
                <c:pt idx="93">
                  <c:v>598.65586413873939</c:v>
                </c:pt>
                <c:pt idx="94">
                  <c:v>605.39158623807873</c:v>
                </c:pt>
                <c:pt idx="95">
                  <c:v>612.42374122718252</c:v>
                </c:pt>
                <c:pt idx="96">
                  <c:v>620.99826945994459</c:v>
                </c:pt>
                <c:pt idx="97">
                  <c:v>623.91923486107601</c:v>
                </c:pt>
                <c:pt idx="98">
                  <c:v>632.52086217471913</c:v>
                </c:pt>
                <c:pt idx="99">
                  <c:v>638.49310810237978</c:v>
                </c:pt>
                <c:pt idx="100">
                  <c:v>647.63212996981713</c:v>
                </c:pt>
                <c:pt idx="101">
                  <c:v>653.85780639059351</c:v>
                </c:pt>
                <c:pt idx="102">
                  <c:v>661.83899187908821</c:v>
                </c:pt>
                <c:pt idx="103">
                  <c:v>668.68859988832173</c:v>
                </c:pt>
                <c:pt idx="104">
                  <c:v>668.8159313932282</c:v>
                </c:pt>
                <c:pt idx="105">
                  <c:v>677.03067151632138</c:v>
                </c:pt>
                <c:pt idx="106">
                  <c:v>684.15365193478181</c:v>
                </c:pt>
                <c:pt idx="107">
                  <c:v>689.83503121635476</c:v>
                </c:pt>
                <c:pt idx="108">
                  <c:v>690.83326658383555</c:v>
                </c:pt>
                <c:pt idx="109">
                  <c:v>699.32464808015914</c:v>
                </c:pt>
                <c:pt idx="110">
                  <c:v>703.16476709151618</c:v>
                </c:pt>
                <c:pt idx="111">
                  <c:v>710.75765421095173</c:v>
                </c:pt>
                <c:pt idx="112">
                  <c:v>713.71965080879443</c:v>
                </c:pt>
                <c:pt idx="113">
                  <c:v>730.19371952878976</c:v>
                </c:pt>
                <c:pt idx="114">
                  <c:v>736.838522786103</c:v>
                </c:pt>
                <c:pt idx="115">
                  <c:v>743.57407924202187</c:v>
                </c:pt>
                <c:pt idx="116">
                  <c:v>747.08700907796799</c:v>
                </c:pt>
                <c:pt idx="117">
                  <c:v>749.27156382555029</c:v>
                </c:pt>
                <c:pt idx="118">
                  <c:v>760.11943550652586</c:v>
                </c:pt>
                <c:pt idx="119">
                  <c:v>779.12495069920374</c:v>
                </c:pt>
                <c:pt idx="120">
                  <c:v>787.48986562677044</c:v>
                </c:pt>
                <c:pt idx="121">
                  <c:v>793.99265111122816</c:v>
                </c:pt>
                <c:pt idx="122">
                  <c:v>800.68192059153739</c:v>
                </c:pt>
                <c:pt idx="123">
                  <c:v>806.94066590871</c:v>
                </c:pt>
                <c:pt idx="124">
                  <c:v>812.55391579532852</c:v>
                </c:pt>
                <c:pt idx="125">
                  <c:v>821.16203670707637</c:v>
                </c:pt>
                <c:pt idx="126">
                  <c:v>827.68241842810835</c:v>
                </c:pt>
                <c:pt idx="127">
                  <c:v>836.20918880022134</c:v>
                </c:pt>
                <c:pt idx="128">
                  <c:v>842.20427116479084</c:v>
                </c:pt>
                <c:pt idx="129">
                  <c:v>847.70024584455007</c:v>
                </c:pt>
                <c:pt idx="130">
                  <c:v>853.67817988989907</c:v>
                </c:pt>
                <c:pt idx="131">
                  <c:v>860.58467252691457</c:v>
                </c:pt>
                <c:pt idx="132">
                  <c:v>867.18766879729083</c:v>
                </c:pt>
                <c:pt idx="133">
                  <c:v>874.20713532039167</c:v>
                </c:pt>
                <c:pt idx="134">
                  <c:v>879.61282671370861</c:v>
                </c:pt>
                <c:pt idx="135">
                  <c:v>884.87694115839906</c:v>
                </c:pt>
                <c:pt idx="136">
                  <c:v>890.65127169825462</c:v>
                </c:pt>
                <c:pt idx="137">
                  <c:v>895.78357892972679</c:v>
                </c:pt>
                <c:pt idx="138">
                  <c:v>902.60176377550351</c:v>
                </c:pt>
                <c:pt idx="139">
                  <c:v>907.31624337448216</c:v>
                </c:pt>
                <c:pt idx="140">
                  <c:v>914.38260215198591</c:v>
                </c:pt>
                <c:pt idx="141">
                  <c:v>919.37440659726133</c:v>
                </c:pt>
                <c:pt idx="142">
                  <c:v>923.65389832490098</c:v>
                </c:pt>
                <c:pt idx="143">
                  <c:v>926.16837009158564</c:v>
                </c:pt>
                <c:pt idx="144">
                  <c:v>930.36869030096864</c:v>
                </c:pt>
                <c:pt idx="145">
                  <c:v>934.09382932111805</c:v>
                </c:pt>
                <c:pt idx="146">
                  <c:v>942.61044182516378</c:v>
                </c:pt>
                <c:pt idx="147">
                  <c:v>949.89501833864858</c:v>
                </c:pt>
                <c:pt idx="148">
                  <c:v>955.8512533945476</c:v>
                </c:pt>
                <c:pt idx="149">
                  <c:v>960.63899789652805</c:v>
                </c:pt>
                <c:pt idx="150">
                  <c:v>963.91472157936812</c:v>
                </c:pt>
                <c:pt idx="151">
                  <c:v>970.07196837152901</c:v>
                </c:pt>
                <c:pt idx="152">
                  <c:v>974.7273641497078</c:v>
                </c:pt>
                <c:pt idx="153">
                  <c:v>980.22922016864936</c:v>
                </c:pt>
                <c:pt idx="154">
                  <c:v>985.89540906525497</c:v>
                </c:pt>
                <c:pt idx="155">
                  <c:v>991.80176070299979</c:v>
                </c:pt>
                <c:pt idx="156">
                  <c:v>996.54777607828521</c:v>
                </c:pt>
                <c:pt idx="157">
                  <c:v>1001.0126472310742</c:v>
                </c:pt>
                <c:pt idx="158">
                  <c:v>1004.8757330636093</c:v>
                </c:pt>
                <c:pt idx="159">
                  <c:v>1009.7486948099424</c:v>
                </c:pt>
                <c:pt idx="160">
                  <c:v>1014.5954425867625</c:v>
                </c:pt>
                <c:pt idx="161">
                  <c:v>1020.3521683963767</c:v>
                </c:pt>
                <c:pt idx="162">
                  <c:v>1027.07121290839</c:v>
                </c:pt>
                <c:pt idx="163">
                  <c:v>1032.5073507817219</c:v>
                </c:pt>
                <c:pt idx="164">
                  <c:v>1037.7709093904343</c:v>
                </c:pt>
                <c:pt idx="165">
                  <c:v>1040.2204198210825</c:v>
                </c:pt>
                <c:pt idx="166">
                  <c:v>1043.4837686542714</c:v>
                </c:pt>
                <c:pt idx="167">
                  <c:v>1046.3211758132722</c:v>
                </c:pt>
                <c:pt idx="168">
                  <c:v>1050.8119127148386</c:v>
                </c:pt>
                <c:pt idx="169">
                  <c:v>1055.1068736266318</c:v>
                </c:pt>
                <c:pt idx="170">
                  <c:v>1060.4721281923696</c:v>
                </c:pt>
                <c:pt idx="171">
                  <c:v>1065.9593546889271</c:v>
                </c:pt>
                <c:pt idx="172">
                  <c:v>1070.8687152759562</c:v>
                </c:pt>
                <c:pt idx="173">
                  <c:v>1075.8183913229814</c:v>
                </c:pt>
                <c:pt idx="174">
                  <c:v>1079.9696833381056</c:v>
                </c:pt>
                <c:pt idx="175">
                  <c:v>1083.8565664496539</c:v>
                </c:pt>
                <c:pt idx="176">
                  <c:v>1087.1829225918075</c:v>
                </c:pt>
                <c:pt idx="177">
                  <c:v>1089.4289348011275</c:v>
                </c:pt>
                <c:pt idx="178">
                  <c:v>1094.3316289132113</c:v>
                </c:pt>
                <c:pt idx="179">
                  <c:v>1099.4404111961976</c:v>
                </c:pt>
                <c:pt idx="180">
                  <c:v>1104.5323310935344</c:v>
                </c:pt>
                <c:pt idx="181">
                  <c:v>1109.7725543313534</c:v>
                </c:pt>
                <c:pt idx="182">
                  <c:v>1114.1204751308021</c:v>
                </c:pt>
                <c:pt idx="183">
                  <c:v>1118.6552095942664</c:v>
                </c:pt>
                <c:pt idx="184">
                  <c:v>1122.5280236686726</c:v>
                </c:pt>
                <c:pt idx="185">
                  <c:v>1125.7292094054233</c:v>
                </c:pt>
                <c:pt idx="186">
                  <c:v>1129.5871526172614</c:v>
                </c:pt>
                <c:pt idx="187">
                  <c:v>1131.439776748972</c:v>
                </c:pt>
                <c:pt idx="188">
                  <c:v>1136.7374495153431</c:v>
                </c:pt>
                <c:pt idx="189">
                  <c:v>1140.7667833748847</c:v>
                </c:pt>
                <c:pt idx="190">
                  <c:v>1146.8465833232076</c:v>
                </c:pt>
                <c:pt idx="191">
                  <c:v>1150.9552921381119</c:v>
                </c:pt>
                <c:pt idx="192">
                  <c:v>1155.5697386539885</c:v>
                </c:pt>
                <c:pt idx="193">
                  <c:v>1159.7906279763126</c:v>
                </c:pt>
                <c:pt idx="194">
                  <c:v>1162.6768531223759</c:v>
                </c:pt>
                <c:pt idx="195">
                  <c:v>1165.3143028291656</c:v>
                </c:pt>
                <c:pt idx="196">
                  <c:v>1168.1671551893664</c:v>
                </c:pt>
                <c:pt idx="197">
                  <c:v>1171.2141043086019</c:v>
                </c:pt>
                <c:pt idx="198">
                  <c:v>1173.9020352876744</c:v>
                </c:pt>
                <c:pt idx="199">
                  <c:v>1177.3991226999422</c:v>
                </c:pt>
                <c:pt idx="200">
                  <c:v>1180.6816721924697</c:v>
                </c:pt>
                <c:pt idx="201">
                  <c:v>1184.5208469642153</c:v>
                </c:pt>
                <c:pt idx="202">
                  <c:v>1188.0074303849447</c:v>
                </c:pt>
                <c:pt idx="203">
                  <c:v>1190.4676214297453</c:v>
                </c:pt>
                <c:pt idx="204">
                  <c:v>1193.5572320831982</c:v>
                </c:pt>
                <c:pt idx="205">
                  <c:v>1195.294628787778</c:v>
                </c:pt>
                <c:pt idx="206">
                  <c:v>1197.7456811337036</c:v>
                </c:pt>
                <c:pt idx="207">
                  <c:v>1199.3474335451338</c:v>
                </c:pt>
                <c:pt idx="208">
                  <c:v>1202.0169071158327</c:v>
                </c:pt>
                <c:pt idx="209">
                  <c:v>1205.6587756027197</c:v>
                </c:pt>
                <c:pt idx="210">
                  <c:v>1209.3308627835891</c:v>
                </c:pt>
                <c:pt idx="211">
                  <c:v>1213.0251182211948</c:v>
                </c:pt>
                <c:pt idx="212">
                  <c:v>1215.6060810106185</c:v>
                </c:pt>
                <c:pt idx="213">
                  <c:v>1218.8414180923999</c:v>
                </c:pt>
                <c:pt idx="214">
                  <c:v>1219.8738030794116</c:v>
                </c:pt>
                <c:pt idx="215">
                  <c:v>1220.1846194261186</c:v>
                </c:pt>
                <c:pt idx="216">
                  <c:v>1220.490961609476</c:v>
                </c:pt>
                <c:pt idx="217">
                  <c:v>1220.2867316303762</c:v>
                </c:pt>
                <c:pt idx="218">
                  <c:v>1220.3357569731522</c:v>
                </c:pt>
                <c:pt idx="219">
                  <c:v>1220.734796178785</c:v>
                </c:pt>
                <c:pt idx="220">
                  <c:v>1222.3427805015028</c:v>
                </c:pt>
                <c:pt idx="221">
                  <c:v>1224.4365075009362</c:v>
                </c:pt>
                <c:pt idx="222">
                  <c:v>1226.1566207040421</c:v>
                </c:pt>
                <c:pt idx="223">
                  <c:v>1228.8861152851262</c:v>
                </c:pt>
                <c:pt idx="224">
                  <c:v>1229.9120841374736</c:v>
                </c:pt>
                <c:pt idx="225">
                  <c:v>1231.3180955522382</c:v>
                </c:pt>
                <c:pt idx="226">
                  <c:v>1232.6379464036734</c:v>
                </c:pt>
                <c:pt idx="227">
                  <c:v>1232.9094527659979</c:v>
                </c:pt>
                <c:pt idx="228">
                  <c:v>1232.3642529265639</c:v>
                </c:pt>
                <c:pt idx="229">
                  <c:v>1232.000052529484</c:v>
                </c:pt>
                <c:pt idx="230">
                  <c:v>1229.7594560507823</c:v>
                </c:pt>
                <c:pt idx="231">
                  <c:v>1228.8393825703572</c:v>
                </c:pt>
                <c:pt idx="232">
                  <c:v>1228.5665588706979</c:v>
                </c:pt>
                <c:pt idx="233">
                  <c:v>1227.4473453714847</c:v>
                </c:pt>
                <c:pt idx="234">
                  <c:v>1228.777921110571</c:v>
                </c:pt>
                <c:pt idx="235">
                  <c:v>1228.8189584583506</c:v>
                </c:pt>
                <c:pt idx="236">
                  <c:v>1228.4437860182641</c:v>
                </c:pt>
                <c:pt idx="237">
                  <c:v>1227.8458270643468</c:v>
                </c:pt>
                <c:pt idx="238">
                  <c:v>1228.1604131352965</c:v>
                </c:pt>
                <c:pt idx="239">
                  <c:v>1228.3370649505898</c:v>
                </c:pt>
                <c:pt idx="240">
                  <c:v>1225.0137272324691</c:v>
                </c:pt>
                <c:pt idx="241">
                  <c:v>1222.1887947272928</c:v>
                </c:pt>
                <c:pt idx="242">
                  <c:v>1219.8003130311417</c:v>
                </c:pt>
                <c:pt idx="243">
                  <c:v>1216.440100052723</c:v>
                </c:pt>
                <c:pt idx="244">
                  <c:v>1214.0976055498652</c:v>
                </c:pt>
                <c:pt idx="245">
                  <c:v>1211.5760413673088</c:v>
                </c:pt>
                <c:pt idx="246">
                  <c:v>1208.4224029202596</c:v>
                </c:pt>
                <c:pt idx="247">
                  <c:v>1205.6133985693775</c:v>
                </c:pt>
                <c:pt idx="248">
                  <c:v>1203.9360006528027</c:v>
                </c:pt>
                <c:pt idx="249">
                  <c:v>1201.0597295982632</c:v>
                </c:pt>
                <c:pt idx="250">
                  <c:v>1198.9691424846326</c:v>
                </c:pt>
                <c:pt idx="251">
                  <c:v>1195.5718960391405</c:v>
                </c:pt>
                <c:pt idx="252">
                  <c:v>1190.7499001228509</c:v>
                </c:pt>
                <c:pt idx="253">
                  <c:v>1186.7424825174853</c:v>
                </c:pt>
                <c:pt idx="254">
                  <c:v>1182.0685534142619</c:v>
                </c:pt>
                <c:pt idx="255">
                  <c:v>1176.819133031401</c:v>
                </c:pt>
                <c:pt idx="256">
                  <c:v>1170.6093021313295</c:v>
                </c:pt>
                <c:pt idx="257">
                  <c:v>1164.6137758347832</c:v>
                </c:pt>
                <c:pt idx="258">
                  <c:v>1158.6236800688916</c:v>
                </c:pt>
                <c:pt idx="259">
                  <c:v>1151.6424139456562</c:v>
                </c:pt>
                <c:pt idx="260">
                  <c:v>1144.3957591968181</c:v>
                </c:pt>
                <c:pt idx="261">
                  <c:v>1139.0972702645906</c:v>
                </c:pt>
                <c:pt idx="262">
                  <c:v>1133.4386026950879</c:v>
                </c:pt>
                <c:pt idx="263">
                  <c:v>1127.7333384352048</c:v>
                </c:pt>
                <c:pt idx="264">
                  <c:v>1121.8926043866479</c:v>
                </c:pt>
                <c:pt idx="265">
                  <c:v>1115.3858034958885</c:v>
                </c:pt>
                <c:pt idx="266">
                  <c:v>1109.6275133088432</c:v>
                </c:pt>
                <c:pt idx="267">
                  <c:v>1103.8138666576401</c:v>
                </c:pt>
                <c:pt idx="268">
                  <c:v>1096.4003553447508</c:v>
                </c:pt>
                <c:pt idx="269">
                  <c:v>1089.6566431029112</c:v>
                </c:pt>
                <c:pt idx="270">
                  <c:v>1081.9280209277617</c:v>
                </c:pt>
                <c:pt idx="271">
                  <c:v>1073.5288495980694</c:v>
                </c:pt>
                <c:pt idx="272">
                  <c:v>1065.5250811724727</c:v>
                </c:pt>
                <c:pt idx="273">
                  <c:v>1057.685763587911</c:v>
                </c:pt>
                <c:pt idx="274">
                  <c:v>1049.1830107727817</c:v>
                </c:pt>
                <c:pt idx="275">
                  <c:v>1041.8347997674414</c:v>
                </c:pt>
                <c:pt idx="276">
                  <c:v>1034.6024737833316</c:v>
                </c:pt>
                <c:pt idx="277">
                  <c:v>1026.5168006839376</c:v>
                </c:pt>
                <c:pt idx="278">
                  <c:v>1019.0252620821381</c:v>
                </c:pt>
                <c:pt idx="279">
                  <c:v>1011.1594424184856</c:v>
                </c:pt>
                <c:pt idx="280">
                  <c:v>1003.0749412714916</c:v>
                </c:pt>
                <c:pt idx="281">
                  <c:v>994.61397672349267</c:v>
                </c:pt>
                <c:pt idx="282">
                  <c:v>985.75798250105152</c:v>
                </c:pt>
                <c:pt idx="283">
                  <c:v>976.28107668141183</c:v>
                </c:pt>
                <c:pt idx="284">
                  <c:v>966.46279682007594</c:v>
                </c:pt>
                <c:pt idx="285">
                  <c:v>955.28671082453786</c:v>
                </c:pt>
                <c:pt idx="286">
                  <c:v>944.96998847594705</c:v>
                </c:pt>
                <c:pt idx="287">
                  <c:v>934.46322118105843</c:v>
                </c:pt>
                <c:pt idx="288">
                  <c:v>923.84870209056487</c:v>
                </c:pt>
                <c:pt idx="289">
                  <c:v>914.09813953513481</c:v>
                </c:pt>
                <c:pt idx="290">
                  <c:v>903.76136495538901</c:v>
                </c:pt>
                <c:pt idx="291">
                  <c:v>893.10384517845398</c:v>
                </c:pt>
                <c:pt idx="292">
                  <c:v>883.10883604806384</c:v>
                </c:pt>
                <c:pt idx="293">
                  <c:v>872.95819590559927</c:v>
                </c:pt>
                <c:pt idx="294">
                  <c:v>862.6460944672275</c:v>
                </c:pt>
                <c:pt idx="295">
                  <c:v>853.09770665333667</c:v>
                </c:pt>
                <c:pt idx="296">
                  <c:v>842.60415538113295</c:v>
                </c:pt>
                <c:pt idx="297">
                  <c:v>831.65573447287852</c:v>
                </c:pt>
                <c:pt idx="298">
                  <c:v>820.96429761955494</c:v>
                </c:pt>
                <c:pt idx="299">
                  <c:v>808.48769372491631</c:v>
                </c:pt>
                <c:pt idx="300">
                  <c:v>797.76668371235689</c:v>
                </c:pt>
                <c:pt idx="301">
                  <c:v>786.60478333826961</c:v>
                </c:pt>
                <c:pt idx="302">
                  <c:v>775.71435216810994</c:v>
                </c:pt>
                <c:pt idx="303">
                  <c:v>763.81263831916624</c:v>
                </c:pt>
                <c:pt idx="304">
                  <c:v>752.62683420653104</c:v>
                </c:pt>
                <c:pt idx="305">
                  <c:v>739.6758403133208</c:v>
                </c:pt>
                <c:pt idx="306">
                  <c:v>728.3173587172688</c:v>
                </c:pt>
                <c:pt idx="307">
                  <c:v>716.72796842247863</c:v>
                </c:pt>
                <c:pt idx="308">
                  <c:v>705.26429118004853</c:v>
                </c:pt>
                <c:pt idx="309">
                  <c:v>694.16558177566799</c:v>
                </c:pt>
                <c:pt idx="310">
                  <c:v>682.51939777871883</c:v>
                </c:pt>
                <c:pt idx="311">
                  <c:v>671.69005087757068</c:v>
                </c:pt>
                <c:pt idx="312">
                  <c:v>660.8011634603082</c:v>
                </c:pt>
                <c:pt idx="313">
                  <c:v>650.17525086678563</c:v>
                </c:pt>
                <c:pt idx="314">
                  <c:v>639.15776698528464</c:v>
                </c:pt>
                <c:pt idx="315">
                  <c:v>628.80313894616893</c:v>
                </c:pt>
                <c:pt idx="316">
                  <c:v>617.68347236116165</c:v>
                </c:pt>
                <c:pt idx="317">
                  <c:v>606.93253274073504</c:v>
                </c:pt>
                <c:pt idx="318">
                  <c:v>595.70210350752382</c:v>
                </c:pt>
                <c:pt idx="319">
                  <c:v>584.06519162850259</c:v>
                </c:pt>
                <c:pt idx="320">
                  <c:v>573.09031852531359</c:v>
                </c:pt>
                <c:pt idx="321">
                  <c:v>560.50175706325183</c:v>
                </c:pt>
                <c:pt idx="322">
                  <c:v>548.95476630687654</c:v>
                </c:pt>
                <c:pt idx="323">
                  <c:v>536.78315522629134</c:v>
                </c:pt>
                <c:pt idx="324">
                  <c:v>525.09079521202625</c:v>
                </c:pt>
                <c:pt idx="325">
                  <c:v>512.63310163534175</c:v>
                </c:pt>
                <c:pt idx="326">
                  <c:v>501.96943354578855</c:v>
                </c:pt>
                <c:pt idx="327">
                  <c:v>491.15798722791953</c:v>
                </c:pt>
                <c:pt idx="328">
                  <c:v>480.02887014870481</c:v>
                </c:pt>
                <c:pt idx="329">
                  <c:v>469.06285673203297</c:v>
                </c:pt>
                <c:pt idx="330">
                  <c:v>458.54060043493007</c:v>
                </c:pt>
                <c:pt idx="331">
                  <c:v>448.23621737813039</c:v>
                </c:pt>
                <c:pt idx="332">
                  <c:v>437.23027259754804</c:v>
                </c:pt>
                <c:pt idx="333">
                  <c:v>426.76314411606035</c:v>
                </c:pt>
                <c:pt idx="334">
                  <c:v>416.61049004414252</c:v>
                </c:pt>
                <c:pt idx="335">
                  <c:v>406.1412583547928</c:v>
                </c:pt>
                <c:pt idx="336">
                  <c:v>396.06500332289255</c:v>
                </c:pt>
                <c:pt idx="337">
                  <c:v>386.42015761147843</c:v>
                </c:pt>
                <c:pt idx="338">
                  <c:v>376.35568153303223</c:v>
                </c:pt>
                <c:pt idx="339">
                  <c:v>366.6495898486815</c:v>
                </c:pt>
                <c:pt idx="340">
                  <c:v>356.24260990569212</c:v>
                </c:pt>
                <c:pt idx="341">
                  <c:v>345.89209151175567</c:v>
                </c:pt>
                <c:pt idx="342">
                  <c:v>335.49058213036369</c:v>
                </c:pt>
                <c:pt idx="343">
                  <c:v>325.1050186121866</c:v>
                </c:pt>
                <c:pt idx="344">
                  <c:v>315.53590456968749</c:v>
                </c:pt>
                <c:pt idx="345">
                  <c:v>305.42414565512013</c:v>
                </c:pt>
                <c:pt idx="346">
                  <c:v>295.97713727626632</c:v>
                </c:pt>
                <c:pt idx="347">
                  <c:v>286.30579139147716</c:v>
                </c:pt>
                <c:pt idx="348">
                  <c:v>277.36360236914084</c:v>
                </c:pt>
                <c:pt idx="349">
                  <c:v>268.77917592531753</c:v>
                </c:pt>
                <c:pt idx="350">
                  <c:v>259.48041124631908</c:v>
                </c:pt>
                <c:pt idx="351">
                  <c:v>250.84254988957053</c:v>
                </c:pt>
                <c:pt idx="352">
                  <c:v>241.69836831073889</c:v>
                </c:pt>
                <c:pt idx="353">
                  <c:v>234.1130886170898</c:v>
                </c:pt>
                <c:pt idx="354">
                  <c:v>225.02500576057201</c:v>
                </c:pt>
                <c:pt idx="355">
                  <c:v>217.13083035382408</c:v>
                </c:pt>
                <c:pt idx="356">
                  <c:v>209.23384915293056</c:v>
                </c:pt>
                <c:pt idx="357">
                  <c:v>201.39081431049891</c:v>
                </c:pt>
                <c:pt idx="358">
                  <c:v>193.53747506804064</c:v>
                </c:pt>
                <c:pt idx="359">
                  <c:v>185.63656503940979</c:v>
                </c:pt>
                <c:pt idx="360">
                  <c:v>177.71317119531366</c:v>
                </c:pt>
                <c:pt idx="361">
                  <c:v>170.2462269784501</c:v>
                </c:pt>
                <c:pt idx="362">
                  <c:v>162.69513248688565</c:v>
                </c:pt>
                <c:pt idx="363">
                  <c:v>155.16230399866669</c:v>
                </c:pt>
                <c:pt idx="364">
                  <c:v>147.63373005249031</c:v>
                </c:pt>
                <c:pt idx="365">
                  <c:v>140.77536327693358</c:v>
                </c:pt>
                <c:pt idx="366">
                  <c:v>133.70933421116189</c:v>
                </c:pt>
                <c:pt idx="367">
                  <c:v>127.08500925459771</c:v>
                </c:pt>
                <c:pt idx="368">
                  <c:v>120.47049839409436</c:v>
                </c:pt>
                <c:pt idx="369">
                  <c:v>114.08097890802803</c:v>
                </c:pt>
                <c:pt idx="370">
                  <c:v>107.72986177567988</c:v>
                </c:pt>
                <c:pt idx="371">
                  <c:v>101.78477356627585</c:v>
                </c:pt>
                <c:pt idx="372">
                  <c:v>96.354810284267813</c:v>
                </c:pt>
                <c:pt idx="373">
                  <c:v>90.903574785342514</c:v>
                </c:pt>
                <c:pt idx="374">
                  <c:v>85.657625966796786</c:v>
                </c:pt>
                <c:pt idx="375">
                  <c:v>80.682116736165028</c:v>
                </c:pt>
                <c:pt idx="376">
                  <c:v>75.822955958960861</c:v>
                </c:pt>
                <c:pt idx="377">
                  <c:v>71.160585865526386</c:v>
                </c:pt>
                <c:pt idx="378">
                  <c:v>66.833856713749356</c:v>
                </c:pt>
                <c:pt idx="379">
                  <c:v>62.788967593940306</c:v>
                </c:pt>
                <c:pt idx="380">
                  <c:v>58.936638464162293</c:v>
                </c:pt>
                <c:pt idx="381">
                  <c:v>55.406494905485317</c:v>
                </c:pt>
                <c:pt idx="382">
                  <c:v>52.193604233441043</c:v>
                </c:pt>
                <c:pt idx="383">
                  <c:v>49.225526868504289</c:v>
                </c:pt>
                <c:pt idx="384">
                  <c:v>46.468102740139187</c:v>
                </c:pt>
                <c:pt idx="385">
                  <c:v>44.090131276112807</c:v>
                </c:pt>
                <c:pt idx="386">
                  <c:v>41.852354500712885</c:v>
                </c:pt>
                <c:pt idx="387">
                  <c:v>39.493740281099988</c:v>
                </c:pt>
                <c:pt idx="388">
                  <c:v>37.526131520976698</c:v>
                </c:pt>
                <c:pt idx="389">
                  <c:v>35.64201701647626</c:v>
                </c:pt>
                <c:pt idx="390">
                  <c:v>33.958334255573561</c:v>
                </c:pt>
                <c:pt idx="391">
                  <c:v>32.307359746561538</c:v>
                </c:pt>
                <c:pt idx="392">
                  <c:v>30.827285216495326</c:v>
                </c:pt>
                <c:pt idx="393">
                  <c:v>29.110960793038227</c:v>
                </c:pt>
                <c:pt idx="394">
                  <c:v>27.649691456468421</c:v>
                </c:pt>
                <c:pt idx="395">
                  <c:v>26.218946818787096</c:v>
                </c:pt>
                <c:pt idx="396">
                  <c:v>24.665734024632311</c:v>
                </c:pt>
                <c:pt idx="397">
                  <c:v>23.522478496209438</c:v>
                </c:pt>
                <c:pt idx="398">
                  <c:v>22.184410591618537</c:v>
                </c:pt>
                <c:pt idx="399">
                  <c:v>21.010710229900763</c:v>
                </c:pt>
                <c:pt idx="400">
                  <c:v>19.855964810211468</c:v>
                </c:pt>
              </c:numCache>
            </c:numRef>
          </c:yVal>
          <c:smooth val="1"/>
          <c:extLst>
            <c:ext xmlns:c16="http://schemas.microsoft.com/office/drawing/2014/chart" uri="{C3380CC4-5D6E-409C-BE32-E72D297353CC}">
              <c16:uniqueId val="{00000008-AE74-476B-9B96-4F9C790085E0}"/>
            </c:ext>
          </c:extLst>
        </c:ser>
        <c:ser>
          <c:idx val="9"/>
          <c:order val="9"/>
          <c:tx>
            <c:strRef>
              <c:f>'Typical AS7341 filters'!$K$4</c:f>
              <c:strCache>
                <c:ptCount val="1"/>
                <c:pt idx="0">
                  <c:v>DARK - 256x</c:v>
                </c:pt>
              </c:strCache>
            </c:strRef>
          </c:tx>
          <c:spPr>
            <a:ln w="19050" cap="rnd">
              <a:solidFill>
                <a:schemeClr val="accent4">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filters'!$K$5:$K$405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0.19209106457172881</c:v>
                </c:pt>
                <c:pt idx="277">
                  <c:v>0.37788212798966969</c:v>
                </c:pt>
                <c:pt idx="278">
                  <c:v>0.37143257229164867</c:v>
                </c:pt>
                <c:pt idx="279">
                  <c:v>0.91259877474592555</c:v>
                </c:pt>
                <c:pt idx="280">
                  <c:v>1.2540676172352994</c:v>
                </c:pt>
                <c:pt idx="281">
                  <c:v>1.407057792004941</c:v>
                </c:pt>
                <c:pt idx="282">
                  <c:v>1.8973469479460308</c:v>
                </c:pt>
                <c:pt idx="283">
                  <c:v>2.3671519005091382</c:v>
                </c:pt>
                <c:pt idx="284">
                  <c:v>2.321235058411574</c:v>
                </c:pt>
                <c:pt idx="285">
                  <c:v>3.412899102979805</c:v>
                </c:pt>
                <c:pt idx="286">
                  <c:v>3.024668089798348</c:v>
                </c:pt>
                <c:pt idx="287">
                  <c:v>3.5880891631326119</c:v>
                </c:pt>
                <c:pt idx="288">
                  <c:v>4.2791999435129551</c:v>
                </c:pt>
                <c:pt idx="289">
                  <c:v>4.7921265506429087</c:v>
                </c:pt>
                <c:pt idx="290">
                  <c:v>5.1375097894166988</c:v>
                </c:pt>
                <c:pt idx="291">
                  <c:v>5.4641677856675663</c:v>
                </c:pt>
                <c:pt idx="292">
                  <c:v>5.9183933483355169</c:v>
                </c:pt>
                <c:pt idx="293">
                  <c:v>5.7994691914006902</c:v>
                </c:pt>
                <c:pt idx="294">
                  <c:v>6.625338343086856</c:v>
                </c:pt>
                <c:pt idx="295">
                  <c:v>6.7538005338901232</c:v>
                </c:pt>
                <c:pt idx="296">
                  <c:v>7.1341176948833613</c:v>
                </c:pt>
                <c:pt idx="297">
                  <c:v>7.5015576110533297</c:v>
                </c:pt>
                <c:pt idx="298">
                  <c:v>7.6061394524290478</c:v>
                </c:pt>
                <c:pt idx="299">
                  <c:v>7.5072992378230952</c:v>
                </c:pt>
                <c:pt idx="300">
                  <c:v>8.0726390613750407</c:v>
                </c:pt>
                <c:pt idx="301">
                  <c:v>8.2641224647850162</c:v>
                </c:pt>
                <c:pt idx="302">
                  <c:v>7.8770110816187771</c:v>
                </c:pt>
                <c:pt idx="303">
                  <c:v>8.2901342381370338</c:v>
                </c:pt>
                <c:pt idx="304">
                  <c:v>8.5876086992553287</c:v>
                </c:pt>
                <c:pt idx="305">
                  <c:v>8.6524443961201456</c:v>
                </c:pt>
                <c:pt idx="306">
                  <c:v>8.9285840823483031</c:v>
                </c:pt>
                <c:pt idx="307">
                  <c:v>8.6717815421378592</c:v>
                </c:pt>
                <c:pt idx="308">
                  <c:v>9.1512643118565862</c:v>
                </c:pt>
                <c:pt idx="309">
                  <c:v>8.8061250531471433</c:v>
                </c:pt>
                <c:pt idx="310">
                  <c:v>9.0657225511404782</c:v>
                </c:pt>
                <c:pt idx="311">
                  <c:v>8.6340526551601258</c:v>
                </c:pt>
                <c:pt idx="312">
                  <c:v>8.7977916422659899</c:v>
                </c:pt>
                <c:pt idx="313">
                  <c:v>8.5787674209075959</c:v>
                </c:pt>
                <c:pt idx="314">
                  <c:v>8.5609886363940113</c:v>
                </c:pt>
                <c:pt idx="315">
                  <c:v>8.1892372690932174</c:v>
                </c:pt>
                <c:pt idx="316">
                  <c:v>8.2960024641851291</c:v>
                </c:pt>
                <c:pt idx="317">
                  <c:v>8.3153960372488545</c:v>
                </c:pt>
                <c:pt idx="318">
                  <c:v>8.0390427918376979</c:v>
                </c:pt>
                <c:pt idx="319">
                  <c:v>7.9288898802527044</c:v>
                </c:pt>
                <c:pt idx="320">
                  <c:v>7.8276608883905627</c:v>
                </c:pt>
                <c:pt idx="321">
                  <c:v>7.8526086761663541</c:v>
                </c:pt>
                <c:pt idx="322">
                  <c:v>7.4593316325472241</c:v>
                </c:pt>
                <c:pt idx="323">
                  <c:v>7.5688059060909536</c:v>
                </c:pt>
                <c:pt idx="324">
                  <c:v>7.337960414077715</c:v>
                </c:pt>
                <c:pt idx="325">
                  <c:v>7.284607855360111</c:v>
                </c:pt>
                <c:pt idx="326">
                  <c:v>7.1433788467088615</c:v>
                </c:pt>
                <c:pt idx="327">
                  <c:v>7.1738428841034434</c:v>
                </c:pt>
                <c:pt idx="328">
                  <c:v>7.0373325220144727</c:v>
                </c:pt>
                <c:pt idx="329">
                  <c:v>6.98254690406704</c:v>
                </c:pt>
                <c:pt idx="330">
                  <c:v>7.0130698270325418</c:v>
                </c:pt>
                <c:pt idx="331">
                  <c:v>6.7215187068445932</c:v>
                </c:pt>
                <c:pt idx="332">
                  <c:v>7.0754439111041245</c:v>
                </c:pt>
                <c:pt idx="333">
                  <c:v>6.9476784315301741</c:v>
                </c:pt>
                <c:pt idx="334">
                  <c:v>6.6619610058457965</c:v>
                </c:pt>
                <c:pt idx="335">
                  <c:v>6.8530429551720271</c:v>
                </c:pt>
                <c:pt idx="336">
                  <c:v>6.7315395821677395</c:v>
                </c:pt>
                <c:pt idx="337">
                  <c:v>6.6919318474802942</c:v>
                </c:pt>
                <c:pt idx="338">
                  <c:v>6.7289240224771483</c:v>
                </c:pt>
                <c:pt idx="339">
                  <c:v>6.4594306936428803</c:v>
                </c:pt>
                <c:pt idx="340">
                  <c:v>6.6508813437328786</c:v>
                </c:pt>
                <c:pt idx="341">
                  <c:v>6.6137608706643389</c:v>
                </c:pt>
                <c:pt idx="342">
                  <c:v>6.5782467084385035</c:v>
                </c:pt>
                <c:pt idx="343">
                  <c:v>6.5442241136650239</c:v>
                </c:pt>
                <c:pt idx="344">
                  <c:v>6.3616109792275699</c:v>
                </c:pt>
                <c:pt idx="345">
                  <c:v>6.2559444611143844</c:v>
                </c:pt>
                <c:pt idx="346">
                  <c:v>6.300540112317214</c:v>
                </c:pt>
                <c:pt idx="347">
                  <c:v>6.4197432605820905</c:v>
                </c:pt>
                <c:pt idx="348">
                  <c:v>6.170164883211819</c:v>
                </c:pt>
                <c:pt idx="349">
                  <c:v>6.362935593334047</c:v>
                </c:pt>
                <c:pt idx="350">
                  <c:v>6.4815483022515856</c:v>
                </c:pt>
                <c:pt idx="351">
                  <c:v>6.526692538323605</c:v>
                </c:pt>
                <c:pt idx="352">
                  <c:v>6.3547823159082828</c:v>
                </c:pt>
                <c:pt idx="353">
                  <c:v>6.5450971011229404</c:v>
                </c:pt>
                <c:pt idx="354">
                  <c:v>6.378097297035322</c:v>
                </c:pt>
                <c:pt idx="355">
                  <c:v>6.4261015231319192</c:v>
                </c:pt>
                <c:pt idx="356">
                  <c:v>6.3296439750546636</c:v>
                </c:pt>
                <c:pt idx="357">
                  <c:v>6.0233002168868435</c:v>
                </c:pt>
                <c:pt idx="358">
                  <c:v>6.1406857516117936</c:v>
                </c:pt>
                <c:pt idx="359">
                  <c:v>6.192576847410181</c:v>
                </c:pt>
                <c:pt idx="360">
                  <c:v>6.1062582519716777</c:v>
                </c:pt>
                <c:pt idx="361">
                  <c:v>6.0902227578639634</c:v>
                </c:pt>
                <c:pt idx="362">
                  <c:v>6.0748826293386484</c:v>
                </c:pt>
                <c:pt idx="363">
                  <c:v>5.9945903611344731</c:v>
                </c:pt>
                <c:pt idx="364">
                  <c:v>5.8468803981184285</c:v>
                </c:pt>
                <c:pt idx="365">
                  <c:v>5.689295115184108</c:v>
                </c:pt>
                <c:pt idx="366">
                  <c:v>5.5366183938369318</c:v>
                </c:pt>
                <c:pt idx="367">
                  <c:v>5.3814499032891536</c:v>
                </c:pt>
                <c:pt idx="368">
                  <c:v>5.2318616445435273</c:v>
                </c:pt>
                <c:pt idx="369">
                  <c:v>5.0077639568767562</c:v>
                </c:pt>
                <c:pt idx="370">
                  <c:v>4.862568459042131</c:v>
                </c:pt>
                <c:pt idx="371">
                  <c:v>4.5176832921144623</c:v>
                </c:pt>
                <c:pt idx="372">
                  <c:v>4.5070286879955184</c:v>
                </c:pt>
                <c:pt idx="373">
                  <c:v>4.2962679756013342</c:v>
                </c:pt>
                <c:pt idx="374">
                  <c:v>4.2999445704447794</c:v>
                </c:pt>
                <c:pt idx="375">
                  <c:v>4.0204771008730882</c:v>
                </c:pt>
                <c:pt idx="376">
                  <c:v>3.8692108233310378</c:v>
                </c:pt>
                <c:pt idx="377">
                  <c:v>3.5141030057050071</c:v>
                </c:pt>
                <c:pt idx="378">
                  <c:v>3.4394820306773122</c:v>
                </c:pt>
                <c:pt idx="379">
                  <c:v>3.1663964344583628</c:v>
                </c:pt>
                <c:pt idx="380">
                  <c:v>2.9807035545093576</c:v>
                </c:pt>
                <c:pt idx="381">
                  <c:v>2.5961119684444416</c:v>
                </c:pt>
                <c:pt idx="382">
                  <c:v>2.6678251180920065</c:v>
                </c:pt>
                <c:pt idx="383">
                  <c:v>2.454458403415726</c:v>
                </c:pt>
                <c:pt idx="384">
                  <c:v>2.1060105043045536</c:v>
                </c:pt>
                <c:pt idx="385">
                  <c:v>2.0995300607672767</c:v>
                </c:pt>
                <c:pt idx="386">
                  <c:v>1.9607726664308136</c:v>
                </c:pt>
                <c:pt idx="387">
                  <c:v>1.7582829577202048</c:v>
                </c:pt>
                <c:pt idx="388">
                  <c:v>1.3522930277829439</c:v>
                </c:pt>
                <c:pt idx="389">
                  <c:v>1.4907307497385509</c:v>
                </c:pt>
                <c:pt idx="390">
                  <c:v>1.3583333702229423</c:v>
                </c:pt>
                <c:pt idx="391">
                  <c:v>1.0859616721533289</c:v>
                </c:pt>
                <c:pt idx="392">
                  <c:v>0.88466822917094756</c:v>
                </c:pt>
                <c:pt idx="393">
                  <c:v>0.95445773091928621</c:v>
                </c:pt>
                <c:pt idx="394">
                  <c:v>0.9534376364299455</c:v>
                </c:pt>
                <c:pt idx="395">
                  <c:v>0.6145065660653225</c:v>
                </c:pt>
                <c:pt idx="396">
                  <c:v>0.61323648127538899</c:v>
                </c:pt>
                <c:pt idx="397">
                  <c:v>0.61541368158687493</c:v>
                </c:pt>
                <c:pt idx="398">
                  <c:v>0.47781807428101469</c:v>
                </c:pt>
                <c:pt idx="399">
                  <c:v>0.41063277322281627</c:v>
                </c:pt>
                <c:pt idx="400">
                  <c:v>0.34116778024418326</c:v>
                </c:pt>
              </c:numCache>
            </c:numRef>
          </c:yVal>
          <c:smooth val="1"/>
          <c:extLst>
            <c:ext xmlns:c16="http://schemas.microsoft.com/office/drawing/2014/chart" uri="{C3380CC4-5D6E-409C-BE32-E72D297353CC}">
              <c16:uniqueId val="{00000009-AE74-476B-9B96-4F9C790085E0}"/>
            </c:ext>
          </c:extLst>
        </c:ser>
        <c:ser>
          <c:idx val="10"/>
          <c:order val="10"/>
          <c:tx>
            <c:strRef>
              <c:f>'Typical AS7341 filters'!$L$4</c:f>
              <c:strCache>
                <c:ptCount val="1"/>
                <c:pt idx="0">
                  <c:v>PROX - 16x</c:v>
                </c:pt>
              </c:strCache>
            </c:strRef>
          </c:tx>
          <c:spPr>
            <a:ln w="19050" cap="rnd">
              <a:solidFill>
                <a:schemeClr val="accent5">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filters'!$L$5:$L$405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0.89657646800828961</c:v>
                </c:pt>
                <c:pt idx="120">
                  <c:v>0.86537347871073678</c:v>
                </c:pt>
                <c:pt idx="121">
                  <c:v>0.83315073568859199</c:v>
                </c:pt>
                <c:pt idx="122">
                  <c:v>0.79908375308536661</c:v>
                </c:pt>
                <c:pt idx="123">
                  <c:v>1.5355673946883159</c:v>
                </c:pt>
                <c:pt idx="124">
                  <c:v>1.4733525218410308</c:v>
                </c:pt>
                <c:pt idx="125">
                  <c:v>2.1200396816878051</c:v>
                </c:pt>
                <c:pt idx="126">
                  <c:v>2.7248803898867764</c:v>
                </c:pt>
                <c:pt idx="127">
                  <c:v>3.3182904317469104</c:v>
                </c:pt>
                <c:pt idx="128">
                  <c:v>2.6034135121013624</c:v>
                </c:pt>
                <c:pt idx="129">
                  <c:v>2.5475589657236664</c:v>
                </c:pt>
                <c:pt idx="130">
                  <c:v>2.4906730266663724</c:v>
                </c:pt>
                <c:pt idx="131">
                  <c:v>3.0238393272203603</c:v>
                </c:pt>
                <c:pt idx="132">
                  <c:v>2.9061248954332801</c:v>
                </c:pt>
                <c:pt idx="133">
                  <c:v>2.7858735988540206</c:v>
                </c:pt>
                <c:pt idx="134">
                  <c:v>3.2220250062773208</c:v>
                </c:pt>
                <c:pt idx="135">
                  <c:v>3.6479025842807973</c:v>
                </c:pt>
                <c:pt idx="136">
                  <c:v>3.5585381860090086</c:v>
                </c:pt>
                <c:pt idx="137">
                  <c:v>3.9856888940143573</c:v>
                </c:pt>
                <c:pt idx="138">
                  <c:v>4.9001181529614737</c:v>
                </c:pt>
                <c:pt idx="139">
                  <c:v>5.3172502275542373</c:v>
                </c:pt>
                <c:pt idx="140">
                  <c:v>6.2202898105577269</c:v>
                </c:pt>
                <c:pt idx="141">
                  <c:v>6.1671141825409688</c:v>
                </c:pt>
                <c:pt idx="142">
                  <c:v>5.6521401223349361</c:v>
                </c:pt>
                <c:pt idx="143">
                  <c:v>4.6847160854404946</c:v>
                </c:pt>
                <c:pt idx="144">
                  <c:v>4.1971519863201596</c:v>
                </c:pt>
                <c:pt idx="145">
                  <c:v>4.1804298676728306</c:v>
                </c:pt>
                <c:pt idx="146">
                  <c:v>4.1626565144388978</c:v>
                </c:pt>
                <c:pt idx="147">
                  <c:v>4.6066683721563946</c:v>
                </c:pt>
                <c:pt idx="148">
                  <c:v>5.0452801282821609</c:v>
                </c:pt>
                <c:pt idx="149">
                  <c:v>5.9326873979358021</c:v>
                </c:pt>
                <c:pt idx="150">
                  <c:v>5.9477961994870379</c:v>
                </c:pt>
                <c:pt idx="151">
                  <c:v>6.1997080685398469</c:v>
                </c:pt>
                <c:pt idx="152">
                  <c:v>6.0719549983675458</c:v>
                </c:pt>
                <c:pt idx="153">
                  <c:v>5.6033110120394385</c:v>
                </c:pt>
                <c:pt idx="154">
                  <c:v>5.1455919053510168</c:v>
                </c:pt>
                <c:pt idx="155">
                  <c:v>5.0362310123713598</c:v>
                </c:pt>
                <c:pt idx="156">
                  <c:v>4.9269006727667364</c:v>
                </c:pt>
                <c:pt idx="157">
                  <c:v>5.1449413285246353</c:v>
                </c:pt>
                <c:pt idx="158">
                  <c:v>5.0243786653180464</c:v>
                </c:pt>
                <c:pt idx="159">
                  <c:v>5.2223084307176819</c:v>
                </c:pt>
                <c:pt idx="160">
                  <c:v>5.411175693796066</c:v>
                </c:pt>
                <c:pt idx="161">
                  <c:v>5.8809923250511629</c:v>
                </c:pt>
                <c:pt idx="162">
                  <c:v>6.0483722577330878</c:v>
                </c:pt>
                <c:pt idx="163">
                  <c:v>6.2063283380322085</c:v>
                </c:pt>
                <c:pt idx="164">
                  <c:v>6.6328899668096994</c:v>
                </c:pt>
                <c:pt idx="165">
                  <c:v>7.032171324843512</c:v>
                </c:pt>
                <c:pt idx="166">
                  <c:v>7.4231568908332326</c:v>
                </c:pt>
                <c:pt idx="167">
                  <c:v>7.2769480682492844</c:v>
                </c:pt>
                <c:pt idx="168">
                  <c:v>6.6297281559295822</c:v>
                </c:pt>
                <c:pt idx="169">
                  <c:v>5.7574040553766386</c:v>
                </c:pt>
                <c:pt idx="170">
                  <c:v>5.4068103870758124</c:v>
                </c:pt>
                <c:pt idx="171">
                  <c:v>5.3153004993554847</c:v>
                </c:pt>
                <c:pt idx="172">
                  <c:v>5.2272269216931528</c:v>
                </c:pt>
                <c:pt idx="173">
                  <c:v>5.144100110651074</c:v>
                </c:pt>
                <c:pt idx="174">
                  <c:v>5.0648759397651508</c:v>
                </c:pt>
                <c:pt idx="175">
                  <c:v>4.9895050139971513</c:v>
                </c:pt>
                <c:pt idx="176">
                  <c:v>4.9214041763415146</c:v>
                </c:pt>
                <c:pt idx="177">
                  <c:v>4.8536728565461331</c:v>
                </c:pt>
                <c:pt idx="178">
                  <c:v>5.0078844936338758</c:v>
                </c:pt>
                <c:pt idx="179">
                  <c:v>4.942753998731928</c:v>
                </c:pt>
                <c:pt idx="180">
                  <c:v>5.0958815736725924</c:v>
                </c:pt>
                <c:pt idx="181">
                  <c:v>5.2436805628962073</c:v>
                </c:pt>
                <c:pt idx="182">
                  <c:v>5.3932475057532772</c:v>
                </c:pt>
                <c:pt idx="183">
                  <c:v>5.3347460472213726</c:v>
                </c:pt>
                <c:pt idx="184">
                  <c:v>5.6847141730372286</c:v>
                </c:pt>
                <c:pt idx="185">
                  <c:v>5.8265477552663363</c:v>
                </c:pt>
                <c:pt idx="186">
                  <c:v>6.1704320231075069</c:v>
                </c:pt>
                <c:pt idx="187">
                  <c:v>6.3120768577348505</c:v>
                </c:pt>
                <c:pt idx="188">
                  <c:v>6.6498749627532119</c:v>
                </c:pt>
                <c:pt idx="189">
                  <c:v>7.174633857703677</c:v>
                </c:pt>
                <c:pt idx="190">
                  <c:v>7.309656183542752</c:v>
                </c:pt>
                <c:pt idx="191">
                  <c:v>7.445224148844976</c:v>
                </c:pt>
                <c:pt idx="192">
                  <c:v>7.3941295828557099</c:v>
                </c:pt>
                <c:pt idx="193">
                  <c:v>7.3487952056988126</c:v>
                </c:pt>
                <c:pt idx="194">
                  <c:v>7.3041877048602872</c:v>
                </c:pt>
                <c:pt idx="195">
                  <c:v>7.074923071977679</c:v>
                </c:pt>
                <c:pt idx="196">
                  <c:v>6.850877277224054</c:v>
                </c:pt>
                <c:pt idx="197">
                  <c:v>6.6315992065287306</c:v>
                </c:pt>
                <c:pt idx="198">
                  <c:v>6.4167688950599091</c:v>
                </c:pt>
                <c:pt idx="199">
                  <c:v>6.3860172469390948</c:v>
                </c:pt>
                <c:pt idx="200">
                  <c:v>6.5401662100213738</c:v>
                </c:pt>
                <c:pt idx="201">
                  <c:v>6.6962981417381151</c:v>
                </c:pt>
                <c:pt idx="202">
                  <c:v>6.8525018753229965</c:v>
                </c:pt>
                <c:pt idx="203">
                  <c:v>7.0101520814978207</c:v>
                </c:pt>
                <c:pt idx="204">
                  <c:v>6.9882498200337384</c:v>
                </c:pt>
                <c:pt idx="205">
                  <c:v>7.3254229865917635</c:v>
                </c:pt>
                <c:pt idx="206">
                  <c:v>7.4870246476582158</c:v>
                </c:pt>
                <c:pt idx="207">
                  <c:v>7.8284063308093579</c:v>
                </c:pt>
                <c:pt idx="208">
                  <c:v>8.3498070698262108</c:v>
                </c:pt>
                <c:pt idx="209">
                  <c:v>8.696787870533381</c:v>
                </c:pt>
                <c:pt idx="210">
                  <c:v>9.0433832847453139</c:v>
                </c:pt>
                <c:pt idx="211">
                  <c:v>9.3895620367640316</c:v>
                </c:pt>
                <c:pt idx="212">
                  <c:v>9.7418526090024802</c:v>
                </c:pt>
                <c:pt idx="213">
                  <c:v>10.096491909790263</c:v>
                </c:pt>
                <c:pt idx="214">
                  <c:v>10.632252786862971</c:v>
                </c:pt>
                <c:pt idx="215">
                  <c:v>10.813782040533667</c:v>
                </c:pt>
                <c:pt idx="216">
                  <c:v>11.001808610030169</c:v>
                </c:pt>
                <c:pt idx="217">
                  <c:v>10.838306731137585</c:v>
                </c:pt>
                <c:pt idx="218">
                  <c:v>10.50019099626892</c:v>
                </c:pt>
                <c:pt idx="219">
                  <c:v>10.16535915006439</c:v>
                </c:pt>
                <c:pt idx="220">
                  <c:v>10.010411773630324</c:v>
                </c:pt>
                <c:pt idx="221">
                  <c:v>10.036364815581443</c:v>
                </c:pt>
                <c:pt idx="222">
                  <c:v>10.066672153559061</c:v>
                </c:pt>
                <c:pt idx="223">
                  <c:v>10.281301713085599</c:v>
                </c:pt>
                <c:pt idx="224">
                  <c:v>10.320180891481819</c:v>
                </c:pt>
                <c:pt idx="225">
                  <c:v>10.362488032847716</c:v>
                </c:pt>
                <c:pt idx="226">
                  <c:v>10.407400821361188</c:v>
                </c:pt>
                <c:pt idx="227">
                  <c:v>10.639599503113805</c:v>
                </c:pt>
                <c:pt idx="228">
                  <c:v>10.693765210912733</c:v>
                </c:pt>
                <c:pt idx="229">
                  <c:v>10.759825786283704</c:v>
                </c:pt>
                <c:pt idx="230">
                  <c:v>10.838177853053544</c:v>
                </c:pt>
                <c:pt idx="231">
                  <c:v>11.094341786021587</c:v>
                </c:pt>
                <c:pt idx="232">
                  <c:v>11.349344654694669</c:v>
                </c:pt>
                <c:pt idx="233">
                  <c:v>11.610216788286644</c:v>
                </c:pt>
                <c:pt idx="234">
                  <c:v>11.88892495456545</c:v>
                </c:pt>
                <c:pt idx="235">
                  <c:v>12.185675174386287</c:v>
                </c:pt>
                <c:pt idx="236">
                  <c:v>12.465578294778643</c:v>
                </c:pt>
                <c:pt idx="237">
                  <c:v>12.32737643108428</c:v>
                </c:pt>
                <c:pt idx="238">
                  <c:v>12.181402273938312</c:v>
                </c:pt>
                <c:pt idx="239">
                  <c:v>12.038650540164841</c:v>
                </c:pt>
                <c:pt idx="240">
                  <c:v>11.698900923715714</c:v>
                </c:pt>
                <c:pt idx="241">
                  <c:v>11.161541504358839</c:v>
                </c:pt>
                <c:pt idx="242">
                  <c:v>10.624390565431472</c:v>
                </c:pt>
                <c:pt idx="243">
                  <c:v>10.081552296143899</c:v>
                </c:pt>
                <c:pt idx="244">
                  <c:v>9.5358602040179932</c:v>
                </c:pt>
                <c:pt idx="245">
                  <c:v>9.1878870680028459</c:v>
                </c:pt>
                <c:pt idx="246">
                  <c:v>9.2481306345938243</c:v>
                </c:pt>
                <c:pt idx="247">
                  <c:v>9.3089572641767315</c:v>
                </c:pt>
                <c:pt idx="248">
                  <c:v>9.7864047095610029</c:v>
                </c:pt>
                <c:pt idx="249">
                  <c:v>10.476794570815276</c:v>
                </c:pt>
                <c:pt idx="250">
                  <c:v>10.96103998052055</c:v>
                </c:pt>
                <c:pt idx="251">
                  <c:v>11.663081639260861</c:v>
                </c:pt>
                <c:pt idx="252">
                  <c:v>12.365889741651811</c:v>
                </c:pt>
                <c:pt idx="253">
                  <c:v>13.286029959567369</c:v>
                </c:pt>
                <c:pt idx="254">
                  <c:v>14.208072213684446</c:v>
                </c:pt>
                <c:pt idx="255">
                  <c:v>15.347935056067129</c:v>
                </c:pt>
                <c:pt idx="256">
                  <c:v>16.487454959596192</c:v>
                </c:pt>
                <c:pt idx="257">
                  <c:v>17.840151245741122</c:v>
                </c:pt>
                <c:pt idx="258">
                  <c:v>19.186843027109987</c:v>
                </c:pt>
                <c:pt idx="259">
                  <c:v>20.740479492860157</c:v>
                </c:pt>
                <c:pt idx="260">
                  <c:v>22.708864521364067</c:v>
                </c:pt>
                <c:pt idx="261">
                  <c:v>24.445084167394928</c:v>
                </c:pt>
                <c:pt idx="262">
                  <c:v>26.587100466987255</c:v>
                </c:pt>
                <c:pt idx="263">
                  <c:v>28.910665769445306</c:v>
                </c:pt>
                <c:pt idx="264">
                  <c:v>31.193770038941359</c:v>
                </c:pt>
                <c:pt idx="265">
                  <c:v>33.642727251616122</c:v>
                </c:pt>
                <c:pt idx="266">
                  <c:v>36.673039191305023</c:v>
                </c:pt>
                <c:pt idx="267">
                  <c:v>39.635015289251172</c:v>
                </c:pt>
                <c:pt idx="268">
                  <c:v>42.925606969138741</c:v>
                </c:pt>
                <c:pt idx="269">
                  <c:v>46.337140297429926</c:v>
                </c:pt>
                <c:pt idx="270">
                  <c:v>50.244978135582109</c:v>
                </c:pt>
                <c:pt idx="271">
                  <c:v>54.220703327700463</c:v>
                </c:pt>
                <c:pt idx="272">
                  <c:v>58.451661595747076</c:v>
                </c:pt>
                <c:pt idx="273">
                  <c:v>63.136444102746246</c:v>
                </c:pt>
                <c:pt idx="274">
                  <c:v>68.020911365593079</c:v>
                </c:pt>
                <c:pt idx="275">
                  <c:v>72.940137610075453</c:v>
                </c:pt>
                <c:pt idx="276">
                  <c:v>78.373154345265363</c:v>
                </c:pt>
                <c:pt idx="277">
                  <c:v>84.456655605691168</c:v>
                </c:pt>
                <c:pt idx="278">
                  <c:v>90.443831353016463</c:v>
                </c:pt>
                <c:pt idx="279">
                  <c:v>96.917989878017295</c:v>
                </c:pt>
                <c:pt idx="280">
                  <c:v>103.55015468028616</c:v>
                </c:pt>
                <c:pt idx="281">
                  <c:v>110.45403667238786</c:v>
                </c:pt>
                <c:pt idx="282">
                  <c:v>117.80799685883082</c:v>
                </c:pt>
                <c:pt idx="283">
                  <c:v>125.45905072698434</c:v>
                </c:pt>
                <c:pt idx="284">
                  <c:v>133.13941085032098</c:v>
                </c:pt>
                <c:pt idx="285">
                  <c:v>141.22901526140242</c:v>
                </c:pt>
                <c:pt idx="286">
                  <c:v>149.48228085898151</c:v>
                </c:pt>
                <c:pt idx="287">
                  <c:v>157.87592317783492</c:v>
                </c:pt>
                <c:pt idx="288">
                  <c:v>166.73596922759407</c:v>
                </c:pt>
                <c:pt idx="289">
                  <c:v>175.96089678141931</c:v>
                </c:pt>
                <c:pt idx="290">
                  <c:v>185.09713841298446</c:v>
                </c:pt>
                <c:pt idx="291">
                  <c:v>195.12830750397072</c:v>
                </c:pt>
                <c:pt idx="292">
                  <c:v>205.03005528162328</c:v>
                </c:pt>
                <c:pt idx="293">
                  <c:v>214.02802968264456</c:v>
                </c:pt>
                <c:pt idx="294">
                  <c:v>221.34038505373846</c:v>
                </c:pt>
                <c:pt idx="295">
                  <c:v>226.71581400039</c:v>
                </c:pt>
                <c:pt idx="296">
                  <c:v>232.1831031607494</c:v>
                </c:pt>
                <c:pt idx="297">
                  <c:v>238.77839311115517</c:v>
                </c:pt>
                <c:pt idx="298">
                  <c:v>245.89027869164067</c:v>
                </c:pt>
                <c:pt idx="299">
                  <c:v>251.97886635338489</c:v>
                </c:pt>
                <c:pt idx="300">
                  <c:v>256.66243603960055</c:v>
                </c:pt>
                <c:pt idx="301">
                  <c:v>258.74851041150828</c:v>
                </c:pt>
                <c:pt idx="302">
                  <c:v>259.59888695074056</c:v>
                </c:pt>
                <c:pt idx="303">
                  <c:v>260.91517081920477</c:v>
                </c:pt>
                <c:pt idx="304">
                  <c:v>263.90382118096181</c:v>
                </c:pt>
                <c:pt idx="305">
                  <c:v>267.90130961486994</c:v>
                </c:pt>
                <c:pt idx="306">
                  <c:v>272.21552184397626</c:v>
                </c:pt>
                <c:pt idx="307">
                  <c:v>276.24325780015062</c:v>
                </c:pt>
                <c:pt idx="308">
                  <c:v>277.93109477470057</c:v>
                </c:pt>
                <c:pt idx="309">
                  <c:v>276.6337904626568</c:v>
                </c:pt>
                <c:pt idx="310">
                  <c:v>272.07129985895216</c:v>
                </c:pt>
                <c:pt idx="311">
                  <c:v>266.28203302391569</c:v>
                </c:pt>
                <c:pt idx="312">
                  <c:v>260.84002033883121</c:v>
                </c:pt>
                <c:pt idx="313">
                  <c:v>256.02854769508667</c:v>
                </c:pt>
                <c:pt idx="314">
                  <c:v>251.65543519070303</c:v>
                </c:pt>
                <c:pt idx="315">
                  <c:v>247.25912981796225</c:v>
                </c:pt>
                <c:pt idx="316">
                  <c:v>241.96673853873293</c:v>
                </c:pt>
                <c:pt idx="317">
                  <c:v>236.48620818022016</c:v>
                </c:pt>
                <c:pt idx="318">
                  <c:v>230.603103905187</c:v>
                </c:pt>
                <c:pt idx="319">
                  <c:v>224.94884210829301</c:v>
                </c:pt>
                <c:pt idx="320">
                  <c:v>219.79016359649458</c:v>
                </c:pt>
                <c:pt idx="321">
                  <c:v>214.72522168939329</c:v>
                </c:pt>
                <c:pt idx="322">
                  <c:v>209.64191344030976</c:v>
                </c:pt>
                <c:pt idx="323">
                  <c:v>203.92771367433693</c:v>
                </c:pt>
                <c:pt idx="324">
                  <c:v>197.78363069572259</c:v>
                </c:pt>
                <c:pt idx="325">
                  <c:v>191.51742280196754</c:v>
                </c:pt>
                <c:pt idx="326">
                  <c:v>185.72785001443037</c:v>
                </c:pt>
                <c:pt idx="327">
                  <c:v>180.84757410158448</c:v>
                </c:pt>
                <c:pt idx="328">
                  <c:v>176.76123452354</c:v>
                </c:pt>
                <c:pt idx="329">
                  <c:v>173.24931083149869</c:v>
                </c:pt>
                <c:pt idx="330">
                  <c:v>170.10771696732422</c:v>
                </c:pt>
                <c:pt idx="331">
                  <c:v>166.90421752779164</c:v>
                </c:pt>
                <c:pt idx="332">
                  <c:v>163.13722381398034</c:v>
                </c:pt>
                <c:pt idx="333">
                  <c:v>158.83830345187948</c:v>
                </c:pt>
                <c:pt idx="334">
                  <c:v>153.78026655160716</c:v>
                </c:pt>
                <c:pt idx="335">
                  <c:v>148.40382675338046</c:v>
                </c:pt>
                <c:pt idx="336">
                  <c:v>143.16262669517204</c:v>
                </c:pt>
                <c:pt idx="337">
                  <c:v>138.58523977165586</c:v>
                </c:pt>
                <c:pt idx="338">
                  <c:v>134.19176067813623</c:v>
                </c:pt>
                <c:pt idx="339">
                  <c:v>130.4958796084758</c:v>
                </c:pt>
                <c:pt idx="340">
                  <c:v>126.29029861892775</c:v>
                </c:pt>
                <c:pt idx="341">
                  <c:v>121.93646478788047</c:v>
                </c:pt>
                <c:pt idx="342">
                  <c:v>117.04742419152647</c:v>
                </c:pt>
                <c:pt idx="343">
                  <c:v>111.85357766689529</c:v>
                </c:pt>
                <c:pt idx="344">
                  <c:v>106.80022196891463</c:v>
                </c:pt>
                <c:pt idx="345">
                  <c:v>102.32937725679957</c:v>
                </c:pt>
                <c:pt idx="346">
                  <c:v>98.65904575875544</c:v>
                </c:pt>
                <c:pt idx="347">
                  <c:v>95.705827689367496</c:v>
                </c:pt>
                <c:pt idx="348">
                  <c:v>93.213562342807137</c:v>
                </c:pt>
                <c:pt idx="349">
                  <c:v>91.202076837788013</c:v>
                </c:pt>
                <c:pt idx="350">
                  <c:v>88.993842981476831</c:v>
                </c:pt>
                <c:pt idx="351">
                  <c:v>86.659973147741198</c:v>
                </c:pt>
                <c:pt idx="352">
                  <c:v>83.623158202520358</c:v>
                </c:pt>
                <c:pt idx="353">
                  <c:v>80.123496380779727</c:v>
                </c:pt>
                <c:pt idx="354">
                  <c:v>75.605535374969264</c:v>
                </c:pt>
                <c:pt idx="355">
                  <c:v>71.472529162833908</c:v>
                </c:pt>
                <c:pt idx="356">
                  <c:v>67.776974249742636</c:v>
                </c:pt>
                <c:pt idx="357">
                  <c:v>64.768192920406761</c:v>
                </c:pt>
                <c:pt idx="358">
                  <c:v>62.465596438809619</c:v>
                </c:pt>
                <c:pt idx="359">
                  <c:v>60.447994453697113</c:v>
                </c:pt>
                <c:pt idx="360">
                  <c:v>58.74641559655511</c:v>
                </c:pt>
                <c:pt idx="361">
                  <c:v>57.262094436008297</c:v>
                </c:pt>
                <c:pt idx="362">
                  <c:v>55.651510983711525</c:v>
                </c:pt>
                <c:pt idx="363">
                  <c:v>53.811904172044336</c:v>
                </c:pt>
                <c:pt idx="364">
                  <c:v>51.647443516712784</c:v>
                </c:pt>
                <c:pt idx="365">
                  <c:v>49.191588252018683</c:v>
                </c:pt>
                <c:pt idx="366">
                  <c:v>46.438386778307262</c:v>
                </c:pt>
                <c:pt idx="367">
                  <c:v>43.741528701093884</c:v>
                </c:pt>
                <c:pt idx="368">
                  <c:v>41.30417087797521</c:v>
                </c:pt>
                <c:pt idx="369">
                  <c:v>39.238917579911025</c:v>
                </c:pt>
                <c:pt idx="370">
                  <c:v>37.462323198535856</c:v>
                </c:pt>
                <c:pt idx="371">
                  <c:v>36.004566843215258</c:v>
                </c:pt>
                <c:pt idx="372">
                  <c:v>34.690463234874592</c:v>
                </c:pt>
                <c:pt idx="373">
                  <c:v>33.551807047553275</c:v>
                </c:pt>
                <c:pt idx="374">
                  <c:v>32.351963910965488</c:v>
                </c:pt>
                <c:pt idx="375">
                  <c:v>31.209805291523299</c:v>
                </c:pt>
                <c:pt idx="376">
                  <c:v>29.867592320450115</c:v>
                </c:pt>
                <c:pt idx="377">
                  <c:v>28.315560757507654</c:v>
                </c:pt>
                <c:pt idx="378">
                  <c:v>26.706566355847368</c:v>
                </c:pt>
                <c:pt idx="379">
                  <c:v>24.926950654246685</c:v>
                </c:pt>
                <c:pt idx="380">
                  <c:v>23.235939072652492</c:v>
                </c:pt>
                <c:pt idx="381">
                  <c:v>21.657039315707582</c:v>
                </c:pt>
                <c:pt idx="382">
                  <c:v>20.316514360854509</c:v>
                </c:pt>
                <c:pt idx="383">
                  <c:v>19.09023202656676</c:v>
                </c:pt>
                <c:pt idx="384">
                  <c:v>18.07092884338746</c:v>
                </c:pt>
                <c:pt idx="385">
                  <c:v>17.20260114306091</c:v>
                </c:pt>
                <c:pt idx="386">
                  <c:v>16.36230983711231</c:v>
                </c:pt>
                <c:pt idx="387">
                  <c:v>15.486415281458727</c:v>
                </c:pt>
                <c:pt idx="388">
                  <c:v>14.739994002834091</c:v>
                </c:pt>
                <c:pt idx="389">
                  <c:v>13.890900168018312</c:v>
                </c:pt>
                <c:pt idx="390">
                  <c:v>13.107917022651394</c:v>
                </c:pt>
                <c:pt idx="391">
                  <c:v>12.284941416234533</c:v>
                </c:pt>
                <c:pt idx="392">
                  <c:v>11.500686979222317</c:v>
                </c:pt>
                <c:pt idx="393">
                  <c:v>10.908088353363272</c:v>
                </c:pt>
                <c:pt idx="394">
                  <c:v>10.283505935780127</c:v>
                </c:pt>
                <c:pt idx="395">
                  <c:v>9.83210505704516</c:v>
                </c:pt>
                <c:pt idx="396">
                  <c:v>9.3348219927475871</c:v>
                </c:pt>
                <c:pt idx="397">
                  <c:v>8.9576880319867342</c:v>
                </c:pt>
                <c:pt idx="398">
                  <c:v>8.5324656121609763</c:v>
                </c:pt>
                <c:pt idx="399">
                  <c:v>8.1442166689191886</c:v>
                </c:pt>
                <c:pt idx="400">
                  <c:v>7.7103918335185426</c:v>
                </c:pt>
              </c:numCache>
            </c:numRef>
          </c:yVal>
          <c:smooth val="1"/>
          <c:extLst>
            <c:ext xmlns:c16="http://schemas.microsoft.com/office/drawing/2014/chart" uri="{C3380CC4-5D6E-409C-BE32-E72D297353CC}">
              <c16:uniqueId val="{0000000A-AE74-476B-9B96-4F9C790085E0}"/>
            </c:ext>
          </c:extLst>
        </c:ser>
        <c:ser>
          <c:idx val="11"/>
          <c:order val="11"/>
          <c:tx>
            <c:strRef>
              <c:f>'Typical AS7341 filters'!$M$4</c:f>
              <c:strCache>
                <c:ptCount val="1"/>
                <c:pt idx="0">
                  <c:v>FD - 16x</c:v>
                </c:pt>
              </c:strCache>
            </c:strRef>
          </c:tx>
          <c:spPr>
            <a:ln w="19050" cap="rnd">
              <a:solidFill>
                <a:schemeClr val="accent6">
                  <a:lumMod val="60000"/>
                </a:schemeClr>
              </a:solidFill>
              <a:round/>
            </a:ln>
            <a:effectLst/>
          </c:spPr>
          <c:marker>
            <c:symbol val="none"/>
          </c:marker>
          <c:xVal>
            <c:numRef>
              <c:f>'Typical AS7341 filters'!$A$5:$A$405</c:f>
              <c:numCache>
                <c:formatCode>General</c:formatCode>
                <c:ptCount val="401"/>
                <c:pt idx="0">
                  <c:v>300</c:v>
                </c:pt>
                <c:pt idx="1">
                  <c:v>302</c:v>
                </c:pt>
                <c:pt idx="2">
                  <c:v>304</c:v>
                </c:pt>
                <c:pt idx="3">
                  <c:v>306</c:v>
                </c:pt>
                <c:pt idx="4">
                  <c:v>308</c:v>
                </c:pt>
                <c:pt idx="5">
                  <c:v>310</c:v>
                </c:pt>
                <c:pt idx="6">
                  <c:v>312</c:v>
                </c:pt>
                <c:pt idx="7">
                  <c:v>314</c:v>
                </c:pt>
                <c:pt idx="8">
                  <c:v>316</c:v>
                </c:pt>
                <c:pt idx="9">
                  <c:v>318</c:v>
                </c:pt>
                <c:pt idx="10">
                  <c:v>320</c:v>
                </c:pt>
                <c:pt idx="11">
                  <c:v>322</c:v>
                </c:pt>
                <c:pt idx="12">
                  <c:v>324</c:v>
                </c:pt>
                <c:pt idx="13">
                  <c:v>326</c:v>
                </c:pt>
                <c:pt idx="14">
                  <c:v>328</c:v>
                </c:pt>
                <c:pt idx="15">
                  <c:v>330</c:v>
                </c:pt>
                <c:pt idx="16">
                  <c:v>332</c:v>
                </c:pt>
                <c:pt idx="17">
                  <c:v>334</c:v>
                </c:pt>
                <c:pt idx="18">
                  <c:v>336</c:v>
                </c:pt>
                <c:pt idx="19">
                  <c:v>338</c:v>
                </c:pt>
                <c:pt idx="20">
                  <c:v>340</c:v>
                </c:pt>
                <c:pt idx="21">
                  <c:v>342</c:v>
                </c:pt>
                <c:pt idx="22">
                  <c:v>344</c:v>
                </c:pt>
                <c:pt idx="23">
                  <c:v>346</c:v>
                </c:pt>
                <c:pt idx="24">
                  <c:v>348</c:v>
                </c:pt>
                <c:pt idx="25">
                  <c:v>350</c:v>
                </c:pt>
                <c:pt idx="26">
                  <c:v>352</c:v>
                </c:pt>
                <c:pt idx="27">
                  <c:v>354</c:v>
                </c:pt>
                <c:pt idx="28">
                  <c:v>356</c:v>
                </c:pt>
                <c:pt idx="29">
                  <c:v>358</c:v>
                </c:pt>
                <c:pt idx="30">
                  <c:v>360</c:v>
                </c:pt>
                <c:pt idx="31">
                  <c:v>362</c:v>
                </c:pt>
                <c:pt idx="32">
                  <c:v>364</c:v>
                </c:pt>
                <c:pt idx="33">
                  <c:v>366</c:v>
                </c:pt>
                <c:pt idx="34">
                  <c:v>368</c:v>
                </c:pt>
                <c:pt idx="35">
                  <c:v>370</c:v>
                </c:pt>
                <c:pt idx="36">
                  <c:v>372</c:v>
                </c:pt>
                <c:pt idx="37">
                  <c:v>374</c:v>
                </c:pt>
                <c:pt idx="38">
                  <c:v>376</c:v>
                </c:pt>
                <c:pt idx="39">
                  <c:v>378</c:v>
                </c:pt>
                <c:pt idx="40">
                  <c:v>380</c:v>
                </c:pt>
                <c:pt idx="41">
                  <c:v>382</c:v>
                </c:pt>
                <c:pt idx="42">
                  <c:v>384</c:v>
                </c:pt>
                <c:pt idx="43">
                  <c:v>386</c:v>
                </c:pt>
                <c:pt idx="44">
                  <c:v>388</c:v>
                </c:pt>
                <c:pt idx="45">
                  <c:v>390</c:v>
                </c:pt>
                <c:pt idx="46">
                  <c:v>392</c:v>
                </c:pt>
                <c:pt idx="47">
                  <c:v>394</c:v>
                </c:pt>
                <c:pt idx="48">
                  <c:v>396</c:v>
                </c:pt>
                <c:pt idx="49">
                  <c:v>398</c:v>
                </c:pt>
                <c:pt idx="50">
                  <c:v>400</c:v>
                </c:pt>
                <c:pt idx="51">
                  <c:v>402</c:v>
                </c:pt>
                <c:pt idx="52">
                  <c:v>404</c:v>
                </c:pt>
                <c:pt idx="53">
                  <c:v>406</c:v>
                </c:pt>
                <c:pt idx="54">
                  <c:v>408</c:v>
                </c:pt>
                <c:pt idx="55">
                  <c:v>410</c:v>
                </c:pt>
                <c:pt idx="56">
                  <c:v>412</c:v>
                </c:pt>
                <c:pt idx="57">
                  <c:v>414</c:v>
                </c:pt>
                <c:pt idx="58">
                  <c:v>416</c:v>
                </c:pt>
                <c:pt idx="59">
                  <c:v>418</c:v>
                </c:pt>
                <c:pt idx="60">
                  <c:v>420</c:v>
                </c:pt>
                <c:pt idx="61">
                  <c:v>422</c:v>
                </c:pt>
                <c:pt idx="62">
                  <c:v>424</c:v>
                </c:pt>
                <c:pt idx="63">
                  <c:v>426</c:v>
                </c:pt>
                <c:pt idx="64">
                  <c:v>428</c:v>
                </c:pt>
                <c:pt idx="65">
                  <c:v>430</c:v>
                </c:pt>
                <c:pt idx="66">
                  <c:v>432</c:v>
                </c:pt>
                <c:pt idx="67">
                  <c:v>434</c:v>
                </c:pt>
                <c:pt idx="68">
                  <c:v>436</c:v>
                </c:pt>
                <c:pt idx="69">
                  <c:v>438</c:v>
                </c:pt>
                <c:pt idx="70">
                  <c:v>440</c:v>
                </c:pt>
                <c:pt idx="71">
                  <c:v>442</c:v>
                </c:pt>
                <c:pt idx="72">
                  <c:v>444</c:v>
                </c:pt>
                <c:pt idx="73">
                  <c:v>446</c:v>
                </c:pt>
                <c:pt idx="74">
                  <c:v>448</c:v>
                </c:pt>
                <c:pt idx="75">
                  <c:v>450</c:v>
                </c:pt>
                <c:pt idx="76">
                  <c:v>452</c:v>
                </c:pt>
                <c:pt idx="77">
                  <c:v>454</c:v>
                </c:pt>
                <c:pt idx="78">
                  <c:v>456</c:v>
                </c:pt>
                <c:pt idx="79">
                  <c:v>458</c:v>
                </c:pt>
                <c:pt idx="80">
                  <c:v>460</c:v>
                </c:pt>
                <c:pt idx="81">
                  <c:v>462</c:v>
                </c:pt>
                <c:pt idx="82">
                  <c:v>464</c:v>
                </c:pt>
                <c:pt idx="83">
                  <c:v>466</c:v>
                </c:pt>
                <c:pt idx="84">
                  <c:v>468</c:v>
                </c:pt>
                <c:pt idx="85">
                  <c:v>470</c:v>
                </c:pt>
                <c:pt idx="86">
                  <c:v>472</c:v>
                </c:pt>
                <c:pt idx="87">
                  <c:v>474</c:v>
                </c:pt>
                <c:pt idx="88">
                  <c:v>476</c:v>
                </c:pt>
                <c:pt idx="89">
                  <c:v>478</c:v>
                </c:pt>
                <c:pt idx="90">
                  <c:v>480</c:v>
                </c:pt>
                <c:pt idx="91">
                  <c:v>482</c:v>
                </c:pt>
                <c:pt idx="92">
                  <c:v>484</c:v>
                </c:pt>
                <c:pt idx="93">
                  <c:v>486</c:v>
                </c:pt>
                <c:pt idx="94">
                  <c:v>488</c:v>
                </c:pt>
                <c:pt idx="95">
                  <c:v>490</c:v>
                </c:pt>
                <c:pt idx="96">
                  <c:v>492</c:v>
                </c:pt>
                <c:pt idx="97">
                  <c:v>494</c:v>
                </c:pt>
                <c:pt idx="98">
                  <c:v>496</c:v>
                </c:pt>
                <c:pt idx="99">
                  <c:v>498</c:v>
                </c:pt>
                <c:pt idx="100">
                  <c:v>500</c:v>
                </c:pt>
                <c:pt idx="101">
                  <c:v>502</c:v>
                </c:pt>
                <c:pt idx="102">
                  <c:v>504</c:v>
                </c:pt>
                <c:pt idx="103">
                  <c:v>506</c:v>
                </c:pt>
                <c:pt idx="104">
                  <c:v>508</c:v>
                </c:pt>
                <c:pt idx="105">
                  <c:v>510</c:v>
                </c:pt>
                <c:pt idx="106">
                  <c:v>512</c:v>
                </c:pt>
                <c:pt idx="107">
                  <c:v>514</c:v>
                </c:pt>
                <c:pt idx="108">
                  <c:v>516</c:v>
                </c:pt>
                <c:pt idx="109">
                  <c:v>518</c:v>
                </c:pt>
                <c:pt idx="110">
                  <c:v>520</c:v>
                </c:pt>
                <c:pt idx="111">
                  <c:v>522</c:v>
                </c:pt>
                <c:pt idx="112">
                  <c:v>524</c:v>
                </c:pt>
                <c:pt idx="113">
                  <c:v>526</c:v>
                </c:pt>
                <c:pt idx="114">
                  <c:v>528</c:v>
                </c:pt>
                <c:pt idx="115">
                  <c:v>530</c:v>
                </c:pt>
                <c:pt idx="116">
                  <c:v>532</c:v>
                </c:pt>
                <c:pt idx="117">
                  <c:v>534</c:v>
                </c:pt>
                <c:pt idx="118">
                  <c:v>536</c:v>
                </c:pt>
                <c:pt idx="119">
                  <c:v>538</c:v>
                </c:pt>
                <c:pt idx="120">
                  <c:v>540</c:v>
                </c:pt>
                <c:pt idx="121">
                  <c:v>542</c:v>
                </c:pt>
                <c:pt idx="122">
                  <c:v>544</c:v>
                </c:pt>
                <c:pt idx="123">
                  <c:v>546</c:v>
                </c:pt>
                <c:pt idx="124">
                  <c:v>548</c:v>
                </c:pt>
                <c:pt idx="125">
                  <c:v>550</c:v>
                </c:pt>
                <c:pt idx="126">
                  <c:v>552</c:v>
                </c:pt>
                <c:pt idx="127">
                  <c:v>554</c:v>
                </c:pt>
                <c:pt idx="128">
                  <c:v>556</c:v>
                </c:pt>
                <c:pt idx="129">
                  <c:v>558</c:v>
                </c:pt>
                <c:pt idx="130">
                  <c:v>560</c:v>
                </c:pt>
                <c:pt idx="131">
                  <c:v>562</c:v>
                </c:pt>
                <c:pt idx="132">
                  <c:v>564</c:v>
                </c:pt>
                <c:pt idx="133">
                  <c:v>566</c:v>
                </c:pt>
                <c:pt idx="134">
                  <c:v>568</c:v>
                </c:pt>
                <c:pt idx="135">
                  <c:v>570</c:v>
                </c:pt>
                <c:pt idx="136">
                  <c:v>572</c:v>
                </c:pt>
                <c:pt idx="137">
                  <c:v>574</c:v>
                </c:pt>
                <c:pt idx="138">
                  <c:v>576</c:v>
                </c:pt>
                <c:pt idx="139">
                  <c:v>578</c:v>
                </c:pt>
                <c:pt idx="140">
                  <c:v>580</c:v>
                </c:pt>
                <c:pt idx="141">
                  <c:v>582</c:v>
                </c:pt>
                <c:pt idx="142">
                  <c:v>584</c:v>
                </c:pt>
                <c:pt idx="143">
                  <c:v>586</c:v>
                </c:pt>
                <c:pt idx="144">
                  <c:v>588</c:v>
                </c:pt>
                <c:pt idx="145">
                  <c:v>590</c:v>
                </c:pt>
                <c:pt idx="146">
                  <c:v>592</c:v>
                </c:pt>
                <c:pt idx="147">
                  <c:v>594</c:v>
                </c:pt>
                <c:pt idx="148">
                  <c:v>596</c:v>
                </c:pt>
                <c:pt idx="149">
                  <c:v>598</c:v>
                </c:pt>
                <c:pt idx="150">
                  <c:v>600</c:v>
                </c:pt>
                <c:pt idx="151">
                  <c:v>602</c:v>
                </c:pt>
                <c:pt idx="152">
                  <c:v>604</c:v>
                </c:pt>
                <c:pt idx="153">
                  <c:v>606</c:v>
                </c:pt>
                <c:pt idx="154">
                  <c:v>608</c:v>
                </c:pt>
                <c:pt idx="155">
                  <c:v>610</c:v>
                </c:pt>
                <c:pt idx="156">
                  <c:v>612</c:v>
                </c:pt>
                <c:pt idx="157">
                  <c:v>614</c:v>
                </c:pt>
                <c:pt idx="158">
                  <c:v>616</c:v>
                </c:pt>
                <c:pt idx="159">
                  <c:v>618</c:v>
                </c:pt>
                <c:pt idx="160">
                  <c:v>620</c:v>
                </c:pt>
                <c:pt idx="161">
                  <c:v>622</c:v>
                </c:pt>
                <c:pt idx="162">
                  <c:v>624</c:v>
                </c:pt>
                <c:pt idx="163">
                  <c:v>626</c:v>
                </c:pt>
                <c:pt idx="164">
                  <c:v>628</c:v>
                </c:pt>
                <c:pt idx="165">
                  <c:v>630</c:v>
                </c:pt>
                <c:pt idx="166">
                  <c:v>632</c:v>
                </c:pt>
                <c:pt idx="167">
                  <c:v>634</c:v>
                </c:pt>
                <c:pt idx="168">
                  <c:v>636</c:v>
                </c:pt>
                <c:pt idx="169">
                  <c:v>638</c:v>
                </c:pt>
                <c:pt idx="170">
                  <c:v>640</c:v>
                </c:pt>
                <c:pt idx="171">
                  <c:v>642</c:v>
                </c:pt>
                <c:pt idx="172">
                  <c:v>644</c:v>
                </c:pt>
                <c:pt idx="173">
                  <c:v>646</c:v>
                </c:pt>
                <c:pt idx="174">
                  <c:v>648</c:v>
                </c:pt>
                <c:pt idx="175">
                  <c:v>650</c:v>
                </c:pt>
                <c:pt idx="176">
                  <c:v>652</c:v>
                </c:pt>
                <c:pt idx="177">
                  <c:v>654</c:v>
                </c:pt>
                <c:pt idx="178">
                  <c:v>656</c:v>
                </c:pt>
                <c:pt idx="179">
                  <c:v>658</c:v>
                </c:pt>
                <c:pt idx="180">
                  <c:v>660</c:v>
                </c:pt>
                <c:pt idx="181">
                  <c:v>662</c:v>
                </c:pt>
                <c:pt idx="182">
                  <c:v>664</c:v>
                </c:pt>
                <c:pt idx="183">
                  <c:v>666</c:v>
                </c:pt>
                <c:pt idx="184">
                  <c:v>668</c:v>
                </c:pt>
                <c:pt idx="185">
                  <c:v>670</c:v>
                </c:pt>
                <c:pt idx="186">
                  <c:v>672</c:v>
                </c:pt>
                <c:pt idx="187">
                  <c:v>674</c:v>
                </c:pt>
                <c:pt idx="188">
                  <c:v>676</c:v>
                </c:pt>
                <c:pt idx="189">
                  <c:v>678</c:v>
                </c:pt>
                <c:pt idx="190">
                  <c:v>680</c:v>
                </c:pt>
                <c:pt idx="191">
                  <c:v>682</c:v>
                </c:pt>
                <c:pt idx="192">
                  <c:v>684</c:v>
                </c:pt>
                <c:pt idx="193">
                  <c:v>686</c:v>
                </c:pt>
                <c:pt idx="194">
                  <c:v>688</c:v>
                </c:pt>
                <c:pt idx="195">
                  <c:v>690</c:v>
                </c:pt>
                <c:pt idx="196">
                  <c:v>692</c:v>
                </c:pt>
                <c:pt idx="197">
                  <c:v>694</c:v>
                </c:pt>
                <c:pt idx="198">
                  <c:v>696</c:v>
                </c:pt>
                <c:pt idx="199">
                  <c:v>698</c:v>
                </c:pt>
                <c:pt idx="200">
                  <c:v>700</c:v>
                </c:pt>
                <c:pt idx="201">
                  <c:v>702</c:v>
                </c:pt>
                <c:pt idx="202">
                  <c:v>704</c:v>
                </c:pt>
                <c:pt idx="203">
                  <c:v>706</c:v>
                </c:pt>
                <c:pt idx="204">
                  <c:v>708</c:v>
                </c:pt>
                <c:pt idx="205">
                  <c:v>710</c:v>
                </c:pt>
                <c:pt idx="206">
                  <c:v>712</c:v>
                </c:pt>
                <c:pt idx="207">
                  <c:v>714</c:v>
                </c:pt>
                <c:pt idx="208">
                  <c:v>716</c:v>
                </c:pt>
                <c:pt idx="209">
                  <c:v>718</c:v>
                </c:pt>
                <c:pt idx="210">
                  <c:v>720</c:v>
                </c:pt>
                <c:pt idx="211">
                  <c:v>722</c:v>
                </c:pt>
                <c:pt idx="212">
                  <c:v>724</c:v>
                </c:pt>
                <c:pt idx="213">
                  <c:v>726</c:v>
                </c:pt>
                <c:pt idx="214">
                  <c:v>728</c:v>
                </c:pt>
                <c:pt idx="215">
                  <c:v>730</c:v>
                </c:pt>
                <c:pt idx="216">
                  <c:v>732</c:v>
                </c:pt>
                <c:pt idx="217">
                  <c:v>734</c:v>
                </c:pt>
                <c:pt idx="218">
                  <c:v>736</c:v>
                </c:pt>
                <c:pt idx="219">
                  <c:v>738</c:v>
                </c:pt>
                <c:pt idx="220">
                  <c:v>740</c:v>
                </c:pt>
                <c:pt idx="221">
                  <c:v>742</c:v>
                </c:pt>
                <c:pt idx="222">
                  <c:v>744</c:v>
                </c:pt>
                <c:pt idx="223">
                  <c:v>746</c:v>
                </c:pt>
                <c:pt idx="224">
                  <c:v>748</c:v>
                </c:pt>
                <c:pt idx="225">
                  <c:v>750</c:v>
                </c:pt>
                <c:pt idx="226">
                  <c:v>752</c:v>
                </c:pt>
                <c:pt idx="227">
                  <c:v>754</c:v>
                </c:pt>
                <c:pt idx="228">
                  <c:v>756</c:v>
                </c:pt>
                <c:pt idx="229">
                  <c:v>758</c:v>
                </c:pt>
                <c:pt idx="230">
                  <c:v>760</c:v>
                </c:pt>
                <c:pt idx="231">
                  <c:v>762</c:v>
                </c:pt>
                <c:pt idx="232">
                  <c:v>764</c:v>
                </c:pt>
                <c:pt idx="233">
                  <c:v>766</c:v>
                </c:pt>
                <c:pt idx="234">
                  <c:v>768</c:v>
                </c:pt>
                <c:pt idx="235">
                  <c:v>770</c:v>
                </c:pt>
                <c:pt idx="236">
                  <c:v>772</c:v>
                </c:pt>
                <c:pt idx="237">
                  <c:v>774</c:v>
                </c:pt>
                <c:pt idx="238">
                  <c:v>776</c:v>
                </c:pt>
                <c:pt idx="239">
                  <c:v>778</c:v>
                </c:pt>
                <c:pt idx="240">
                  <c:v>780</c:v>
                </c:pt>
                <c:pt idx="241">
                  <c:v>782</c:v>
                </c:pt>
                <c:pt idx="242">
                  <c:v>784</c:v>
                </c:pt>
                <c:pt idx="243">
                  <c:v>786</c:v>
                </c:pt>
                <c:pt idx="244">
                  <c:v>788</c:v>
                </c:pt>
                <c:pt idx="245">
                  <c:v>790</c:v>
                </c:pt>
                <c:pt idx="246">
                  <c:v>792</c:v>
                </c:pt>
                <c:pt idx="247">
                  <c:v>794</c:v>
                </c:pt>
                <c:pt idx="248">
                  <c:v>796</c:v>
                </c:pt>
                <c:pt idx="249">
                  <c:v>798</c:v>
                </c:pt>
                <c:pt idx="250">
                  <c:v>800</c:v>
                </c:pt>
                <c:pt idx="251">
                  <c:v>802</c:v>
                </c:pt>
                <c:pt idx="252">
                  <c:v>804</c:v>
                </c:pt>
                <c:pt idx="253">
                  <c:v>806</c:v>
                </c:pt>
                <c:pt idx="254">
                  <c:v>808</c:v>
                </c:pt>
                <c:pt idx="255">
                  <c:v>810</c:v>
                </c:pt>
                <c:pt idx="256">
                  <c:v>812</c:v>
                </c:pt>
                <c:pt idx="257">
                  <c:v>814</c:v>
                </c:pt>
                <c:pt idx="258">
                  <c:v>816</c:v>
                </c:pt>
                <c:pt idx="259">
                  <c:v>818</c:v>
                </c:pt>
                <c:pt idx="260">
                  <c:v>820</c:v>
                </c:pt>
                <c:pt idx="261">
                  <c:v>822</c:v>
                </c:pt>
                <c:pt idx="262">
                  <c:v>824</c:v>
                </c:pt>
                <c:pt idx="263">
                  <c:v>826</c:v>
                </c:pt>
                <c:pt idx="264">
                  <c:v>828</c:v>
                </c:pt>
                <c:pt idx="265">
                  <c:v>830</c:v>
                </c:pt>
                <c:pt idx="266">
                  <c:v>832</c:v>
                </c:pt>
                <c:pt idx="267">
                  <c:v>834</c:v>
                </c:pt>
                <c:pt idx="268">
                  <c:v>836</c:v>
                </c:pt>
                <c:pt idx="269">
                  <c:v>838</c:v>
                </c:pt>
                <c:pt idx="270">
                  <c:v>840</c:v>
                </c:pt>
                <c:pt idx="271">
                  <c:v>842</c:v>
                </c:pt>
                <c:pt idx="272">
                  <c:v>844</c:v>
                </c:pt>
                <c:pt idx="273">
                  <c:v>846</c:v>
                </c:pt>
                <c:pt idx="274">
                  <c:v>848</c:v>
                </c:pt>
                <c:pt idx="275">
                  <c:v>850</c:v>
                </c:pt>
                <c:pt idx="276">
                  <c:v>852</c:v>
                </c:pt>
                <c:pt idx="277">
                  <c:v>854</c:v>
                </c:pt>
                <c:pt idx="278">
                  <c:v>856</c:v>
                </c:pt>
                <c:pt idx="279">
                  <c:v>858</c:v>
                </c:pt>
                <c:pt idx="280">
                  <c:v>860</c:v>
                </c:pt>
                <c:pt idx="281">
                  <c:v>862</c:v>
                </c:pt>
                <c:pt idx="282">
                  <c:v>864</c:v>
                </c:pt>
                <c:pt idx="283">
                  <c:v>866</c:v>
                </c:pt>
                <c:pt idx="284">
                  <c:v>868</c:v>
                </c:pt>
                <c:pt idx="285">
                  <c:v>870</c:v>
                </c:pt>
                <c:pt idx="286">
                  <c:v>872</c:v>
                </c:pt>
                <c:pt idx="287">
                  <c:v>874</c:v>
                </c:pt>
                <c:pt idx="288">
                  <c:v>876</c:v>
                </c:pt>
                <c:pt idx="289">
                  <c:v>878</c:v>
                </c:pt>
                <c:pt idx="290">
                  <c:v>880</c:v>
                </c:pt>
                <c:pt idx="291">
                  <c:v>882</c:v>
                </c:pt>
                <c:pt idx="292">
                  <c:v>884</c:v>
                </c:pt>
                <c:pt idx="293">
                  <c:v>886</c:v>
                </c:pt>
                <c:pt idx="294">
                  <c:v>888</c:v>
                </c:pt>
                <c:pt idx="295">
                  <c:v>890</c:v>
                </c:pt>
                <c:pt idx="296">
                  <c:v>892</c:v>
                </c:pt>
                <c:pt idx="297">
                  <c:v>894</c:v>
                </c:pt>
                <c:pt idx="298">
                  <c:v>896</c:v>
                </c:pt>
                <c:pt idx="299">
                  <c:v>898</c:v>
                </c:pt>
                <c:pt idx="300">
                  <c:v>900</c:v>
                </c:pt>
                <c:pt idx="301">
                  <c:v>902</c:v>
                </c:pt>
                <c:pt idx="302">
                  <c:v>904</c:v>
                </c:pt>
                <c:pt idx="303">
                  <c:v>906</c:v>
                </c:pt>
                <c:pt idx="304">
                  <c:v>908</c:v>
                </c:pt>
                <c:pt idx="305">
                  <c:v>910</c:v>
                </c:pt>
                <c:pt idx="306">
                  <c:v>912</c:v>
                </c:pt>
                <c:pt idx="307">
                  <c:v>914</c:v>
                </c:pt>
                <c:pt idx="308">
                  <c:v>916</c:v>
                </c:pt>
                <c:pt idx="309">
                  <c:v>918</c:v>
                </c:pt>
                <c:pt idx="310">
                  <c:v>920</c:v>
                </c:pt>
                <c:pt idx="311">
                  <c:v>922</c:v>
                </c:pt>
                <c:pt idx="312">
                  <c:v>924</c:v>
                </c:pt>
                <c:pt idx="313">
                  <c:v>926</c:v>
                </c:pt>
                <c:pt idx="314">
                  <c:v>928</c:v>
                </c:pt>
                <c:pt idx="315">
                  <c:v>930</c:v>
                </c:pt>
                <c:pt idx="316">
                  <c:v>932</c:v>
                </c:pt>
                <c:pt idx="317">
                  <c:v>934</c:v>
                </c:pt>
                <c:pt idx="318">
                  <c:v>936</c:v>
                </c:pt>
                <c:pt idx="319">
                  <c:v>938</c:v>
                </c:pt>
                <c:pt idx="320">
                  <c:v>940</c:v>
                </c:pt>
                <c:pt idx="321">
                  <c:v>942</c:v>
                </c:pt>
                <c:pt idx="322">
                  <c:v>944</c:v>
                </c:pt>
                <c:pt idx="323">
                  <c:v>946</c:v>
                </c:pt>
                <c:pt idx="324">
                  <c:v>948</c:v>
                </c:pt>
                <c:pt idx="325">
                  <c:v>950</c:v>
                </c:pt>
                <c:pt idx="326">
                  <c:v>952</c:v>
                </c:pt>
                <c:pt idx="327">
                  <c:v>954</c:v>
                </c:pt>
                <c:pt idx="328">
                  <c:v>956</c:v>
                </c:pt>
                <c:pt idx="329">
                  <c:v>958</c:v>
                </c:pt>
                <c:pt idx="330">
                  <c:v>960</c:v>
                </c:pt>
                <c:pt idx="331">
                  <c:v>962</c:v>
                </c:pt>
                <c:pt idx="332">
                  <c:v>964</c:v>
                </c:pt>
                <c:pt idx="333">
                  <c:v>966</c:v>
                </c:pt>
                <c:pt idx="334">
                  <c:v>968</c:v>
                </c:pt>
                <c:pt idx="335">
                  <c:v>970</c:v>
                </c:pt>
                <c:pt idx="336">
                  <c:v>972</c:v>
                </c:pt>
                <c:pt idx="337">
                  <c:v>974</c:v>
                </c:pt>
                <c:pt idx="338">
                  <c:v>976</c:v>
                </c:pt>
                <c:pt idx="339">
                  <c:v>978</c:v>
                </c:pt>
                <c:pt idx="340">
                  <c:v>980</c:v>
                </c:pt>
                <c:pt idx="341">
                  <c:v>982</c:v>
                </c:pt>
                <c:pt idx="342">
                  <c:v>984</c:v>
                </c:pt>
                <c:pt idx="343">
                  <c:v>986</c:v>
                </c:pt>
                <c:pt idx="344">
                  <c:v>988</c:v>
                </c:pt>
                <c:pt idx="345">
                  <c:v>990</c:v>
                </c:pt>
                <c:pt idx="346">
                  <c:v>992</c:v>
                </c:pt>
                <c:pt idx="347">
                  <c:v>994</c:v>
                </c:pt>
                <c:pt idx="348">
                  <c:v>996</c:v>
                </c:pt>
                <c:pt idx="349">
                  <c:v>998</c:v>
                </c:pt>
                <c:pt idx="350">
                  <c:v>1000</c:v>
                </c:pt>
                <c:pt idx="351">
                  <c:v>1002</c:v>
                </c:pt>
                <c:pt idx="352">
                  <c:v>1004</c:v>
                </c:pt>
                <c:pt idx="353">
                  <c:v>1006</c:v>
                </c:pt>
                <c:pt idx="354">
                  <c:v>1008</c:v>
                </c:pt>
                <c:pt idx="355">
                  <c:v>1010</c:v>
                </c:pt>
                <c:pt idx="356">
                  <c:v>1012</c:v>
                </c:pt>
                <c:pt idx="357">
                  <c:v>1014</c:v>
                </c:pt>
                <c:pt idx="358">
                  <c:v>1016</c:v>
                </c:pt>
                <c:pt idx="359">
                  <c:v>1018</c:v>
                </c:pt>
                <c:pt idx="360">
                  <c:v>1020</c:v>
                </c:pt>
                <c:pt idx="361">
                  <c:v>1022</c:v>
                </c:pt>
                <c:pt idx="362">
                  <c:v>1024</c:v>
                </c:pt>
                <c:pt idx="363">
                  <c:v>1026</c:v>
                </c:pt>
                <c:pt idx="364">
                  <c:v>1028</c:v>
                </c:pt>
                <c:pt idx="365">
                  <c:v>1030</c:v>
                </c:pt>
                <c:pt idx="366">
                  <c:v>1032</c:v>
                </c:pt>
                <c:pt idx="367">
                  <c:v>1034</c:v>
                </c:pt>
                <c:pt idx="368">
                  <c:v>1036</c:v>
                </c:pt>
                <c:pt idx="369">
                  <c:v>1038</c:v>
                </c:pt>
                <c:pt idx="370">
                  <c:v>1040</c:v>
                </c:pt>
                <c:pt idx="371">
                  <c:v>1042</c:v>
                </c:pt>
                <c:pt idx="372">
                  <c:v>1044</c:v>
                </c:pt>
                <c:pt idx="373">
                  <c:v>1046</c:v>
                </c:pt>
                <c:pt idx="374">
                  <c:v>1048</c:v>
                </c:pt>
                <c:pt idx="375">
                  <c:v>1050</c:v>
                </c:pt>
                <c:pt idx="376">
                  <c:v>1052</c:v>
                </c:pt>
                <c:pt idx="377">
                  <c:v>1054</c:v>
                </c:pt>
                <c:pt idx="378">
                  <c:v>1056</c:v>
                </c:pt>
                <c:pt idx="379">
                  <c:v>1058</c:v>
                </c:pt>
                <c:pt idx="380">
                  <c:v>1060</c:v>
                </c:pt>
                <c:pt idx="381">
                  <c:v>1062</c:v>
                </c:pt>
                <c:pt idx="382">
                  <c:v>1064</c:v>
                </c:pt>
                <c:pt idx="383">
                  <c:v>1066</c:v>
                </c:pt>
                <c:pt idx="384">
                  <c:v>1068</c:v>
                </c:pt>
                <c:pt idx="385">
                  <c:v>1070</c:v>
                </c:pt>
                <c:pt idx="386">
                  <c:v>1072</c:v>
                </c:pt>
                <c:pt idx="387">
                  <c:v>1074</c:v>
                </c:pt>
                <c:pt idx="388">
                  <c:v>1076</c:v>
                </c:pt>
                <c:pt idx="389">
                  <c:v>1078</c:v>
                </c:pt>
                <c:pt idx="390">
                  <c:v>1080</c:v>
                </c:pt>
                <c:pt idx="391">
                  <c:v>1082</c:v>
                </c:pt>
                <c:pt idx="392">
                  <c:v>1084</c:v>
                </c:pt>
                <c:pt idx="393">
                  <c:v>1086</c:v>
                </c:pt>
                <c:pt idx="394">
                  <c:v>1088</c:v>
                </c:pt>
                <c:pt idx="395">
                  <c:v>1090</c:v>
                </c:pt>
                <c:pt idx="396">
                  <c:v>1092</c:v>
                </c:pt>
                <c:pt idx="397">
                  <c:v>1094</c:v>
                </c:pt>
                <c:pt idx="398">
                  <c:v>1096</c:v>
                </c:pt>
                <c:pt idx="399">
                  <c:v>1098</c:v>
                </c:pt>
                <c:pt idx="400">
                  <c:v>1100</c:v>
                </c:pt>
              </c:numCache>
            </c:numRef>
          </c:xVal>
          <c:yVal>
            <c:numRef>
              <c:f>'Typical AS7341 filters'!$M$5:$M$405</c:f>
              <c:numCache>
                <c:formatCode>General</c:formatCode>
                <c:ptCount val="4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4.967926862046979</c:v>
                </c:pt>
                <c:pt idx="55">
                  <c:v>7.3205767743783099</c:v>
                </c:pt>
                <c:pt idx="56">
                  <c:v>9.591919052285327</c:v>
                </c:pt>
                <c:pt idx="57">
                  <c:v>14.110393314027631</c:v>
                </c:pt>
                <c:pt idx="58">
                  <c:v>18.439893253564843</c:v>
                </c:pt>
                <c:pt idx="59">
                  <c:v>20.291145812613166</c:v>
                </c:pt>
                <c:pt idx="60">
                  <c:v>24.246021924559791</c:v>
                </c:pt>
                <c:pt idx="61">
                  <c:v>30.138255820352043</c:v>
                </c:pt>
                <c:pt idx="62">
                  <c:v>33.62799184837948</c:v>
                </c:pt>
                <c:pt idx="63">
                  <c:v>39.064321292547859</c:v>
                </c:pt>
                <c:pt idx="64">
                  <c:v>44.331512129326782</c:v>
                </c:pt>
                <c:pt idx="65">
                  <c:v>49.532214345345324</c:v>
                </c:pt>
                <c:pt idx="66">
                  <c:v>52.671583834486185</c:v>
                </c:pt>
                <c:pt idx="67">
                  <c:v>57.676581734520717</c:v>
                </c:pt>
                <c:pt idx="68">
                  <c:v>64.567821323495195</c:v>
                </c:pt>
                <c:pt idx="69">
                  <c:v>69.397306522417296</c:v>
                </c:pt>
                <c:pt idx="70">
                  <c:v>76.039747489754149</c:v>
                </c:pt>
                <c:pt idx="71">
                  <c:v>82.419948518960354</c:v>
                </c:pt>
                <c:pt idx="72">
                  <c:v>86.854606331205275</c:v>
                </c:pt>
                <c:pt idx="73">
                  <c:v>92.797114218551727</c:v>
                </c:pt>
                <c:pt idx="74">
                  <c:v>100.40526083190035</c:v>
                </c:pt>
                <c:pt idx="75">
                  <c:v>106.090287129648</c:v>
                </c:pt>
                <c:pt idx="76">
                  <c:v>113.38165207644455</c:v>
                </c:pt>
                <c:pt idx="77">
                  <c:v>120.60653689452478</c:v>
                </c:pt>
                <c:pt idx="78">
                  <c:v>125.95779870701978</c:v>
                </c:pt>
                <c:pt idx="79">
                  <c:v>132.98609793701416</c:v>
                </c:pt>
                <c:pt idx="80">
                  <c:v>140.00133538531952</c:v>
                </c:pt>
                <c:pt idx="81">
                  <c:v>146.96776206836122</c:v>
                </c:pt>
                <c:pt idx="82">
                  <c:v>153.82556776442135</c:v>
                </c:pt>
                <c:pt idx="83">
                  <c:v>162.31377324413182</c:v>
                </c:pt>
                <c:pt idx="84">
                  <c:v>169.15129002526891</c:v>
                </c:pt>
                <c:pt idx="85">
                  <c:v>174.3414697010607</c:v>
                </c:pt>
                <c:pt idx="86">
                  <c:v>181.22901789317254</c:v>
                </c:pt>
                <c:pt idx="87">
                  <c:v>189.44497716257692</c:v>
                </c:pt>
                <c:pt idx="88">
                  <c:v>196.14660779888439</c:v>
                </c:pt>
                <c:pt idx="89">
                  <c:v>202.91096402090017</c:v>
                </c:pt>
                <c:pt idx="90">
                  <c:v>209.64424105636544</c:v>
                </c:pt>
                <c:pt idx="91">
                  <c:v>217.99384572936182</c:v>
                </c:pt>
                <c:pt idx="92">
                  <c:v>224.68705064832483</c:v>
                </c:pt>
                <c:pt idx="93">
                  <c:v>231.54119936154808</c:v>
                </c:pt>
                <c:pt idx="94">
                  <c:v>239.72899906169536</c:v>
                </c:pt>
                <c:pt idx="95">
                  <c:v>246.48165387661913</c:v>
                </c:pt>
                <c:pt idx="96">
                  <c:v>253.22259531376378</c:v>
                </c:pt>
                <c:pt idx="97">
                  <c:v>261.59505268874028</c:v>
                </c:pt>
                <c:pt idx="98">
                  <c:v>268.29676381344723</c:v>
                </c:pt>
                <c:pt idx="99">
                  <c:v>276.63050351039874</c:v>
                </c:pt>
                <c:pt idx="100">
                  <c:v>283.52558685314574</c:v>
                </c:pt>
                <c:pt idx="101">
                  <c:v>290.43797778169869</c:v>
                </c:pt>
                <c:pt idx="102">
                  <c:v>297.45572668723065</c:v>
                </c:pt>
                <c:pt idx="103">
                  <c:v>302.88520826451338</c:v>
                </c:pt>
                <c:pt idx="104">
                  <c:v>309.45214736104589</c:v>
                </c:pt>
                <c:pt idx="105">
                  <c:v>315.85322123041772</c:v>
                </c:pt>
                <c:pt idx="106">
                  <c:v>323.03337380013409</c:v>
                </c:pt>
                <c:pt idx="107">
                  <c:v>329.49437466634834</c:v>
                </c:pt>
                <c:pt idx="108">
                  <c:v>336.38159056999632</c:v>
                </c:pt>
                <c:pt idx="109">
                  <c:v>343.4553005364096</c:v>
                </c:pt>
                <c:pt idx="110">
                  <c:v>349.52634621508116</c:v>
                </c:pt>
                <c:pt idx="111">
                  <c:v>355.37882710547586</c:v>
                </c:pt>
                <c:pt idx="112">
                  <c:v>361.65448716606858</c:v>
                </c:pt>
                <c:pt idx="113">
                  <c:v>372.66007154859136</c:v>
                </c:pt>
                <c:pt idx="114">
                  <c:v>380.16996954254842</c:v>
                </c:pt>
                <c:pt idx="115">
                  <c:v>387.83038279415024</c:v>
                </c:pt>
                <c:pt idx="116">
                  <c:v>393.86763517994183</c:v>
                </c:pt>
                <c:pt idx="117">
                  <c:v>399.98707542566973</c:v>
                </c:pt>
                <c:pt idx="118">
                  <c:v>407.97370832271167</c:v>
                </c:pt>
                <c:pt idx="119">
                  <c:v>413.32175175182152</c:v>
                </c:pt>
                <c:pt idx="120">
                  <c:v>421.43688413212874</c:v>
                </c:pt>
                <c:pt idx="121">
                  <c:v>427.40632740824776</c:v>
                </c:pt>
                <c:pt idx="122">
                  <c:v>434.70156167843948</c:v>
                </c:pt>
                <c:pt idx="123">
                  <c:v>441.47562597289078</c:v>
                </c:pt>
                <c:pt idx="124">
                  <c:v>446.42581411783232</c:v>
                </c:pt>
                <c:pt idx="125">
                  <c:v>454.39517177508617</c:v>
                </c:pt>
                <c:pt idx="126">
                  <c:v>460.50478589086521</c:v>
                </c:pt>
                <c:pt idx="127">
                  <c:v>467.21529278996496</c:v>
                </c:pt>
                <c:pt idx="128">
                  <c:v>473.82125920244795</c:v>
                </c:pt>
                <c:pt idx="129">
                  <c:v>480.21486503891117</c:v>
                </c:pt>
                <c:pt idx="130">
                  <c:v>486.30390845660918</c:v>
                </c:pt>
                <c:pt idx="131">
                  <c:v>492.88581033691878</c:v>
                </c:pt>
                <c:pt idx="132">
                  <c:v>499.27225703543758</c:v>
                </c:pt>
                <c:pt idx="133">
                  <c:v>505.9146455518902</c:v>
                </c:pt>
                <c:pt idx="134">
                  <c:v>512.30197599809401</c:v>
                </c:pt>
                <c:pt idx="135">
                  <c:v>519.04442484909634</c:v>
                </c:pt>
                <c:pt idx="136">
                  <c:v>525.1385637353294</c:v>
                </c:pt>
                <c:pt idx="137">
                  <c:v>530.59483401566138</c:v>
                </c:pt>
                <c:pt idx="138">
                  <c:v>537.54296137987365</c:v>
                </c:pt>
                <c:pt idx="139">
                  <c:v>542.84290959485531</c:v>
                </c:pt>
                <c:pt idx="140">
                  <c:v>549.29943865540542</c:v>
                </c:pt>
                <c:pt idx="141">
                  <c:v>555.04027642868721</c:v>
                </c:pt>
                <c:pt idx="142">
                  <c:v>560.50389546488123</c:v>
                </c:pt>
                <c:pt idx="143">
                  <c:v>565.44523151266765</c:v>
                </c:pt>
                <c:pt idx="144">
                  <c:v>570.34631991883953</c:v>
                </c:pt>
                <c:pt idx="145">
                  <c:v>575.50584511629302</c:v>
                </c:pt>
                <c:pt idx="146">
                  <c:v>581.38435984996602</c:v>
                </c:pt>
                <c:pt idx="147">
                  <c:v>587.810884287156</c:v>
                </c:pt>
                <c:pt idx="148">
                  <c:v>593.50840781791965</c:v>
                </c:pt>
                <c:pt idx="149">
                  <c:v>599.20142719151602</c:v>
                </c:pt>
                <c:pt idx="150">
                  <c:v>604.81652603533814</c:v>
                </c:pt>
                <c:pt idx="151">
                  <c:v>609.75952297638969</c:v>
                </c:pt>
                <c:pt idx="152">
                  <c:v>615.41049777572243</c:v>
                </c:pt>
                <c:pt idx="153">
                  <c:v>620.56669458336785</c:v>
                </c:pt>
                <c:pt idx="154">
                  <c:v>626.04701515104045</c:v>
                </c:pt>
                <c:pt idx="155">
                  <c:v>631.54336895136851</c:v>
                </c:pt>
                <c:pt idx="156">
                  <c:v>636.5555669214624</c:v>
                </c:pt>
                <c:pt idx="157">
                  <c:v>641.8314307334482</c:v>
                </c:pt>
                <c:pt idx="158">
                  <c:v>646.88875315969847</c:v>
                </c:pt>
                <c:pt idx="159">
                  <c:v>651.55977538542379</c:v>
                </c:pt>
                <c:pt idx="160">
                  <c:v>656.85660505246699</c:v>
                </c:pt>
                <c:pt idx="161">
                  <c:v>662.19973580076089</c:v>
                </c:pt>
                <c:pt idx="162">
                  <c:v>667.91310788966814</c:v>
                </c:pt>
                <c:pt idx="163">
                  <c:v>673.66873051004154</c:v>
                </c:pt>
                <c:pt idx="164">
                  <c:v>679.04211035214291</c:v>
                </c:pt>
                <c:pt idx="165">
                  <c:v>683.74342727709222</c:v>
                </c:pt>
                <c:pt idx="166">
                  <c:v>687.17223789427635</c:v>
                </c:pt>
                <c:pt idx="167">
                  <c:v>692.08973949099448</c:v>
                </c:pt>
                <c:pt idx="168">
                  <c:v>696.37644591706487</c:v>
                </c:pt>
                <c:pt idx="169">
                  <c:v>700.90136326324296</c:v>
                </c:pt>
                <c:pt idx="170">
                  <c:v>705.8345196218969</c:v>
                </c:pt>
                <c:pt idx="171">
                  <c:v>711.04224407287234</c:v>
                </c:pt>
                <c:pt idx="172">
                  <c:v>716.13008827196188</c:v>
                </c:pt>
                <c:pt idx="173">
                  <c:v>721.34312915266196</c:v>
                </c:pt>
                <c:pt idx="174">
                  <c:v>725.88881082179648</c:v>
                </c:pt>
                <c:pt idx="175">
                  <c:v>730.50889318567386</c:v>
                </c:pt>
                <c:pt idx="176">
                  <c:v>734.40772322405417</c:v>
                </c:pt>
                <c:pt idx="177">
                  <c:v>738.19951718197103</c:v>
                </c:pt>
                <c:pt idx="178">
                  <c:v>742.47330970832684</c:v>
                </c:pt>
                <c:pt idx="179">
                  <c:v>746.78565850406301</c:v>
                </c:pt>
                <c:pt idx="180">
                  <c:v>751.43020371780426</c:v>
                </c:pt>
                <c:pt idx="181">
                  <c:v>755.71924272460137</c:v>
                </c:pt>
                <c:pt idx="182">
                  <c:v>760.24046571483711</c:v>
                </c:pt>
                <c:pt idx="183">
                  <c:v>764.71532761515596</c:v>
                </c:pt>
                <c:pt idx="184">
                  <c:v>768.85759190328508</c:v>
                </c:pt>
                <c:pt idx="185">
                  <c:v>772.92169705205492</c:v>
                </c:pt>
                <c:pt idx="186">
                  <c:v>776.87729632866444</c:v>
                </c:pt>
                <c:pt idx="187">
                  <c:v>780.9222587428834</c:v>
                </c:pt>
                <c:pt idx="188">
                  <c:v>785.27199927806316</c:v>
                </c:pt>
                <c:pt idx="189">
                  <c:v>789.98536044012917</c:v>
                </c:pt>
                <c:pt idx="190">
                  <c:v>794.6365709003976</c:v>
                </c:pt>
                <c:pt idx="191">
                  <c:v>799.31162849266457</c:v>
                </c:pt>
                <c:pt idx="192">
                  <c:v>804.06419386900166</c:v>
                </c:pt>
                <c:pt idx="193">
                  <c:v>808.17904198056942</c:v>
                </c:pt>
                <c:pt idx="194">
                  <c:v>812.26313015330936</c:v>
                </c:pt>
                <c:pt idx="195">
                  <c:v>815.47797513847991</c:v>
                </c:pt>
                <c:pt idx="196">
                  <c:v>819.14273174160053</c:v>
                </c:pt>
                <c:pt idx="197">
                  <c:v>823.05514596584362</c:v>
                </c:pt>
                <c:pt idx="198">
                  <c:v>826.47983368371627</c:v>
                </c:pt>
                <c:pt idx="199">
                  <c:v>829.99978446645548</c:v>
                </c:pt>
                <c:pt idx="200">
                  <c:v>833.50784921050172</c:v>
                </c:pt>
                <c:pt idx="201">
                  <c:v>837.0372677172644</c:v>
                </c:pt>
                <c:pt idx="202">
                  <c:v>840.69378270410027</c:v>
                </c:pt>
                <c:pt idx="203">
                  <c:v>844.09420960804528</c:v>
                </c:pt>
                <c:pt idx="204">
                  <c:v>847.19090125947469</c:v>
                </c:pt>
                <c:pt idx="205">
                  <c:v>850.46374185797072</c:v>
                </c:pt>
                <c:pt idx="206">
                  <c:v>853.52080983303665</c:v>
                </c:pt>
                <c:pt idx="207">
                  <c:v>856.49881992082396</c:v>
                </c:pt>
                <c:pt idx="208">
                  <c:v>860.03012819209971</c:v>
                </c:pt>
                <c:pt idx="209">
                  <c:v>863.46679571724292</c:v>
                </c:pt>
                <c:pt idx="210">
                  <c:v>867.27818913116323</c:v>
                </c:pt>
                <c:pt idx="211">
                  <c:v>870.74900774896639</c:v>
                </c:pt>
                <c:pt idx="212">
                  <c:v>874.10986591685889</c:v>
                </c:pt>
                <c:pt idx="213">
                  <c:v>877.15487609265585</c:v>
                </c:pt>
                <c:pt idx="214">
                  <c:v>879.99612232602522</c:v>
                </c:pt>
                <c:pt idx="215">
                  <c:v>882.29824943829624</c:v>
                </c:pt>
                <c:pt idx="216">
                  <c:v>884.04855637371475</c:v>
                </c:pt>
                <c:pt idx="217">
                  <c:v>885.54296308179892</c:v>
                </c:pt>
                <c:pt idx="218">
                  <c:v>886.82121583742423</c:v>
                </c:pt>
                <c:pt idx="219">
                  <c:v>888.3097180082583</c:v>
                </c:pt>
                <c:pt idx="220">
                  <c:v>890.03286108759596</c:v>
                </c:pt>
                <c:pt idx="221">
                  <c:v>891.9819229848008</c:v>
                </c:pt>
                <c:pt idx="222">
                  <c:v>894.31596364207724</c:v>
                </c:pt>
                <c:pt idx="223">
                  <c:v>896.63773360962307</c:v>
                </c:pt>
                <c:pt idx="224">
                  <c:v>898.76101658448692</c:v>
                </c:pt>
                <c:pt idx="225">
                  <c:v>900.62746867943133</c:v>
                </c:pt>
                <c:pt idx="226">
                  <c:v>901.97473785130296</c:v>
                </c:pt>
                <c:pt idx="227">
                  <c:v>902.89842679872663</c:v>
                </c:pt>
                <c:pt idx="228">
                  <c:v>903.62316032212584</c:v>
                </c:pt>
                <c:pt idx="229">
                  <c:v>904.01088028552579</c:v>
                </c:pt>
                <c:pt idx="230">
                  <c:v>904.42725532377858</c:v>
                </c:pt>
                <c:pt idx="231">
                  <c:v>904.65895478898074</c:v>
                </c:pt>
                <c:pt idx="232">
                  <c:v>905.48854770038974</c:v>
                </c:pt>
                <c:pt idx="233">
                  <c:v>905.97757233187588</c:v>
                </c:pt>
                <c:pt idx="234">
                  <c:v>907.00991992088029</c:v>
                </c:pt>
                <c:pt idx="235">
                  <c:v>907.92951219951158</c:v>
                </c:pt>
                <c:pt idx="236">
                  <c:v>908.62379289284945</c:v>
                </c:pt>
                <c:pt idx="237">
                  <c:v>909.48643891555128</c:v>
                </c:pt>
                <c:pt idx="238">
                  <c:v>909.6756859408772</c:v>
                </c:pt>
                <c:pt idx="239">
                  <c:v>909.80621295344133</c:v>
                </c:pt>
                <c:pt idx="240">
                  <c:v>909.73826166114736</c:v>
                </c:pt>
                <c:pt idx="241">
                  <c:v>909.0676928817976</c:v>
                </c:pt>
                <c:pt idx="242">
                  <c:v>908.4856234440648</c:v>
                </c:pt>
                <c:pt idx="243">
                  <c:v>907.33970665295101</c:v>
                </c:pt>
                <c:pt idx="244">
                  <c:v>906.10961002434794</c:v>
                </c:pt>
                <c:pt idx="245">
                  <c:v>905.10896383236934</c:v>
                </c:pt>
                <c:pt idx="246">
                  <c:v>904.05614803507183</c:v>
                </c:pt>
                <c:pt idx="247">
                  <c:v>903.38258605910642</c:v>
                </c:pt>
                <c:pt idx="248">
                  <c:v>902.43144704760402</c:v>
                </c:pt>
                <c:pt idx="249">
                  <c:v>901.42340487294621</c:v>
                </c:pt>
                <c:pt idx="250">
                  <c:v>900.70238147623672</c:v>
                </c:pt>
                <c:pt idx="251">
                  <c:v>899.32962240191466</c:v>
                </c:pt>
                <c:pt idx="252">
                  <c:v>897.59303124748476</c:v>
                </c:pt>
                <c:pt idx="253">
                  <c:v>895.73556824180002</c:v>
                </c:pt>
                <c:pt idx="254">
                  <c:v>893.17108506934494</c:v>
                </c:pt>
                <c:pt idx="255">
                  <c:v>889.96406515251238</c:v>
                </c:pt>
                <c:pt idx="256">
                  <c:v>886.85152466880572</c:v>
                </c:pt>
                <c:pt idx="257">
                  <c:v>883.08748666418546</c:v>
                </c:pt>
                <c:pt idx="258">
                  <c:v>878.88823002591323</c:v>
                </c:pt>
                <c:pt idx="259">
                  <c:v>875.02991376193165</c:v>
                </c:pt>
                <c:pt idx="260">
                  <c:v>871.01596707424301</c:v>
                </c:pt>
                <c:pt idx="261">
                  <c:v>867.36396858238788</c:v>
                </c:pt>
                <c:pt idx="262">
                  <c:v>863.6449110710696</c:v>
                </c:pt>
                <c:pt idx="263">
                  <c:v>859.92927657086932</c:v>
                </c:pt>
                <c:pt idx="264">
                  <c:v>856.3123122495499</c:v>
                </c:pt>
                <c:pt idx="265">
                  <c:v>852.28242370760847</c:v>
                </c:pt>
                <c:pt idx="266">
                  <c:v>848.19807018486188</c:v>
                </c:pt>
                <c:pt idx="267">
                  <c:v>843.62916951691079</c:v>
                </c:pt>
                <c:pt idx="268">
                  <c:v>839.05816972188438</c:v>
                </c:pt>
                <c:pt idx="269">
                  <c:v>834.06852535373878</c:v>
                </c:pt>
                <c:pt idx="270">
                  <c:v>828.62689148391803</c:v>
                </c:pt>
                <c:pt idx="271">
                  <c:v>823.1688596114526</c:v>
                </c:pt>
                <c:pt idx="272">
                  <c:v>817.30847654886622</c:v>
                </c:pt>
                <c:pt idx="273">
                  <c:v>811.95471447690488</c:v>
                </c:pt>
                <c:pt idx="274">
                  <c:v>806.36417601421101</c:v>
                </c:pt>
                <c:pt idx="275">
                  <c:v>800.78129686355567</c:v>
                </c:pt>
                <c:pt idx="276">
                  <c:v>795.25700732695725</c:v>
                </c:pt>
                <c:pt idx="277">
                  <c:v>789.77364749840967</c:v>
                </c:pt>
                <c:pt idx="278">
                  <c:v>783.90844382152454</c:v>
                </c:pt>
                <c:pt idx="279">
                  <c:v>778.26423510332529</c:v>
                </c:pt>
                <c:pt idx="280">
                  <c:v>771.78904214995271</c:v>
                </c:pt>
                <c:pt idx="281">
                  <c:v>765.26355662668732</c:v>
                </c:pt>
                <c:pt idx="282">
                  <c:v>758.59380700605846</c:v>
                </c:pt>
                <c:pt idx="283">
                  <c:v>751.73981069025933</c:v>
                </c:pt>
                <c:pt idx="284">
                  <c:v>745.11645375011517</c:v>
                </c:pt>
                <c:pt idx="285">
                  <c:v>737.83628226325311</c:v>
                </c:pt>
                <c:pt idx="286">
                  <c:v>730.21855410026433</c:v>
                </c:pt>
                <c:pt idx="287">
                  <c:v>722.76596055623429</c:v>
                </c:pt>
                <c:pt idx="288">
                  <c:v>714.93204770548596</c:v>
                </c:pt>
                <c:pt idx="289">
                  <c:v>707.13817412924425</c:v>
                </c:pt>
                <c:pt idx="290">
                  <c:v>700.02240530652102</c:v>
                </c:pt>
                <c:pt idx="291">
                  <c:v>692.36757599971929</c:v>
                </c:pt>
                <c:pt idx="292">
                  <c:v>684.98357300616544</c:v>
                </c:pt>
                <c:pt idx="293">
                  <c:v>677.4332345955188</c:v>
                </c:pt>
                <c:pt idx="294">
                  <c:v>669.83522758474055</c:v>
                </c:pt>
                <c:pt idx="295">
                  <c:v>662.00487978268086</c:v>
                </c:pt>
                <c:pt idx="296">
                  <c:v>654.39315946702834</c:v>
                </c:pt>
                <c:pt idx="297">
                  <c:v>646.40540499313784</c:v>
                </c:pt>
                <c:pt idx="298">
                  <c:v>638.79102319334447</c:v>
                </c:pt>
                <c:pt idx="299">
                  <c:v>630.00770861925116</c:v>
                </c:pt>
                <c:pt idx="300">
                  <c:v>621.83063828650677</c:v>
                </c:pt>
                <c:pt idx="301">
                  <c:v>613.29100375989083</c:v>
                </c:pt>
                <c:pt idx="302">
                  <c:v>604.81745957125042</c:v>
                </c:pt>
                <c:pt idx="303">
                  <c:v>595.88140557636336</c:v>
                </c:pt>
                <c:pt idx="304">
                  <c:v>587.59061061443185</c:v>
                </c:pt>
                <c:pt idx="305">
                  <c:v>578.84853010043764</c:v>
                </c:pt>
                <c:pt idx="306">
                  <c:v>570.26016192617442</c:v>
                </c:pt>
                <c:pt idx="307">
                  <c:v>561.47173502950432</c:v>
                </c:pt>
                <c:pt idx="308">
                  <c:v>553.3944328810353</c:v>
                </c:pt>
                <c:pt idx="309">
                  <c:v>544.96755501315192</c:v>
                </c:pt>
                <c:pt idx="310">
                  <c:v>536.37198038835527</c:v>
                </c:pt>
                <c:pt idx="311">
                  <c:v>527.75646854666275</c:v>
                </c:pt>
                <c:pt idx="312">
                  <c:v>519.16638592272932</c:v>
                </c:pt>
                <c:pt idx="313">
                  <c:v>510.62730082002213</c:v>
                </c:pt>
                <c:pt idx="314">
                  <c:v>501.8997184083741</c:v>
                </c:pt>
                <c:pt idx="315">
                  <c:v>493.40154546286635</c:v>
                </c:pt>
                <c:pt idx="316">
                  <c:v>484.30218829809633</c:v>
                </c:pt>
                <c:pt idx="317">
                  <c:v>475.6223777349482</c:v>
                </c:pt>
                <c:pt idx="318">
                  <c:v>466.80643986760919</c:v>
                </c:pt>
                <c:pt idx="319">
                  <c:v>457.91566274717866</c:v>
                </c:pt>
                <c:pt idx="320">
                  <c:v>448.99111050824519</c:v>
                </c:pt>
                <c:pt idx="321">
                  <c:v>439.74608586531576</c:v>
                </c:pt>
                <c:pt idx="322">
                  <c:v>430.81976998676816</c:v>
                </c:pt>
                <c:pt idx="323">
                  <c:v>421.70290179049942</c:v>
                </c:pt>
                <c:pt idx="324">
                  <c:v>412.7176107313245</c:v>
                </c:pt>
                <c:pt idx="325">
                  <c:v>404.04162174497355</c:v>
                </c:pt>
                <c:pt idx="326">
                  <c:v>395.49106885425766</c:v>
                </c:pt>
                <c:pt idx="327">
                  <c:v>387.30409896386379</c:v>
                </c:pt>
                <c:pt idx="328">
                  <c:v>378.93965827364991</c:v>
                </c:pt>
                <c:pt idx="329">
                  <c:v>370.32142874746131</c:v>
                </c:pt>
                <c:pt idx="330">
                  <c:v>362.07011665144745</c:v>
                </c:pt>
                <c:pt idx="331">
                  <c:v>353.97299117611703</c:v>
                </c:pt>
                <c:pt idx="332">
                  <c:v>345.73191838349697</c:v>
                </c:pt>
                <c:pt idx="333">
                  <c:v>337.80091684336361</c:v>
                </c:pt>
                <c:pt idx="334">
                  <c:v>329.84637884896034</c:v>
                </c:pt>
                <c:pt idx="335">
                  <c:v>321.77793645836471</c:v>
                </c:pt>
                <c:pt idx="336">
                  <c:v>313.79932773151711</c:v>
                </c:pt>
                <c:pt idx="337">
                  <c:v>306.03916228069767</c:v>
                </c:pt>
                <c:pt idx="338">
                  <c:v>298.00625584602818</c:v>
                </c:pt>
                <c:pt idx="339">
                  <c:v>290.44368726058519</c:v>
                </c:pt>
                <c:pt idx="340">
                  <c:v>282.31844600466115</c:v>
                </c:pt>
                <c:pt idx="341">
                  <c:v>274.43306601262373</c:v>
                </c:pt>
                <c:pt idx="342">
                  <c:v>266.60802176958805</c:v>
                </c:pt>
                <c:pt idx="343">
                  <c:v>258.91056780729895</c:v>
                </c:pt>
                <c:pt idx="344">
                  <c:v>251.39589740265188</c:v>
                </c:pt>
                <c:pt idx="345">
                  <c:v>243.83288292486304</c:v>
                </c:pt>
                <c:pt idx="346">
                  <c:v>236.67793621916312</c:v>
                </c:pt>
                <c:pt idx="347">
                  <c:v>229.33979372286367</c:v>
                </c:pt>
                <c:pt idx="348">
                  <c:v>222.05248145177777</c:v>
                </c:pt>
                <c:pt idx="349">
                  <c:v>215.24275231243794</c:v>
                </c:pt>
                <c:pt idx="350">
                  <c:v>208.28346229707344</c:v>
                </c:pt>
                <c:pt idx="351">
                  <c:v>201.89235585214348</c:v>
                </c:pt>
                <c:pt idx="352">
                  <c:v>195.19291590795552</c:v>
                </c:pt>
                <c:pt idx="353">
                  <c:v>188.87280206097626</c:v>
                </c:pt>
                <c:pt idx="354">
                  <c:v>181.95493300194022</c:v>
                </c:pt>
                <c:pt idx="355">
                  <c:v>175.6467749656058</c:v>
                </c:pt>
                <c:pt idx="356">
                  <c:v>169.26463663629326</c:v>
                </c:pt>
                <c:pt idx="357">
                  <c:v>163.0542799889015</c:v>
                </c:pt>
                <c:pt idx="358">
                  <c:v>157.04627353260045</c:v>
                </c:pt>
                <c:pt idx="359">
                  <c:v>150.87369046417533</c:v>
                </c:pt>
                <c:pt idx="360">
                  <c:v>144.72533925937472</c:v>
                </c:pt>
                <c:pt idx="361">
                  <c:v>138.74507478260202</c:v>
                </c:pt>
                <c:pt idx="362">
                  <c:v>132.87932923714308</c:v>
                </c:pt>
                <c:pt idx="363">
                  <c:v>127.00167020915127</c:v>
                </c:pt>
                <c:pt idx="364">
                  <c:v>121.11395110388173</c:v>
                </c:pt>
                <c:pt idx="365">
                  <c:v>115.58982514508199</c:v>
                </c:pt>
                <c:pt idx="366">
                  <c:v>109.90187511766308</c:v>
                </c:pt>
                <c:pt idx="367">
                  <c:v>104.45532248179204</c:v>
                </c:pt>
                <c:pt idx="368">
                  <c:v>99.061169822343885</c:v>
                </c:pt>
                <c:pt idx="369">
                  <c:v>93.981323574262404</c:v>
                </c:pt>
                <c:pt idx="370">
                  <c:v>88.895969856854734</c:v>
                </c:pt>
                <c:pt idx="371">
                  <c:v>84.124738878919302</c:v>
                </c:pt>
                <c:pt idx="372">
                  <c:v>79.692461801375288</c:v>
                </c:pt>
                <c:pt idx="373">
                  <c:v>75.35517639745197</c:v>
                </c:pt>
                <c:pt idx="374">
                  <c:v>71.119718133388261</c:v>
                </c:pt>
                <c:pt idx="375">
                  <c:v>67.121524480677834</c:v>
                </c:pt>
                <c:pt idx="376">
                  <c:v>63.129229222769567</c:v>
                </c:pt>
                <c:pt idx="377">
                  <c:v>59.401856577205791</c:v>
                </c:pt>
                <c:pt idx="378">
                  <c:v>55.706120732146282</c:v>
                </c:pt>
                <c:pt idx="379">
                  <c:v>52.34659637391804</c:v>
                </c:pt>
                <c:pt idx="380">
                  <c:v>49.181608649404403</c:v>
                </c:pt>
                <c:pt idx="381">
                  <c:v>46.320103015929782</c:v>
                </c:pt>
                <c:pt idx="382">
                  <c:v>43.71128847335364</c:v>
                </c:pt>
                <c:pt idx="383">
                  <c:v>41.31671645749806</c:v>
                </c:pt>
                <c:pt idx="384">
                  <c:v>39.131033886433002</c:v>
                </c:pt>
                <c:pt idx="385">
                  <c:v>37.11427333227315</c:v>
                </c:pt>
                <c:pt idx="386">
                  <c:v>35.158682294621492</c:v>
                </c:pt>
                <c:pt idx="387">
                  <c:v>33.272123661474652</c:v>
                </c:pt>
                <c:pt idx="388">
                  <c:v>31.778886152899187</c:v>
                </c:pt>
                <c:pt idx="389">
                  <c:v>30.288938415142372</c:v>
                </c:pt>
                <c:pt idx="390">
                  <c:v>28.796667448726378</c:v>
                </c:pt>
                <c:pt idx="391">
                  <c:v>27.420532221871554</c:v>
                </c:pt>
                <c:pt idx="392">
                  <c:v>26.063687059420989</c:v>
                </c:pt>
                <c:pt idx="393">
                  <c:v>24.6795498994844</c:v>
                </c:pt>
                <c:pt idx="394">
                  <c:v>23.563530157482941</c:v>
                </c:pt>
                <c:pt idx="395">
                  <c:v>22.395350407713973</c:v>
                </c:pt>
                <c:pt idx="396">
                  <c:v>21.258864684213485</c:v>
                </c:pt>
                <c:pt idx="397">
                  <c:v>20.171892896458676</c:v>
                </c:pt>
                <c:pt idx="398">
                  <c:v>19.112722971240586</c:v>
                </c:pt>
                <c:pt idx="399">
                  <c:v>18.136280817341053</c:v>
                </c:pt>
                <c:pt idx="400">
                  <c:v>17.126622568258</c:v>
                </c:pt>
              </c:numCache>
            </c:numRef>
          </c:yVal>
          <c:smooth val="1"/>
          <c:extLst>
            <c:ext xmlns:c16="http://schemas.microsoft.com/office/drawing/2014/chart" uri="{C3380CC4-5D6E-409C-BE32-E72D297353CC}">
              <c16:uniqueId val="{0000000B-AE74-476B-9B96-4F9C790085E0}"/>
            </c:ext>
          </c:extLst>
        </c:ser>
        <c:dLbls>
          <c:showLegendKey val="0"/>
          <c:showVal val="0"/>
          <c:showCatName val="0"/>
          <c:showSerName val="0"/>
          <c:showPercent val="0"/>
          <c:showBubbleSize val="0"/>
        </c:dLbls>
        <c:axId val="747697391"/>
        <c:axId val="747701551"/>
      </c:scatterChart>
      <c:valAx>
        <c:axId val="747697391"/>
        <c:scaling>
          <c:orientation val="minMax"/>
          <c:max val="1100"/>
          <c:min val="4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7701551"/>
        <c:crosses val="autoZero"/>
        <c:crossBetween val="midCat"/>
      </c:valAx>
      <c:valAx>
        <c:axId val="74770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76973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276451</xdr:colOff>
      <xdr:row>3</xdr:row>
      <xdr:rowOff>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0"/>
          <a:ext cx="1619476" cy="5715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68580</xdr:colOff>
      <xdr:row>28</xdr:row>
      <xdr:rowOff>10632</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913620" cy="51312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558164</xdr:colOff>
      <xdr:row>27</xdr:row>
      <xdr:rowOff>148589</xdr:rowOff>
    </xdr:from>
    <xdr:to>
      <xdr:col>13</xdr:col>
      <xdr:colOff>1024889</xdr:colOff>
      <xdr:row>42</xdr:row>
      <xdr:rowOff>13334</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121920</xdr:colOff>
      <xdr:row>43</xdr:row>
      <xdr:rowOff>45720</xdr:rowOff>
    </xdr:from>
    <xdr:to>
      <xdr:col>13</xdr:col>
      <xdr:colOff>483870</xdr:colOff>
      <xdr:row>63</xdr:row>
      <xdr:rowOff>13335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208280</xdr:colOff>
      <xdr:row>59</xdr:row>
      <xdr:rowOff>54821</xdr:rowOff>
    </xdr:from>
    <xdr:to>
      <xdr:col>6</xdr:col>
      <xdr:colOff>271991</xdr:colOff>
      <xdr:row>79</xdr:row>
      <xdr:rowOff>23071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69425</xdr:colOff>
      <xdr:row>37</xdr:row>
      <xdr:rowOff>174836</xdr:rowOff>
    </xdr:from>
    <xdr:to>
      <xdr:col>6</xdr:col>
      <xdr:colOff>126363</xdr:colOff>
      <xdr:row>58</xdr:row>
      <xdr:rowOff>49529</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2645</xdr:colOff>
      <xdr:row>22</xdr:row>
      <xdr:rowOff>33336</xdr:rowOff>
    </xdr:from>
    <xdr:to>
      <xdr:col>7</xdr:col>
      <xdr:colOff>684635</xdr:colOff>
      <xdr:row>37</xdr:row>
      <xdr:rowOff>46778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60960</xdr:colOff>
          <xdr:row>8</xdr:row>
          <xdr:rowOff>99060</xdr:rowOff>
        </xdr:from>
        <xdr:to>
          <xdr:col>6</xdr:col>
          <xdr:colOff>754380</xdr:colOff>
          <xdr:row>8</xdr:row>
          <xdr:rowOff>579120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NIR Corr</a:t>
              </a:r>
            </a:p>
            <a:p>
              <a:pPr algn="ctr" rtl="0">
                <a:defRPr sz="1000"/>
              </a:pPr>
              <a:r>
                <a:rPr lang="pt-BR" sz="1100" b="0" i="0" u="none" strike="noStrike" baseline="0">
                  <a:solidFill>
                    <a:srgbClr val="000000"/>
                  </a:solidFill>
                  <a:latin typeface="Calibri"/>
                  <a:cs typeface="Calibri"/>
                </a:rPr>
                <a:t>On/Off</a:t>
              </a:r>
            </a:p>
          </xdr:txBody>
        </xdr:sp>
        <xdr:clientData fPrintsWithSheet="0"/>
      </xdr:twoCellAnchor>
    </mc:Choice>
    <mc:Fallback/>
  </mc:AlternateContent>
  <xdr:twoCellAnchor>
    <xdr:from>
      <xdr:col>25</xdr:col>
      <xdr:colOff>338665</xdr:colOff>
      <xdr:row>23</xdr:row>
      <xdr:rowOff>1</xdr:rowOff>
    </xdr:from>
    <xdr:to>
      <xdr:col>32</xdr:col>
      <xdr:colOff>560916</xdr:colOff>
      <xdr:row>49</xdr:row>
      <xdr:rowOff>21167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104775</xdr:colOff>
      <xdr:row>1</xdr:row>
      <xdr:rowOff>180975</xdr:rowOff>
    </xdr:from>
    <xdr:to>
      <xdr:col>24</xdr:col>
      <xdr:colOff>581025</xdr:colOff>
      <xdr:row>22</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jedata\Project\OSL\08_OptoApplicationsLab\03_MeasurementData\Monochromator\_Templates\Finished\Spectral_300_1100_5nmSteps_5Diod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jedata\Team\OSL\08_OptoApplicationsLab\03_MeasurementData\Monochromator\_Templates\Finished\Spectral_300_1100_5nmSteps_5Diod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jedata\Team\AMS\AMS%20products\AS7341%20XWing\04_support%20data\luminary%20X.Wing\Test%20universal%20calibration\AS7341XWING1v1_%231_post24hBake%20with%20IR%20bloc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ChartsAverage"/>
      <sheetName val="ChartsSingleDUTs"/>
      <sheetName val="CalibrationData"/>
      <sheetName val="DUT#1"/>
      <sheetName val="DUT#2"/>
      <sheetName val="DUT#3"/>
      <sheetName val="DUT#4"/>
      <sheetName val="DUT#5"/>
      <sheetName val="Average"/>
      <sheetName val="Script"/>
    </sheetNames>
    <sheetDataSet>
      <sheetData sheetId="0">
        <row r="5">
          <cell r="C5" t="str">
            <v>Chip Name</v>
          </cell>
        </row>
        <row r="23">
          <cell r="H23">
            <v>1</v>
          </cell>
        </row>
      </sheetData>
      <sheetData sheetId="1"/>
      <sheetData sheetId="2"/>
      <sheetData sheetId="3"/>
      <sheetData sheetId="4">
        <row r="8">
          <cell r="K8" t="str">
            <v>C</v>
          </cell>
        </row>
      </sheetData>
      <sheetData sheetId="5"/>
      <sheetData sheetId="6"/>
      <sheetData sheetId="7"/>
      <sheetData sheetId="8">
        <row r="9">
          <cell r="N9">
            <v>0</v>
          </cell>
        </row>
      </sheetData>
      <sheetData sheetId="9">
        <row r="4">
          <cell r="B4">
            <v>300</v>
          </cell>
        </row>
      </sheetData>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ChartsAverage"/>
      <sheetName val="ChartsSingleDUTs"/>
      <sheetName val="CalibrationData"/>
      <sheetName val="DUT#1"/>
      <sheetName val="DUT#2"/>
      <sheetName val="DUT#3"/>
      <sheetName val="DUT#4"/>
      <sheetName val="DUT#5"/>
      <sheetName val="Average"/>
      <sheetName val="Script"/>
      <sheetName val="Halogen -Avantes"/>
    </sheetNames>
    <sheetDataSet>
      <sheetData sheetId="0">
        <row r="5">
          <cell r="C5" t="str">
            <v>Chip Name</v>
          </cell>
        </row>
        <row r="23">
          <cell r="H23">
            <v>1</v>
          </cell>
        </row>
      </sheetData>
      <sheetData sheetId="1"/>
      <sheetData sheetId="2"/>
      <sheetData sheetId="3"/>
      <sheetData sheetId="4">
        <row r="8">
          <cell r="K8" t="str">
            <v>C</v>
          </cell>
        </row>
      </sheetData>
      <sheetData sheetId="5"/>
      <sheetData sheetId="6"/>
      <sheetData sheetId="7"/>
      <sheetData sheetId="8">
        <row r="9">
          <cell r="N9">
            <v>0</v>
          </cell>
        </row>
      </sheetData>
      <sheetData sheetId="9">
        <row r="4">
          <cell r="B4">
            <v>300</v>
          </cell>
        </row>
      </sheetData>
      <sheetData sheetId="10"/>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Charts_AllDiodes"/>
      <sheetName val="CalibrationData"/>
      <sheetName val="Dut#1"/>
      <sheetName val="Dut#2"/>
      <sheetName val="Dut#3"/>
      <sheetName val="Data#Cal1"/>
      <sheetName val="Data#Cal2"/>
      <sheetName val="Data#Cal3"/>
      <sheetName val="Data#Cal4"/>
      <sheetName val="Data#Cal5"/>
      <sheetName val="Data#Cal6"/>
      <sheetName val="Data#1"/>
      <sheetName val="Data#2"/>
      <sheetName val="Data#3"/>
      <sheetName val="Script"/>
    </sheetNames>
    <sheetDataSet>
      <sheetData sheetId="0">
        <row r="21">
          <cell r="H21">
            <v>1</v>
          </cell>
        </row>
        <row r="33">
          <cell r="H33">
            <v>1.3414529330230243</v>
          </cell>
        </row>
      </sheetData>
      <sheetData sheetId="1"/>
      <sheetData sheetId="2">
        <row r="8">
          <cell r="K8">
            <v>8.0872929686394993E-2</v>
          </cell>
        </row>
      </sheetData>
      <sheetData sheetId="3"/>
      <sheetData sheetId="4"/>
      <sheetData sheetId="5"/>
      <sheetData sheetId="6"/>
      <sheetData sheetId="7"/>
      <sheetData sheetId="8"/>
      <sheetData sheetId="9"/>
      <sheetData sheetId="10"/>
      <sheetData sheetId="11"/>
      <sheetData sheetId="12"/>
      <sheetData sheetId="13">
        <row r="15">
          <cell r="B15">
            <v>0</v>
          </cell>
        </row>
      </sheetData>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
  <sheetViews>
    <sheetView workbookViewId="0">
      <selection activeCell="I2" sqref="I2"/>
    </sheetView>
  </sheetViews>
  <sheetFormatPr defaultRowHeight="14.4" x14ac:dyDescent="0.3"/>
  <cols>
    <col min="1" max="1" width="10" customWidth="1"/>
    <col min="2" max="2" width="10.109375" bestFit="1" customWidth="1"/>
    <col min="9" max="9" width="12.109375" customWidth="1"/>
    <col min="11" max="11" width="29.88671875" customWidth="1"/>
  </cols>
  <sheetData>
    <row r="1" spans="1:11" x14ac:dyDescent="0.3">
      <c r="H1" t="s">
        <v>64</v>
      </c>
      <c r="I1" s="3" t="s">
        <v>150</v>
      </c>
    </row>
    <row r="2" spans="1:11" x14ac:dyDescent="0.3">
      <c r="H2" t="s">
        <v>66</v>
      </c>
      <c r="I2" s="146">
        <v>44314</v>
      </c>
    </row>
    <row r="4" spans="1:11" ht="22.5" customHeight="1" x14ac:dyDescent="0.3">
      <c r="A4" t="s">
        <v>65</v>
      </c>
    </row>
    <row r="5" spans="1:11" ht="139.5" customHeight="1" x14ac:dyDescent="0.3">
      <c r="A5" s="192" t="s">
        <v>148</v>
      </c>
      <c r="B5" s="193"/>
      <c r="C5" s="193"/>
      <c r="D5" s="193"/>
      <c r="E5" s="193"/>
      <c r="F5" s="193"/>
      <c r="G5" s="193"/>
      <c r="H5" s="193"/>
      <c r="I5" s="193"/>
      <c r="J5" s="193"/>
      <c r="K5" s="193"/>
    </row>
    <row r="7" spans="1:11" ht="120.75" customHeight="1" x14ac:dyDescent="0.3">
      <c r="A7" s="194" t="s">
        <v>99</v>
      </c>
      <c r="B7" s="195"/>
      <c r="C7" s="195"/>
      <c r="D7" s="195"/>
      <c r="E7" s="195"/>
      <c r="F7" s="195"/>
      <c r="G7" s="195"/>
      <c r="H7" s="195"/>
      <c r="I7" s="195"/>
      <c r="J7" s="195"/>
      <c r="K7" s="195"/>
    </row>
    <row r="9" spans="1:11" ht="15.6" x14ac:dyDescent="0.3">
      <c r="A9" s="126"/>
    </row>
  </sheetData>
  <customSheetViews>
    <customSheetView guid="{90ADABFE-445D-4DCD-B9A1-AF8CF7BB6FDB}" topLeftCell="A4">
      <selection activeCell="O7" sqref="O7"/>
      <pageMargins left="0.7" right="0.7" top="0.75" bottom="0.75" header="0.3" footer="0.3"/>
      <pageSetup orientation="portrait" horizontalDpi="1200" verticalDpi="1200" r:id="rId1"/>
    </customSheetView>
  </customSheetViews>
  <mergeCells count="2">
    <mergeCell ref="A5:K5"/>
    <mergeCell ref="A7:K7"/>
  </mergeCell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9:Q60"/>
  <sheetViews>
    <sheetView topLeftCell="A30" workbookViewId="0"/>
  </sheetViews>
  <sheetFormatPr defaultRowHeight="14.4" x14ac:dyDescent="0.3"/>
  <cols>
    <col min="1" max="1" width="2.6640625" customWidth="1"/>
    <col min="5" max="5" width="13.33203125" customWidth="1"/>
    <col min="14" max="14" width="3.109375" customWidth="1"/>
  </cols>
  <sheetData>
    <row r="29" spans="2:17" ht="15" thickBot="1" x14ac:dyDescent="0.35"/>
    <row r="30" spans="2:17" ht="223.95" customHeight="1" x14ac:dyDescent="0.3">
      <c r="B30" s="196" t="s">
        <v>100</v>
      </c>
      <c r="C30" s="197"/>
      <c r="D30" s="197"/>
      <c r="E30" s="197"/>
      <c r="F30" s="197"/>
      <c r="G30" s="197"/>
      <c r="H30" s="197"/>
      <c r="I30" s="197"/>
      <c r="J30" s="197"/>
      <c r="K30" s="197"/>
      <c r="L30" s="197"/>
      <c r="M30" s="197"/>
      <c r="N30" s="197"/>
      <c r="O30" s="197"/>
      <c r="P30" s="197"/>
      <c r="Q30" s="198"/>
    </row>
    <row r="31" spans="2:17" ht="227.25" customHeight="1" thickBot="1" x14ac:dyDescent="0.35">
      <c r="B31" s="199" t="s">
        <v>101</v>
      </c>
      <c r="C31" s="200"/>
      <c r="D31" s="200"/>
      <c r="E31" s="200"/>
      <c r="F31" s="200"/>
      <c r="G31" s="200"/>
      <c r="H31" s="200"/>
      <c r="I31" s="200"/>
      <c r="J31" s="200"/>
      <c r="K31" s="200"/>
      <c r="L31" s="200"/>
      <c r="M31" s="200"/>
      <c r="N31" s="200"/>
      <c r="O31" s="200"/>
      <c r="P31" s="200"/>
      <c r="Q31" s="201"/>
    </row>
    <row r="32" spans="2:17" ht="15.6" x14ac:dyDescent="0.3">
      <c r="B32" s="108"/>
      <c r="C32" s="108"/>
      <c r="D32" s="108"/>
      <c r="E32" s="108"/>
      <c r="F32" s="108"/>
      <c r="G32" s="108"/>
      <c r="H32" s="108"/>
      <c r="I32" s="108"/>
      <c r="J32" s="108"/>
      <c r="K32" s="108"/>
      <c r="L32" s="108"/>
      <c r="M32" s="108"/>
      <c r="N32" s="108"/>
      <c r="O32" s="108"/>
      <c r="P32" s="108"/>
    </row>
    <row r="33" spans="2:16" ht="15.6" x14ac:dyDescent="0.3">
      <c r="B33" s="108"/>
      <c r="C33" s="108"/>
      <c r="D33" s="108"/>
      <c r="E33" s="108"/>
      <c r="F33" s="108"/>
      <c r="G33" s="108"/>
      <c r="H33" s="108"/>
      <c r="I33" s="108"/>
      <c r="J33" s="108"/>
      <c r="K33" s="108"/>
      <c r="L33" s="108"/>
      <c r="M33" s="108"/>
      <c r="N33" s="108"/>
      <c r="O33" s="108"/>
      <c r="P33" s="108"/>
    </row>
    <row r="34" spans="2:16" ht="15.6" x14ac:dyDescent="0.3">
      <c r="B34" s="108"/>
      <c r="C34" s="108"/>
      <c r="D34" s="108"/>
      <c r="E34" s="108"/>
      <c r="F34" s="108"/>
      <c r="G34" s="108"/>
      <c r="H34" s="108"/>
      <c r="I34" s="108"/>
      <c r="J34" s="108"/>
      <c r="K34" s="108"/>
      <c r="L34" s="108"/>
      <c r="M34" s="108"/>
      <c r="N34" s="108"/>
      <c r="O34" s="108"/>
      <c r="P34" s="108"/>
    </row>
    <row r="35" spans="2:16" ht="15.6" x14ac:dyDescent="0.3">
      <c r="B35" s="108"/>
      <c r="C35" s="108"/>
      <c r="D35" s="108"/>
      <c r="E35" s="108"/>
      <c r="F35" s="108"/>
      <c r="G35" s="108"/>
      <c r="H35" s="108"/>
      <c r="I35" s="108"/>
      <c r="J35" s="108"/>
      <c r="K35" s="108"/>
      <c r="L35" s="108"/>
      <c r="M35" s="108"/>
      <c r="N35" s="108"/>
      <c r="O35" s="108"/>
      <c r="P35" s="108"/>
    </row>
    <row r="36" spans="2:16" ht="15.6" x14ac:dyDescent="0.3">
      <c r="B36" s="108"/>
      <c r="C36" s="108"/>
      <c r="D36" s="108"/>
      <c r="E36" s="108"/>
      <c r="F36" s="108"/>
      <c r="G36" s="108"/>
      <c r="H36" s="108"/>
      <c r="I36" s="108"/>
      <c r="J36" s="108"/>
      <c r="K36" s="108"/>
      <c r="L36" s="108"/>
      <c r="M36" s="108"/>
      <c r="N36" s="108"/>
      <c r="O36" s="108"/>
      <c r="P36" s="108"/>
    </row>
    <row r="37" spans="2:16" ht="15.6" x14ac:dyDescent="0.3">
      <c r="B37" s="108"/>
      <c r="C37" s="108"/>
      <c r="D37" s="108"/>
      <c r="E37" s="108"/>
      <c r="F37" s="108"/>
      <c r="G37" s="108"/>
      <c r="H37" s="108"/>
      <c r="I37" s="108"/>
      <c r="J37" s="108"/>
      <c r="K37" s="108"/>
      <c r="L37" s="108"/>
      <c r="M37" s="108"/>
      <c r="N37" s="108"/>
      <c r="O37" s="108"/>
      <c r="P37" s="108"/>
    </row>
    <row r="38" spans="2:16" ht="15.6" x14ac:dyDescent="0.3">
      <c r="B38" s="108"/>
      <c r="C38" s="108"/>
      <c r="D38" s="108"/>
      <c r="E38" s="108"/>
      <c r="F38" s="108"/>
      <c r="G38" s="108"/>
      <c r="H38" s="108"/>
      <c r="I38" s="108"/>
      <c r="J38" s="108"/>
      <c r="K38" s="108"/>
      <c r="L38" s="108"/>
      <c r="M38" s="108"/>
      <c r="N38" s="108"/>
      <c r="O38" s="108"/>
      <c r="P38" s="108"/>
    </row>
    <row r="39" spans="2:16" ht="15.6" x14ac:dyDescent="0.3">
      <c r="B39" s="108"/>
      <c r="C39" s="108"/>
      <c r="D39" s="108"/>
      <c r="E39" s="108"/>
      <c r="F39" s="108"/>
      <c r="G39" s="108"/>
      <c r="H39" s="108"/>
      <c r="I39" s="108"/>
      <c r="J39" s="108"/>
      <c r="K39" s="108"/>
      <c r="L39" s="108"/>
      <c r="M39" s="108"/>
      <c r="N39" s="108"/>
      <c r="O39" s="108"/>
      <c r="P39" s="108"/>
    </row>
    <row r="40" spans="2:16" ht="15.6" x14ac:dyDescent="0.3">
      <c r="B40" s="108"/>
      <c r="C40" s="108"/>
      <c r="D40" s="108"/>
      <c r="E40" s="108"/>
      <c r="F40" s="108"/>
      <c r="G40" s="108"/>
      <c r="H40" s="108"/>
      <c r="I40" s="108"/>
      <c r="J40" s="108"/>
      <c r="K40" s="108"/>
      <c r="L40" s="108"/>
      <c r="M40" s="108"/>
      <c r="N40" s="108"/>
      <c r="O40" s="108"/>
      <c r="P40" s="108"/>
    </row>
    <row r="41" spans="2:16" ht="15.6" x14ac:dyDescent="0.3">
      <c r="B41" s="108"/>
      <c r="C41" s="108"/>
      <c r="D41" s="108"/>
      <c r="E41" s="108"/>
      <c r="F41" s="108"/>
      <c r="G41" s="108"/>
      <c r="H41" s="108"/>
      <c r="I41" s="108"/>
      <c r="J41" s="108"/>
      <c r="K41" s="108"/>
      <c r="L41" s="108"/>
      <c r="M41" s="108"/>
      <c r="N41" s="108"/>
      <c r="O41" s="108"/>
      <c r="P41" s="108"/>
    </row>
    <row r="42" spans="2:16" ht="15.6" x14ac:dyDescent="0.3">
      <c r="B42" s="108"/>
      <c r="C42" s="108"/>
      <c r="D42" s="108"/>
      <c r="E42" s="108"/>
      <c r="F42" s="108"/>
      <c r="G42" s="108"/>
      <c r="H42" s="108"/>
      <c r="I42" s="108"/>
      <c r="J42" s="108"/>
      <c r="K42" s="108"/>
      <c r="L42" s="108"/>
      <c r="M42" s="108"/>
      <c r="N42" s="108"/>
      <c r="O42" s="108"/>
      <c r="P42" s="108"/>
    </row>
    <row r="43" spans="2:16" ht="15.6" x14ac:dyDescent="0.3">
      <c r="B43" s="108"/>
      <c r="C43" s="108"/>
      <c r="D43" s="108"/>
      <c r="E43" s="108"/>
      <c r="F43" s="108"/>
      <c r="G43" s="108"/>
      <c r="H43" s="108"/>
      <c r="I43" s="108"/>
      <c r="J43" s="108"/>
      <c r="K43" s="108"/>
      <c r="L43" s="108"/>
      <c r="M43" s="108"/>
      <c r="N43" s="108"/>
      <c r="O43" s="108"/>
      <c r="P43" s="108"/>
    </row>
    <row r="44" spans="2:16" ht="15.6" x14ac:dyDescent="0.3">
      <c r="B44" s="108"/>
      <c r="C44" s="108"/>
      <c r="D44" s="108"/>
      <c r="E44" s="108"/>
      <c r="F44" s="108"/>
      <c r="G44" s="108"/>
      <c r="H44" s="108"/>
      <c r="I44" s="108"/>
      <c r="J44" s="108"/>
      <c r="K44" s="108"/>
      <c r="L44" s="108"/>
      <c r="M44" s="108"/>
      <c r="N44" s="108"/>
      <c r="O44" s="108"/>
      <c r="P44" s="108"/>
    </row>
    <row r="45" spans="2:16" ht="15.6" x14ac:dyDescent="0.3">
      <c r="B45" s="108"/>
      <c r="C45" s="108"/>
      <c r="D45" s="108"/>
      <c r="E45" s="108"/>
      <c r="F45" s="108"/>
      <c r="G45" s="108"/>
      <c r="H45" s="108"/>
      <c r="I45" s="108"/>
      <c r="J45" s="108"/>
      <c r="K45" s="108"/>
      <c r="L45" s="108"/>
      <c r="M45" s="108"/>
      <c r="N45" s="108"/>
      <c r="O45" s="108"/>
      <c r="P45" s="108"/>
    </row>
    <row r="46" spans="2:16" ht="15.6" x14ac:dyDescent="0.3">
      <c r="B46" s="108"/>
      <c r="C46" s="108"/>
      <c r="D46" s="108"/>
      <c r="E46" s="108"/>
      <c r="F46" s="108"/>
      <c r="G46" s="108"/>
      <c r="H46" s="108"/>
      <c r="I46" s="108"/>
      <c r="J46" s="108"/>
      <c r="K46" s="108"/>
      <c r="L46" s="108"/>
      <c r="M46" s="108"/>
      <c r="N46" s="108"/>
      <c r="O46" s="108"/>
      <c r="P46" s="108"/>
    </row>
    <row r="47" spans="2:16" ht="15.6" x14ac:dyDescent="0.3">
      <c r="B47" s="108"/>
      <c r="C47" s="108"/>
      <c r="D47" s="108"/>
      <c r="E47" s="108"/>
      <c r="F47" s="108"/>
      <c r="G47" s="108"/>
      <c r="H47" s="108"/>
      <c r="I47" s="108"/>
      <c r="J47" s="108"/>
      <c r="K47" s="108"/>
      <c r="L47" s="108"/>
      <c r="M47" s="108"/>
      <c r="N47" s="108"/>
      <c r="O47" s="108"/>
      <c r="P47" s="108"/>
    </row>
    <row r="48" spans="2:16" ht="15.6" x14ac:dyDescent="0.3">
      <c r="B48" s="108"/>
      <c r="C48" s="108"/>
      <c r="D48" s="108"/>
      <c r="E48" s="108"/>
      <c r="F48" s="108"/>
      <c r="G48" s="108"/>
      <c r="H48" s="108"/>
      <c r="I48" s="108"/>
      <c r="J48" s="108"/>
      <c r="K48" s="108"/>
      <c r="L48" s="108"/>
      <c r="M48" s="108"/>
      <c r="N48" s="108"/>
      <c r="O48" s="108"/>
      <c r="P48" s="108"/>
    </row>
    <row r="49" spans="2:16" ht="15.6" x14ac:dyDescent="0.3">
      <c r="B49" s="108"/>
      <c r="C49" s="108"/>
      <c r="D49" s="108"/>
      <c r="E49" s="108"/>
      <c r="F49" s="108"/>
      <c r="G49" s="108"/>
      <c r="H49" s="108"/>
      <c r="I49" s="108"/>
      <c r="J49" s="108"/>
      <c r="K49" s="108"/>
      <c r="L49" s="108"/>
      <c r="M49" s="108"/>
      <c r="N49" s="108"/>
      <c r="O49" s="108"/>
      <c r="P49" s="108"/>
    </row>
    <row r="50" spans="2:16" ht="15.6" x14ac:dyDescent="0.3">
      <c r="B50" s="108"/>
      <c r="C50" s="108"/>
      <c r="D50" s="108"/>
      <c r="E50" s="108"/>
      <c r="F50" s="108"/>
      <c r="G50" s="108"/>
      <c r="H50" s="108"/>
      <c r="I50" s="108"/>
      <c r="J50" s="108"/>
      <c r="K50" s="108"/>
      <c r="L50" s="108"/>
      <c r="M50" s="108"/>
      <c r="N50" s="108"/>
      <c r="O50" s="108"/>
      <c r="P50" s="108"/>
    </row>
    <row r="51" spans="2:16" ht="15.6" x14ac:dyDescent="0.3">
      <c r="B51" s="108"/>
      <c r="C51" s="108"/>
      <c r="D51" s="108"/>
      <c r="E51" s="108"/>
      <c r="F51" s="108"/>
      <c r="G51" s="108"/>
      <c r="H51" s="108"/>
      <c r="I51" s="108"/>
      <c r="J51" s="108"/>
      <c r="K51" s="108"/>
      <c r="L51" s="108"/>
      <c r="M51" s="108"/>
      <c r="N51" s="108"/>
      <c r="O51" s="108"/>
      <c r="P51" s="108"/>
    </row>
    <row r="52" spans="2:16" ht="15.6" x14ac:dyDescent="0.3">
      <c r="B52" s="108"/>
      <c r="C52" s="108"/>
      <c r="D52" s="108"/>
      <c r="E52" s="108"/>
      <c r="F52" s="108"/>
      <c r="G52" s="108"/>
      <c r="H52" s="108"/>
      <c r="I52" s="108"/>
      <c r="J52" s="108"/>
      <c r="K52" s="108"/>
      <c r="L52" s="108"/>
      <c r="M52" s="108"/>
      <c r="N52" s="108"/>
      <c r="O52" s="108"/>
      <c r="P52" s="108"/>
    </row>
    <row r="53" spans="2:16" ht="15.6" x14ac:dyDescent="0.3">
      <c r="B53" s="108"/>
      <c r="C53" s="108"/>
      <c r="D53" s="108"/>
      <c r="E53" s="108"/>
      <c r="F53" s="108"/>
      <c r="G53" s="108"/>
      <c r="H53" s="108"/>
      <c r="I53" s="108"/>
      <c r="J53" s="108"/>
      <c r="K53" s="108"/>
      <c r="L53" s="108"/>
      <c r="M53" s="108"/>
      <c r="N53" s="108"/>
      <c r="O53" s="108"/>
      <c r="P53" s="108"/>
    </row>
    <row r="54" spans="2:16" ht="15.6" x14ac:dyDescent="0.3">
      <c r="B54" s="108"/>
      <c r="C54" s="108"/>
      <c r="D54" s="108"/>
      <c r="E54" s="108"/>
      <c r="F54" s="108"/>
      <c r="G54" s="108"/>
      <c r="H54" s="108"/>
      <c r="I54" s="108"/>
      <c r="J54" s="108"/>
      <c r="K54" s="108"/>
      <c r="L54" s="108"/>
      <c r="M54" s="108"/>
      <c r="N54" s="108"/>
      <c r="O54" s="108"/>
      <c r="P54" s="108"/>
    </row>
    <row r="55" spans="2:16" ht="15.6" x14ac:dyDescent="0.3">
      <c r="B55" s="108"/>
      <c r="C55" s="108"/>
      <c r="D55" s="108"/>
      <c r="E55" s="108"/>
      <c r="F55" s="108"/>
      <c r="G55" s="108"/>
      <c r="H55" s="108"/>
      <c r="I55" s="108"/>
      <c r="J55" s="108"/>
      <c r="K55" s="108"/>
      <c r="L55" s="108"/>
      <c r="M55" s="108"/>
      <c r="N55" s="108"/>
      <c r="O55" s="108"/>
      <c r="P55" s="108"/>
    </row>
    <row r="56" spans="2:16" ht="15.6" x14ac:dyDescent="0.3">
      <c r="B56" s="108"/>
      <c r="C56" s="108"/>
      <c r="D56" s="108"/>
      <c r="E56" s="108"/>
      <c r="F56" s="108"/>
      <c r="G56" s="108"/>
      <c r="H56" s="108"/>
      <c r="I56" s="108"/>
      <c r="J56" s="108"/>
      <c r="K56" s="108"/>
      <c r="L56" s="108"/>
      <c r="M56" s="108"/>
      <c r="N56" s="108"/>
      <c r="O56" s="108"/>
      <c r="P56" s="108"/>
    </row>
    <row r="57" spans="2:16" ht="15.6" x14ac:dyDescent="0.3">
      <c r="B57" s="108"/>
      <c r="C57" s="108"/>
      <c r="D57" s="108"/>
      <c r="E57" s="108"/>
      <c r="F57" s="108"/>
      <c r="G57" s="108"/>
      <c r="H57" s="108"/>
      <c r="I57" s="108"/>
      <c r="J57" s="108"/>
      <c r="K57" s="108"/>
      <c r="L57" s="108"/>
      <c r="M57" s="108"/>
      <c r="N57" s="108"/>
      <c r="O57" s="108"/>
      <c r="P57" s="108"/>
    </row>
    <row r="58" spans="2:16" ht="15.6" x14ac:dyDescent="0.3">
      <c r="B58" s="108"/>
      <c r="C58" s="108"/>
      <c r="D58" s="108"/>
      <c r="E58" s="108"/>
      <c r="F58" s="108"/>
      <c r="G58" s="108"/>
      <c r="H58" s="108"/>
      <c r="I58" s="108"/>
      <c r="J58" s="108"/>
      <c r="K58" s="108"/>
      <c r="L58" s="108"/>
      <c r="M58" s="108"/>
      <c r="N58" s="108"/>
      <c r="O58" s="108"/>
      <c r="P58" s="108"/>
    </row>
    <row r="59" spans="2:16" ht="15.6" x14ac:dyDescent="0.3">
      <c r="B59" s="108"/>
      <c r="C59" s="108"/>
      <c r="D59" s="108"/>
      <c r="E59" s="108"/>
      <c r="F59" s="108"/>
      <c r="G59" s="108"/>
      <c r="H59" s="108"/>
      <c r="I59" s="108"/>
      <c r="J59" s="108"/>
      <c r="K59" s="108"/>
      <c r="L59" s="108"/>
      <c r="M59" s="108"/>
      <c r="N59" s="108"/>
      <c r="O59" s="108"/>
      <c r="P59" s="108"/>
    </row>
    <row r="60" spans="2:16" ht="15.6" x14ac:dyDescent="0.3">
      <c r="B60" s="108"/>
      <c r="C60" s="108"/>
      <c r="D60" s="108"/>
      <c r="E60" s="108"/>
      <c r="F60" s="108"/>
      <c r="G60" s="108"/>
      <c r="H60" s="108"/>
      <c r="I60" s="108"/>
      <c r="J60" s="108"/>
      <c r="K60" s="108"/>
      <c r="L60" s="108"/>
      <c r="M60" s="108"/>
      <c r="N60" s="108"/>
      <c r="O60" s="108"/>
      <c r="P60" s="108"/>
    </row>
  </sheetData>
  <customSheetViews>
    <customSheetView guid="{90ADABFE-445D-4DCD-B9A1-AF8CF7BB6FDB}" topLeftCell="A28">
      <selection activeCell="B31" sqref="B31:Q31"/>
      <pageMargins left="0.7" right="0.7" top="0.75" bottom="0.75" header="0.3" footer="0.3"/>
      <pageSetup paperSize="9" orientation="portrait" verticalDpi="1200" r:id="rId1"/>
    </customSheetView>
  </customSheetViews>
  <mergeCells count="2">
    <mergeCell ref="B30:Q30"/>
    <mergeCell ref="B31:Q31"/>
  </mergeCells>
  <pageMargins left="0.7" right="0.7" top="0.75" bottom="0.75" header="0.3" footer="0.3"/>
  <pageSetup paperSize="9" orientation="portrait"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H636"/>
  <sheetViews>
    <sheetView topLeftCell="A32" workbookViewId="0">
      <selection activeCell="C8" sqref="C8"/>
    </sheetView>
  </sheetViews>
  <sheetFormatPr defaultColWidth="10.33203125" defaultRowHeight="14.4" x14ac:dyDescent="0.3"/>
  <cols>
    <col min="1" max="1" width="9.6640625" style="5" customWidth="1"/>
    <col min="2" max="11" width="13.6640625" style="6" customWidth="1"/>
    <col min="12" max="12" width="3.88671875" style="5" customWidth="1"/>
    <col min="13" max="13" width="2.5546875" style="5" customWidth="1"/>
    <col min="14" max="14" width="36.6640625" style="5" customWidth="1"/>
    <col min="15" max="15" width="18.109375" style="5" customWidth="1"/>
    <col min="16" max="16" width="11.6640625" style="5" customWidth="1"/>
    <col min="17" max="17" width="9.44140625" style="5" customWidth="1"/>
    <col min="18" max="18" width="9.6640625" style="5" customWidth="1"/>
    <col min="19" max="23" width="9.44140625" style="5" customWidth="1"/>
    <col min="24" max="24" width="8.88671875" style="5" customWidth="1"/>
    <col min="25" max="25" width="6.6640625" style="5" customWidth="1"/>
    <col min="26" max="26" width="19.5546875" style="5" customWidth="1"/>
    <col min="27" max="31" width="6.6640625" style="5" customWidth="1"/>
    <col min="32" max="16384" width="10.33203125" style="5"/>
  </cols>
  <sheetData>
    <row r="1" spans="1:34" x14ac:dyDescent="0.3">
      <c r="A1" s="76" t="s">
        <v>105</v>
      </c>
      <c r="B1" s="78"/>
      <c r="C1" s="78"/>
      <c r="D1" s="78"/>
      <c r="E1" s="78"/>
      <c r="F1" s="78"/>
      <c r="G1" s="78"/>
      <c r="H1" s="78"/>
      <c r="I1" s="78"/>
      <c r="J1" s="78"/>
      <c r="K1" s="78"/>
      <c r="L1" s="83"/>
    </row>
    <row r="2" spans="1:34" ht="15" thickBot="1" x14ac:dyDescent="0.35">
      <c r="B2" s="5"/>
      <c r="C2" s="5"/>
      <c r="D2" s="5"/>
      <c r="E2" s="5"/>
      <c r="F2" s="5"/>
      <c r="G2" s="5"/>
      <c r="H2" s="5"/>
      <c r="I2" s="5"/>
      <c r="J2" s="5"/>
      <c r="K2" s="5"/>
    </row>
    <row r="3" spans="1:34" ht="15" thickBot="1" x14ac:dyDescent="0.35">
      <c r="A3" s="202" t="s">
        <v>69</v>
      </c>
      <c r="B3" s="203"/>
      <c r="C3" s="203"/>
      <c r="D3" s="203"/>
      <c r="E3" s="203"/>
      <c r="F3" s="203"/>
      <c r="G3" s="203"/>
      <c r="H3" s="203"/>
      <c r="I3" s="203"/>
      <c r="J3" s="203"/>
      <c r="K3" s="204"/>
      <c r="N3" s="158" t="s">
        <v>93</v>
      </c>
      <c r="O3" s="158"/>
      <c r="P3" s="158"/>
      <c r="Q3" s="158"/>
      <c r="R3" s="158"/>
      <c r="S3" s="158"/>
      <c r="T3" s="158"/>
      <c r="U3" s="158"/>
      <c r="V3" s="158"/>
      <c r="W3" s="158"/>
      <c r="X3" s="158"/>
    </row>
    <row r="4" spans="1:34" ht="15" thickBot="1" x14ac:dyDescent="0.35">
      <c r="A4" s="208" t="s">
        <v>54</v>
      </c>
      <c r="B4" s="209"/>
      <c r="C4" s="209"/>
      <c r="D4" s="209"/>
      <c r="E4" s="209"/>
      <c r="F4" s="209"/>
      <c r="G4" s="209"/>
      <c r="H4" s="209"/>
      <c r="I4" s="209"/>
      <c r="J4" s="209"/>
      <c r="K4" s="210"/>
      <c r="N4" s="189">
        <v>0.5</v>
      </c>
      <c r="O4" s="159">
        <f t="shared" ref="O4:X4" si="0">N4*2</f>
        <v>1</v>
      </c>
      <c r="P4" s="159">
        <f t="shared" si="0"/>
        <v>2</v>
      </c>
      <c r="Q4" s="159">
        <f t="shared" si="0"/>
        <v>4</v>
      </c>
      <c r="R4" s="159">
        <f t="shared" si="0"/>
        <v>8</v>
      </c>
      <c r="S4" s="159">
        <f t="shared" si="0"/>
        <v>16</v>
      </c>
      <c r="T4" s="159">
        <f t="shared" si="0"/>
        <v>32</v>
      </c>
      <c r="U4" s="159">
        <f t="shared" si="0"/>
        <v>64</v>
      </c>
      <c r="V4" s="159">
        <f t="shared" si="0"/>
        <v>128</v>
      </c>
      <c r="W4" s="159">
        <f t="shared" si="0"/>
        <v>256</v>
      </c>
      <c r="X4" s="159">
        <f t="shared" si="0"/>
        <v>512</v>
      </c>
    </row>
    <row r="5" spans="1:34" x14ac:dyDescent="0.3">
      <c r="A5" s="97"/>
      <c r="B5" s="177" t="str">
        <f>O14</f>
        <v>F1</v>
      </c>
      <c r="C5" s="61" t="str">
        <f t="shared" ref="C5" si="1">P14</f>
        <v>F2</v>
      </c>
      <c r="D5" s="61" t="str">
        <f t="shared" ref="D5" si="2">Q14</f>
        <v>F3</v>
      </c>
      <c r="E5" s="61" t="str">
        <f t="shared" ref="E5" si="3">R14</f>
        <v>F4</v>
      </c>
      <c r="F5" s="61" t="str">
        <f t="shared" ref="F5" si="4">S14</f>
        <v>F5</v>
      </c>
      <c r="G5" s="61" t="str">
        <f t="shared" ref="G5" si="5">T14</f>
        <v>F6</v>
      </c>
      <c r="H5" s="61" t="str">
        <f t="shared" ref="H5" si="6">U14</f>
        <v>F7</v>
      </c>
      <c r="I5" s="61" t="str">
        <f t="shared" ref="I5" si="7">V14</f>
        <v>F8</v>
      </c>
      <c r="J5" s="61" t="str">
        <f t="shared" ref="J5" si="8">W14</f>
        <v>Clear</v>
      </c>
      <c r="K5" s="99" t="str">
        <f t="shared" ref="K5" si="9">X14</f>
        <v>NIR</v>
      </c>
      <c r="N5" s="190">
        <v>1.0577249382200997</v>
      </c>
      <c r="O5" s="190">
        <v>1.0491369804246826</v>
      </c>
      <c r="P5" s="190">
        <v>1.047883151745699</v>
      </c>
      <c r="Q5" s="190">
        <v>1.0491147716361207</v>
      </c>
      <c r="R5" s="190">
        <v>1.0207407239172459</v>
      </c>
      <c r="S5" s="190">
        <v>1.0157736468413234</v>
      </c>
      <c r="T5" s="190">
        <v>1.0109042536287696</v>
      </c>
      <c r="U5" s="190">
        <v>1</v>
      </c>
      <c r="V5" s="190">
        <v>1.0003225573238712</v>
      </c>
      <c r="W5" s="190">
        <v>0.9873083731870681</v>
      </c>
      <c r="X5" s="190">
        <v>0.95934924360041063</v>
      </c>
    </row>
    <row r="6" spans="1:34" x14ac:dyDescent="0.3">
      <c r="A6" s="98"/>
      <c r="B6" s="61">
        <f>O15</f>
        <v>415</v>
      </c>
      <c r="C6" s="61">
        <f t="shared" ref="C6:K6" si="10">P15</f>
        <v>445</v>
      </c>
      <c r="D6" s="61">
        <f t="shared" si="10"/>
        <v>480</v>
      </c>
      <c r="E6" s="61">
        <f t="shared" si="10"/>
        <v>515</v>
      </c>
      <c r="F6" s="61">
        <f t="shared" si="10"/>
        <v>555</v>
      </c>
      <c r="G6" s="61">
        <f t="shared" si="10"/>
        <v>590</v>
      </c>
      <c r="H6" s="61">
        <f t="shared" si="10"/>
        <v>630</v>
      </c>
      <c r="I6" s="61">
        <f t="shared" si="10"/>
        <v>680</v>
      </c>
      <c r="J6" s="61">
        <f t="shared" si="10"/>
        <v>750</v>
      </c>
      <c r="K6" s="99">
        <f t="shared" si="10"/>
        <v>900</v>
      </c>
    </row>
    <row r="7" spans="1:34" x14ac:dyDescent="0.3">
      <c r="A7" s="98" t="s">
        <v>23</v>
      </c>
      <c r="B7" s="62">
        <v>0.39813999999999999</v>
      </c>
      <c r="C7" s="62">
        <v>1.2954000000000001</v>
      </c>
      <c r="D7" s="62">
        <v>0.36956</v>
      </c>
      <c r="E7" s="62">
        <v>0.10902000000000001</v>
      </c>
      <c r="F7" s="62">
        <v>0.71941999999999995</v>
      </c>
      <c r="G7" s="62">
        <v>1.7818000000000001</v>
      </c>
      <c r="H7" s="62">
        <v>1.1011</v>
      </c>
      <c r="I7" s="62">
        <v>-3.9905000000000003E-2</v>
      </c>
      <c r="J7" s="62">
        <v>-0.27596999999999999</v>
      </c>
      <c r="K7" s="100">
        <v>-2.3470000000000001E-2</v>
      </c>
    </row>
    <row r="8" spans="1:34" x14ac:dyDescent="0.3">
      <c r="A8" s="98" t="s">
        <v>24</v>
      </c>
      <c r="B8" s="62">
        <v>1.396E-2</v>
      </c>
      <c r="C8" s="62">
        <v>0.16747999999999999</v>
      </c>
      <c r="D8" s="62">
        <v>0.23538000000000001</v>
      </c>
      <c r="E8" s="62">
        <v>1.4275</v>
      </c>
      <c r="F8" s="62">
        <v>1.8867</v>
      </c>
      <c r="G8" s="62">
        <v>1.1419999999999999</v>
      </c>
      <c r="H8" s="62">
        <v>0.46496999999999999</v>
      </c>
      <c r="I8" s="62">
        <v>-2.7018E-2</v>
      </c>
      <c r="J8" s="62">
        <v>-0.24468000000000001</v>
      </c>
      <c r="K8" s="100">
        <v>-1.9925999999999999E-2</v>
      </c>
    </row>
    <row r="9" spans="1:34" ht="15" thickBot="1" x14ac:dyDescent="0.35">
      <c r="A9" s="101" t="s">
        <v>25</v>
      </c>
      <c r="B9" s="102">
        <v>1.9500999999999999</v>
      </c>
      <c r="C9" s="102">
        <v>6.4549000000000003</v>
      </c>
      <c r="D9" s="102">
        <v>2.7801</v>
      </c>
      <c r="E9" s="102">
        <v>0.18501000000000001</v>
      </c>
      <c r="F9" s="102">
        <v>0.15325</v>
      </c>
      <c r="G9" s="102">
        <v>9.5394000000000007E-2</v>
      </c>
      <c r="H9" s="102">
        <v>0.10563</v>
      </c>
      <c r="I9" s="102">
        <v>8.8661000000000004E-2</v>
      </c>
      <c r="J9" s="102">
        <v>-0.61140000000000005</v>
      </c>
      <c r="K9" s="103">
        <v>-9.3845000000000005E-3</v>
      </c>
    </row>
    <row r="10" spans="1:34" x14ac:dyDescent="0.3">
      <c r="B10" s="5"/>
      <c r="C10" s="5"/>
      <c r="D10" s="5"/>
      <c r="E10" s="5"/>
      <c r="F10" s="5"/>
      <c r="G10" s="5"/>
      <c r="H10" s="5"/>
      <c r="I10" s="5"/>
      <c r="J10" s="5"/>
      <c r="K10" s="5"/>
    </row>
    <row r="11" spans="1:34" ht="15" thickBot="1" x14ac:dyDescent="0.35">
      <c r="B11" s="5"/>
      <c r="C11" s="5"/>
      <c r="D11" s="5"/>
      <c r="E11" s="5"/>
      <c r="F11" s="5"/>
      <c r="G11" s="5"/>
      <c r="H11" s="5"/>
      <c r="I11" s="5"/>
      <c r="J11" s="5"/>
      <c r="K11" s="5"/>
    </row>
    <row r="12" spans="1:34" ht="28.5" customHeight="1" thickBot="1" x14ac:dyDescent="0.35">
      <c r="A12" s="202" t="s">
        <v>106</v>
      </c>
      <c r="B12" s="203"/>
      <c r="C12" s="203"/>
      <c r="D12" s="203"/>
      <c r="E12" s="203"/>
      <c r="F12" s="203"/>
      <c r="G12" s="203"/>
      <c r="H12" s="203"/>
      <c r="I12" s="203"/>
      <c r="J12" s="203"/>
      <c r="K12" s="204"/>
      <c r="N12" s="220" t="s">
        <v>68</v>
      </c>
      <c r="O12" s="221"/>
      <c r="P12" s="221"/>
      <c r="Q12" s="221"/>
      <c r="R12" s="221"/>
      <c r="S12" s="221"/>
      <c r="T12" s="221"/>
      <c r="U12" s="221"/>
      <c r="V12" s="221"/>
      <c r="W12" s="221"/>
      <c r="X12" s="222"/>
      <c r="Y12" s="13"/>
      <c r="Z12" s="13"/>
      <c r="AA12" s="13"/>
      <c r="AB12" s="13"/>
      <c r="AC12" s="13"/>
      <c r="AD12" s="13"/>
      <c r="AE12" s="14"/>
      <c r="AF12" s="9"/>
      <c r="AG12" s="9"/>
      <c r="AH12" s="9"/>
    </row>
    <row r="13" spans="1:34" ht="59.4" customHeight="1" thickBot="1" x14ac:dyDescent="0.35">
      <c r="A13" s="205" t="s">
        <v>102</v>
      </c>
      <c r="B13" s="206"/>
      <c r="C13" s="206"/>
      <c r="D13" s="206"/>
      <c r="E13" s="206"/>
      <c r="F13" s="206"/>
      <c r="G13" s="206"/>
      <c r="H13" s="206"/>
      <c r="I13" s="206"/>
      <c r="J13" s="206"/>
      <c r="K13" s="207"/>
      <c r="L13" s="23"/>
      <c r="M13" s="24"/>
      <c r="N13" s="188"/>
      <c r="O13" s="235" t="s">
        <v>107</v>
      </c>
      <c r="P13" s="224"/>
      <c r="Q13" s="224"/>
      <c r="R13" s="224"/>
      <c r="S13" s="224"/>
      <c r="T13" s="224"/>
      <c r="U13" s="224"/>
      <c r="V13" s="224"/>
      <c r="W13" s="224"/>
      <c r="X13" s="225"/>
      <c r="Y13" s="13"/>
      <c r="Z13" s="13"/>
      <c r="AA13" s="13"/>
      <c r="AB13" s="13"/>
      <c r="AC13" s="13"/>
      <c r="AD13" s="13"/>
      <c r="AE13" s="14"/>
      <c r="AF13" s="9"/>
      <c r="AG13" s="9"/>
      <c r="AH13" s="9"/>
    </row>
    <row r="14" spans="1:34" ht="15.75" customHeight="1" x14ac:dyDescent="0.3">
      <c r="A14" s="179"/>
      <c r="B14" s="180" t="str">
        <f>O14</f>
        <v>F1</v>
      </c>
      <c r="C14" s="180" t="str">
        <f t="shared" ref="C14:K14" si="11">P14</f>
        <v>F2</v>
      </c>
      <c r="D14" s="180" t="str">
        <f t="shared" si="11"/>
        <v>F3</v>
      </c>
      <c r="E14" s="180" t="str">
        <f t="shared" si="11"/>
        <v>F4</v>
      </c>
      <c r="F14" s="180" t="str">
        <f t="shared" si="11"/>
        <v>F5</v>
      </c>
      <c r="G14" s="180" t="str">
        <f t="shared" si="11"/>
        <v>F6</v>
      </c>
      <c r="H14" s="180" t="str">
        <f t="shared" si="11"/>
        <v>F7</v>
      </c>
      <c r="I14" s="180" t="str">
        <f t="shared" si="11"/>
        <v>F8</v>
      </c>
      <c r="J14" s="180" t="str">
        <f t="shared" si="11"/>
        <v>Clear</v>
      </c>
      <c r="K14" s="181" t="str">
        <f t="shared" si="11"/>
        <v>NIR</v>
      </c>
      <c r="L14" s="16"/>
      <c r="M14" s="16"/>
      <c r="N14" s="185"/>
      <c r="O14" s="186" t="s">
        <v>1</v>
      </c>
      <c r="P14" s="186" t="s">
        <v>2</v>
      </c>
      <c r="Q14" s="186" t="s">
        <v>3</v>
      </c>
      <c r="R14" s="186" t="s">
        <v>4</v>
      </c>
      <c r="S14" s="186" t="s">
        <v>5</v>
      </c>
      <c r="T14" s="186" t="s">
        <v>6</v>
      </c>
      <c r="U14" s="186" t="s">
        <v>7</v>
      </c>
      <c r="V14" s="186" t="s">
        <v>8</v>
      </c>
      <c r="W14" s="186" t="s">
        <v>0</v>
      </c>
      <c r="X14" s="187" t="s">
        <v>9</v>
      </c>
      <c r="Y14" s="13"/>
      <c r="Z14" s="13"/>
      <c r="AA14" s="13"/>
      <c r="AB14" s="13"/>
      <c r="AC14" s="13"/>
      <c r="AD14" s="13"/>
      <c r="AE14" s="14"/>
      <c r="AF14" s="9"/>
      <c r="AG14" s="9"/>
      <c r="AH14" s="9"/>
    </row>
    <row r="15" spans="1:34" ht="15" thickBot="1" x14ac:dyDescent="0.35">
      <c r="A15" s="182" t="s">
        <v>20</v>
      </c>
      <c r="B15" s="183">
        <f>O15</f>
        <v>415</v>
      </c>
      <c r="C15" s="183">
        <v>440</v>
      </c>
      <c r="D15" s="183">
        <v>470</v>
      </c>
      <c r="E15" s="183">
        <v>510</v>
      </c>
      <c r="F15" s="183">
        <v>550</v>
      </c>
      <c r="G15" s="183">
        <v>583</v>
      </c>
      <c r="H15" s="183">
        <v>620</v>
      </c>
      <c r="I15" s="183">
        <v>670</v>
      </c>
      <c r="J15" s="183">
        <v>750</v>
      </c>
      <c r="K15" s="184">
        <v>900</v>
      </c>
      <c r="M15" s="13"/>
      <c r="N15" s="93"/>
      <c r="O15" s="79">
        <v>415</v>
      </c>
      <c r="P15" s="79">
        <v>445</v>
      </c>
      <c r="Q15" s="79">
        <v>480</v>
      </c>
      <c r="R15" s="79">
        <v>515</v>
      </c>
      <c r="S15" s="79">
        <v>555</v>
      </c>
      <c r="T15" s="79">
        <v>590</v>
      </c>
      <c r="U15" s="79">
        <v>630</v>
      </c>
      <c r="V15" s="79">
        <v>680</v>
      </c>
      <c r="W15" s="79">
        <v>750</v>
      </c>
      <c r="X15" s="94">
        <v>900</v>
      </c>
      <c r="Y15" s="13"/>
      <c r="Z15" s="13"/>
      <c r="AA15" s="13"/>
      <c r="AB15" s="13"/>
      <c r="AC15" s="13"/>
      <c r="AD15" s="13"/>
      <c r="AE15" s="14"/>
      <c r="AF15" s="9"/>
      <c r="AG15" s="9"/>
      <c r="AH15" s="9"/>
    </row>
    <row r="16" spans="1:34" ht="15" thickBot="1" x14ac:dyDescent="0.35">
      <c r="A16" s="178">
        <v>380</v>
      </c>
      <c r="B16" s="58">
        <v>0.19414000000000001</v>
      </c>
      <c r="C16" s="58">
        <v>-3.3867000000000001E-2</v>
      </c>
      <c r="D16" s="58">
        <v>9.4997999999999992E-3</v>
      </c>
      <c r="E16" s="58">
        <v>-1.8511999999999999E-3</v>
      </c>
      <c r="F16" s="58">
        <v>1.5809000000000001E-3</v>
      </c>
      <c r="G16" s="58">
        <v>-3.6234E-4</v>
      </c>
      <c r="H16" s="58">
        <v>7.7408000000000002E-4</v>
      </c>
      <c r="I16" s="58">
        <v>-2.8146999999999997E-4</v>
      </c>
      <c r="J16" s="58">
        <v>-6.9538000000000004E-3</v>
      </c>
      <c r="K16" s="58">
        <v>-2.4839000000000003E-4</v>
      </c>
      <c r="M16" s="2"/>
      <c r="N16" s="95" t="s">
        <v>63</v>
      </c>
      <c r="O16" s="96">
        <v>0</v>
      </c>
      <c r="P16" s="96">
        <v>0</v>
      </c>
      <c r="Q16" s="96">
        <v>0</v>
      </c>
      <c r="R16" s="96">
        <v>0</v>
      </c>
      <c r="S16" s="96">
        <v>0</v>
      </c>
      <c r="T16" s="96">
        <v>0</v>
      </c>
      <c r="U16" s="96">
        <v>0</v>
      </c>
      <c r="V16" s="96">
        <v>0</v>
      </c>
      <c r="W16" s="96">
        <v>0</v>
      </c>
      <c r="X16" s="96">
        <v>0</v>
      </c>
      <c r="Y16" s="13"/>
      <c r="Z16" s="13"/>
      <c r="AA16" s="13"/>
      <c r="AB16" s="13"/>
      <c r="AC16" s="13"/>
      <c r="AD16" s="13"/>
      <c r="AE16" s="14"/>
      <c r="AF16" s="9"/>
      <c r="AG16" s="9"/>
      <c r="AH16" s="9"/>
    </row>
    <row r="17" spans="1:34" ht="15" thickBot="1" x14ac:dyDescent="0.35">
      <c r="A17" s="171">
        <v>381</v>
      </c>
      <c r="B17" s="45">
        <v>0.19611000000000001</v>
      </c>
      <c r="C17" s="45">
        <v>-3.4209000000000003E-2</v>
      </c>
      <c r="D17" s="45">
        <v>9.5957999999999998E-3</v>
      </c>
      <c r="E17" s="45">
        <v>-1.8699000000000001E-3</v>
      </c>
      <c r="F17" s="45">
        <v>1.5969000000000001E-3</v>
      </c>
      <c r="G17" s="45">
        <v>-3.6600000000000001E-4</v>
      </c>
      <c r="H17" s="45">
        <v>7.8189999999999998E-4</v>
      </c>
      <c r="I17" s="45">
        <v>-2.8432000000000002E-4</v>
      </c>
      <c r="J17" s="45">
        <v>-7.0239999999999999E-3</v>
      </c>
      <c r="K17" s="45">
        <v>-2.5090000000000003E-4</v>
      </c>
      <c r="M17" s="2"/>
      <c r="N17" s="12"/>
      <c r="O17" s="12"/>
      <c r="P17"/>
      <c r="Q17"/>
      <c r="R17" s="9"/>
      <c r="S17" s="9"/>
      <c r="T17" s="9"/>
      <c r="U17" s="9"/>
      <c r="V17" s="13"/>
      <c r="W17" s="13"/>
      <c r="X17" s="13"/>
      <c r="Y17" s="9"/>
      <c r="Z17" s="9"/>
      <c r="AA17" s="9"/>
      <c r="AB17" s="9"/>
      <c r="AC17" s="9"/>
      <c r="AD17" s="9"/>
      <c r="AE17" s="9"/>
      <c r="AF17" s="9"/>
      <c r="AG17" s="9"/>
      <c r="AH17" s="9"/>
    </row>
    <row r="18" spans="1:34" ht="15" thickBot="1" x14ac:dyDescent="0.35">
      <c r="A18" s="171">
        <v>382</v>
      </c>
      <c r="B18" s="45">
        <v>0.19808999999999999</v>
      </c>
      <c r="C18" s="45">
        <v>-3.4555000000000002E-2</v>
      </c>
      <c r="D18" s="45">
        <v>9.6927000000000003E-3</v>
      </c>
      <c r="E18" s="45">
        <v>-1.8887999999999999E-3</v>
      </c>
      <c r="F18" s="45">
        <v>1.6130000000000001E-3</v>
      </c>
      <c r="G18" s="45">
        <v>-3.6968999999999999E-4</v>
      </c>
      <c r="H18" s="45">
        <v>7.8978999999999996E-4</v>
      </c>
      <c r="I18" s="45">
        <v>-2.8718999999999999E-4</v>
      </c>
      <c r="J18" s="45">
        <v>-7.0949999999999997E-3</v>
      </c>
      <c r="K18" s="45">
        <v>-2.5343000000000002E-4</v>
      </c>
      <c r="M18" s="2"/>
      <c r="N18" s="223" t="s">
        <v>67</v>
      </c>
      <c r="O18" s="224"/>
      <c r="P18" s="224"/>
      <c r="Q18" s="224"/>
      <c r="R18" s="224"/>
      <c r="S18" s="224"/>
      <c r="T18" s="224"/>
      <c r="U18" s="224"/>
      <c r="V18" s="224"/>
      <c r="W18" s="224"/>
      <c r="X18" s="225"/>
      <c r="Y18" s="13"/>
      <c r="Z18" s="13"/>
      <c r="AA18" s="9"/>
      <c r="AB18" s="9"/>
      <c r="AC18" s="9"/>
      <c r="AD18" s="9"/>
      <c r="AE18" s="9"/>
      <c r="AF18" s="9"/>
      <c r="AG18" s="9"/>
      <c r="AH18" s="9"/>
    </row>
    <row r="19" spans="1:34" s="9" customFormat="1" x14ac:dyDescent="0.3">
      <c r="A19" s="171">
        <v>383</v>
      </c>
      <c r="B19" s="45">
        <v>0.20008999999999999</v>
      </c>
      <c r="C19" s="45">
        <v>-3.4903999999999998E-2</v>
      </c>
      <c r="D19" s="45">
        <v>9.7906E-3</v>
      </c>
      <c r="E19" s="45">
        <v>-1.9078999999999999E-3</v>
      </c>
      <c r="F19" s="45">
        <v>1.6293E-3</v>
      </c>
      <c r="G19" s="45">
        <v>-3.7343000000000001E-4</v>
      </c>
      <c r="H19" s="45">
        <v>7.9776999999999995E-4</v>
      </c>
      <c r="I19" s="45">
        <v>-2.9009000000000001E-4</v>
      </c>
      <c r="J19" s="45">
        <v>-7.1666999999999998E-3</v>
      </c>
      <c r="K19" s="45">
        <v>-2.5598999999999999E-4</v>
      </c>
      <c r="M19" s="2"/>
      <c r="N19" s="226" t="s">
        <v>108</v>
      </c>
      <c r="O19" s="227"/>
      <c r="P19" s="227"/>
      <c r="Q19" s="227"/>
      <c r="R19" s="227"/>
      <c r="S19" s="227"/>
      <c r="T19" s="227"/>
      <c r="U19" s="227"/>
      <c r="V19" s="227"/>
      <c r="W19" s="227"/>
      <c r="X19" s="228"/>
      <c r="Y19" s="13"/>
      <c r="Z19" s="13"/>
      <c r="AA19" s="13"/>
      <c r="AB19" s="5"/>
      <c r="AC19" s="5"/>
      <c r="AD19" s="5"/>
      <c r="AE19" s="5"/>
    </row>
    <row r="20" spans="1:34" s="9" customFormat="1" x14ac:dyDescent="0.3">
      <c r="A20" s="171">
        <v>384</v>
      </c>
      <c r="B20" s="45">
        <v>0.20211000000000001</v>
      </c>
      <c r="C20" s="45">
        <v>-3.5256999999999997E-2</v>
      </c>
      <c r="D20" s="45">
        <v>9.8895000000000007E-3</v>
      </c>
      <c r="E20" s="45">
        <v>-1.9271E-3</v>
      </c>
      <c r="F20" s="45">
        <v>1.6456999999999999E-3</v>
      </c>
      <c r="G20" s="45">
        <v>-3.7720000000000001E-4</v>
      </c>
      <c r="H20" s="45">
        <v>8.0583E-4</v>
      </c>
      <c r="I20" s="45">
        <v>-2.9302000000000001E-4</v>
      </c>
      <c r="J20" s="45">
        <v>-7.2389999999999998E-3</v>
      </c>
      <c r="K20" s="45">
        <v>-2.5858000000000001E-4</v>
      </c>
      <c r="M20" s="2"/>
      <c r="N20" s="229"/>
      <c r="O20" s="230"/>
      <c r="P20" s="230"/>
      <c r="Q20" s="230"/>
      <c r="R20" s="230"/>
      <c r="S20" s="230"/>
      <c r="T20" s="230"/>
      <c r="U20" s="230"/>
      <c r="V20" s="230"/>
      <c r="W20" s="230"/>
      <c r="X20" s="231"/>
      <c r="Y20" s="13"/>
      <c r="Z20" s="13"/>
      <c r="AA20" s="13"/>
    </row>
    <row r="21" spans="1:34" s="9" customFormat="1" x14ac:dyDescent="0.3">
      <c r="A21" s="171">
        <v>385</v>
      </c>
      <c r="B21" s="45">
        <v>0.20415</v>
      </c>
      <c r="C21" s="45">
        <v>-3.5612999999999999E-2</v>
      </c>
      <c r="D21" s="45">
        <v>9.9894000000000007E-3</v>
      </c>
      <c r="E21" s="45">
        <v>-1.9465999999999999E-3</v>
      </c>
      <c r="F21" s="45">
        <v>1.6624000000000001E-3</v>
      </c>
      <c r="G21" s="45">
        <v>-3.8100999999999999E-4</v>
      </c>
      <c r="H21" s="45">
        <v>8.1397000000000001E-4</v>
      </c>
      <c r="I21" s="45">
        <v>-2.9598E-4</v>
      </c>
      <c r="J21" s="45">
        <v>-7.3121999999999996E-3</v>
      </c>
      <c r="K21" s="45">
        <v>-2.6119000000000001E-4</v>
      </c>
      <c r="M21" s="2"/>
      <c r="N21" s="232"/>
      <c r="O21" s="233"/>
      <c r="P21" s="233"/>
      <c r="Q21" s="233"/>
      <c r="R21" s="233"/>
      <c r="S21" s="233"/>
      <c r="T21" s="233"/>
      <c r="U21" s="233"/>
      <c r="V21" s="233"/>
      <c r="W21" s="233"/>
      <c r="X21" s="234"/>
    </row>
    <row r="22" spans="1:34" s="9" customFormat="1" ht="15" customHeight="1" x14ac:dyDescent="0.3">
      <c r="A22" s="171">
        <v>386</v>
      </c>
      <c r="B22" s="45">
        <v>0.20621</v>
      </c>
      <c r="C22" s="45">
        <v>-3.5971999999999997E-2</v>
      </c>
      <c r="D22" s="45">
        <v>1.009E-2</v>
      </c>
      <c r="E22" s="45">
        <v>-1.9662999999999998E-3</v>
      </c>
      <c r="F22" s="45">
        <v>1.6792000000000001E-3</v>
      </c>
      <c r="G22" s="45">
        <v>-3.8486E-4</v>
      </c>
      <c r="H22" s="45">
        <v>8.2218999999999999E-4</v>
      </c>
      <c r="I22" s="45">
        <v>-2.9897000000000002E-4</v>
      </c>
      <c r="J22" s="45">
        <v>-7.3860000000000002E-3</v>
      </c>
      <c r="K22" s="45">
        <v>-2.6383E-4</v>
      </c>
      <c r="M22" s="2"/>
      <c r="N22" s="86"/>
      <c r="O22" s="80" t="str">
        <f>O14</f>
        <v>F1</v>
      </c>
      <c r="P22" s="80" t="str">
        <f t="shared" ref="P22:X22" si="12">P14</f>
        <v>F2</v>
      </c>
      <c r="Q22" s="80" t="str">
        <f t="shared" si="12"/>
        <v>F3</v>
      </c>
      <c r="R22" s="80" t="str">
        <f t="shared" si="12"/>
        <v>F4</v>
      </c>
      <c r="S22" s="80" t="str">
        <f t="shared" si="12"/>
        <v>F5</v>
      </c>
      <c r="T22" s="80" t="str">
        <f t="shared" si="12"/>
        <v>F6</v>
      </c>
      <c r="U22" s="80" t="str">
        <f t="shared" si="12"/>
        <v>F7</v>
      </c>
      <c r="V22" s="80" t="str">
        <f t="shared" si="12"/>
        <v>F8</v>
      </c>
      <c r="W22" s="80" t="str">
        <f t="shared" si="12"/>
        <v>Clear</v>
      </c>
      <c r="X22" s="87" t="str">
        <f t="shared" si="12"/>
        <v>NIR</v>
      </c>
      <c r="Y22" s="15"/>
      <c r="Z22" s="15"/>
      <c r="AA22" s="15"/>
      <c r="AB22" s="15"/>
      <c r="AC22" s="15"/>
      <c r="AD22" s="15"/>
      <c r="AE22" s="15"/>
    </row>
    <row r="23" spans="1:34" s="9" customFormat="1" x14ac:dyDescent="0.3">
      <c r="A23" s="171">
        <v>387</v>
      </c>
      <c r="B23" s="45">
        <v>0.20829</v>
      </c>
      <c r="C23" s="45">
        <v>-3.6336E-2</v>
      </c>
      <c r="D23" s="45">
        <v>1.0192E-2</v>
      </c>
      <c r="E23" s="45">
        <v>-1.9861000000000002E-3</v>
      </c>
      <c r="F23" s="45">
        <v>1.6961000000000001E-3</v>
      </c>
      <c r="G23" s="45">
        <v>-3.8874999999999999E-4</v>
      </c>
      <c r="H23" s="45">
        <v>8.3049999999999997E-4</v>
      </c>
      <c r="I23" s="45">
        <v>-3.0198999999999997E-4</v>
      </c>
      <c r="J23" s="45">
        <v>-7.4606000000000004E-3</v>
      </c>
      <c r="K23" s="45">
        <v>-2.6648999999999998E-4</v>
      </c>
      <c r="M23" s="2"/>
      <c r="N23" s="88"/>
      <c r="O23" s="81">
        <f>O15</f>
        <v>415</v>
      </c>
      <c r="P23" s="81">
        <f t="shared" ref="P23:X23" si="13">P15</f>
        <v>445</v>
      </c>
      <c r="Q23" s="81">
        <f t="shared" si="13"/>
        <v>480</v>
      </c>
      <c r="R23" s="81">
        <f t="shared" si="13"/>
        <v>515</v>
      </c>
      <c r="S23" s="81">
        <f t="shared" si="13"/>
        <v>555</v>
      </c>
      <c r="T23" s="81">
        <f t="shared" si="13"/>
        <v>590</v>
      </c>
      <c r="U23" s="81">
        <f t="shared" si="13"/>
        <v>630</v>
      </c>
      <c r="V23" s="81">
        <f t="shared" si="13"/>
        <v>680</v>
      </c>
      <c r="W23" s="81">
        <f t="shared" si="13"/>
        <v>750</v>
      </c>
      <c r="X23" s="89">
        <f t="shared" si="13"/>
        <v>900</v>
      </c>
      <c r="Y23"/>
      <c r="Z23"/>
      <c r="AA23"/>
      <c r="AB23"/>
      <c r="AC23"/>
      <c r="AD23"/>
      <c r="AE23"/>
    </row>
    <row r="24" spans="1:34" s="9" customFormat="1" x14ac:dyDescent="0.3">
      <c r="A24" s="171">
        <v>388</v>
      </c>
      <c r="B24" s="45">
        <v>0.2104</v>
      </c>
      <c r="C24" s="45">
        <v>-3.6703E-2</v>
      </c>
      <c r="D24" s="45">
        <v>1.0295E-2</v>
      </c>
      <c r="E24" s="45">
        <v>-2.0062000000000001E-3</v>
      </c>
      <c r="F24" s="45">
        <v>1.7133000000000001E-3</v>
      </c>
      <c r="G24" s="45">
        <v>-3.9267000000000002E-4</v>
      </c>
      <c r="H24" s="45">
        <v>8.3889000000000001E-4</v>
      </c>
      <c r="I24" s="45">
        <v>-3.0504000000000002E-4</v>
      </c>
      <c r="J24" s="45">
        <v>-7.5360000000000002E-3</v>
      </c>
      <c r="K24" s="45">
        <v>-2.6917999999999999E-4</v>
      </c>
      <c r="M24" s="3"/>
      <c r="N24" s="90" t="s">
        <v>56</v>
      </c>
      <c r="O24" s="82">
        <v>1</v>
      </c>
      <c r="P24" s="82">
        <v>1</v>
      </c>
      <c r="Q24" s="82">
        <v>1</v>
      </c>
      <c r="R24" s="82">
        <v>1</v>
      </c>
      <c r="S24" s="82">
        <v>1</v>
      </c>
      <c r="T24" s="82">
        <v>1</v>
      </c>
      <c r="U24" s="82">
        <v>1</v>
      </c>
      <c r="V24" s="82">
        <v>1</v>
      </c>
      <c r="W24" s="82">
        <v>1</v>
      </c>
      <c r="X24" s="153">
        <v>1</v>
      </c>
      <c r="Y24"/>
      <c r="Z24"/>
      <c r="AA24"/>
      <c r="AB24"/>
      <c r="AC24"/>
      <c r="AD24"/>
      <c r="AE24"/>
    </row>
    <row r="25" spans="1:34" s="9" customFormat="1" x14ac:dyDescent="0.3">
      <c r="A25" s="171">
        <v>389</v>
      </c>
      <c r="B25" s="45">
        <v>0.21251999999999999</v>
      </c>
      <c r="C25" s="45">
        <v>-3.7073000000000002E-2</v>
      </c>
      <c r="D25" s="45">
        <v>1.0399E-2</v>
      </c>
      <c r="E25" s="45">
        <v>-2.0263999999999998E-3</v>
      </c>
      <c r="F25" s="45">
        <v>1.7306000000000001E-3</v>
      </c>
      <c r="G25" s="45">
        <v>-3.9664000000000002E-4</v>
      </c>
      <c r="H25" s="45">
        <v>8.4736000000000002E-4</v>
      </c>
      <c r="I25" s="45">
        <v>-3.0812E-4</v>
      </c>
      <c r="J25" s="45">
        <v>-7.6121000000000001E-3</v>
      </c>
      <c r="K25" s="45">
        <v>-2.719E-4</v>
      </c>
      <c r="M25" s="3"/>
      <c r="N25" s="91" t="s">
        <v>57</v>
      </c>
      <c r="O25" s="85">
        <v>1</v>
      </c>
      <c r="P25" s="85">
        <v>1</v>
      </c>
      <c r="Q25" s="85">
        <v>1</v>
      </c>
      <c r="R25" s="85">
        <v>1</v>
      </c>
      <c r="S25" s="85">
        <v>1</v>
      </c>
      <c r="T25" s="85">
        <v>1</v>
      </c>
      <c r="U25" s="85">
        <v>1</v>
      </c>
      <c r="V25" s="85">
        <v>1</v>
      </c>
      <c r="W25" s="85">
        <v>1</v>
      </c>
      <c r="X25" s="154">
        <v>1</v>
      </c>
      <c r="Y25"/>
      <c r="Z25"/>
      <c r="AA25"/>
      <c r="AB25"/>
      <c r="AC25"/>
      <c r="AD25"/>
      <c r="AE25"/>
    </row>
    <row r="26" spans="1:34" s="9" customFormat="1" ht="15" thickBot="1" x14ac:dyDescent="0.35">
      <c r="A26" s="171">
        <v>390</v>
      </c>
      <c r="B26" s="45">
        <v>0.21467</v>
      </c>
      <c r="C26" s="45">
        <v>-3.7448000000000002E-2</v>
      </c>
      <c r="D26" s="45">
        <v>1.0503999999999999E-2</v>
      </c>
      <c r="E26" s="45">
        <v>-2.0468999999999999E-3</v>
      </c>
      <c r="F26" s="45">
        <v>1.748E-3</v>
      </c>
      <c r="G26" s="45">
        <v>-4.0065000000000001E-4</v>
      </c>
      <c r="H26" s="45">
        <v>8.5592000000000003E-4</v>
      </c>
      <c r="I26" s="45">
        <v>-3.1123000000000001E-4</v>
      </c>
      <c r="J26" s="45">
        <v>-7.6889999999999997E-3</v>
      </c>
      <c r="K26" s="45">
        <v>-2.7464999999999998E-4</v>
      </c>
      <c r="L26" s="5"/>
      <c r="N26" s="92" t="s">
        <v>79</v>
      </c>
      <c r="O26" s="155">
        <f>O24/O25</f>
        <v>1</v>
      </c>
      <c r="P26" s="155">
        <f t="shared" ref="P26:X26" si="14">P24/P25</f>
        <v>1</v>
      </c>
      <c r="Q26" s="155">
        <f t="shared" si="14"/>
        <v>1</v>
      </c>
      <c r="R26" s="155">
        <f t="shared" si="14"/>
        <v>1</v>
      </c>
      <c r="S26" s="155">
        <f t="shared" si="14"/>
        <v>1</v>
      </c>
      <c r="T26" s="155">
        <f t="shared" si="14"/>
        <v>1</v>
      </c>
      <c r="U26" s="155">
        <f t="shared" si="14"/>
        <v>1</v>
      </c>
      <c r="V26" s="155">
        <f t="shared" si="14"/>
        <v>1</v>
      </c>
      <c r="W26" s="155">
        <f t="shared" si="14"/>
        <v>1</v>
      </c>
      <c r="X26" s="156">
        <f t="shared" si="14"/>
        <v>1</v>
      </c>
      <c r="Y26"/>
      <c r="Z26"/>
      <c r="AA26"/>
      <c r="AB26"/>
      <c r="AC26"/>
      <c r="AD26"/>
      <c r="AE26"/>
    </row>
    <row r="27" spans="1:34" s="9" customFormat="1" ht="15" thickBot="1" x14ac:dyDescent="0.35">
      <c r="A27" s="171">
        <v>391</v>
      </c>
      <c r="B27" s="45">
        <v>0.21684</v>
      </c>
      <c r="C27" s="45">
        <v>-3.7825999999999999E-2</v>
      </c>
      <c r="D27" s="45">
        <v>1.061E-2</v>
      </c>
      <c r="E27" s="45">
        <v>-2.0676000000000002E-3</v>
      </c>
      <c r="F27" s="45">
        <v>1.7657E-3</v>
      </c>
      <c r="G27" s="45">
        <v>-4.0468999999999998E-4</v>
      </c>
      <c r="H27" s="45">
        <v>8.6456E-4</v>
      </c>
      <c r="I27" s="45">
        <v>-3.1438000000000001E-4</v>
      </c>
      <c r="J27" s="45">
        <v>-7.7666999999999996E-3</v>
      </c>
      <c r="K27" s="45">
        <v>-2.7742000000000001E-4</v>
      </c>
      <c r="N27" s="12"/>
      <c r="O27" s="5"/>
      <c r="P27" s="5"/>
      <c r="Q27" s="5"/>
      <c r="R27" s="5"/>
      <c r="S27" s="5"/>
      <c r="T27" s="5"/>
      <c r="U27" s="5"/>
      <c r="V27" s="5"/>
      <c r="W27" s="5"/>
      <c r="X27" s="5"/>
      <c r="Y27"/>
      <c r="Z27"/>
      <c r="AA27"/>
      <c r="AB27"/>
      <c r="AC27"/>
      <c r="AD27"/>
      <c r="AE27"/>
    </row>
    <row r="28" spans="1:34" s="9" customFormat="1" ht="14.7" customHeight="1" thickBot="1" x14ac:dyDescent="0.35">
      <c r="A28" s="171">
        <v>392</v>
      </c>
      <c r="B28" s="45">
        <v>0.21903</v>
      </c>
      <c r="C28" s="45">
        <v>-3.8207999999999999E-2</v>
      </c>
      <c r="D28" s="45">
        <v>1.0717000000000001E-2</v>
      </c>
      <c r="E28" s="45">
        <v>-2.0883999999999998E-3</v>
      </c>
      <c r="F28" s="45">
        <v>1.7834999999999999E-3</v>
      </c>
      <c r="G28" s="45">
        <v>-4.0875999999999998E-4</v>
      </c>
      <c r="H28" s="45">
        <v>8.7330000000000003E-4</v>
      </c>
      <c r="I28" s="45">
        <v>-3.1753E-4</v>
      </c>
      <c r="J28" s="45">
        <v>-7.8451000000000007E-3</v>
      </c>
      <c r="K28" s="45">
        <v>-2.8022000000000002E-4</v>
      </c>
      <c r="M28" s="1"/>
      <c r="N28" s="223" t="s">
        <v>82</v>
      </c>
      <c r="O28" s="224"/>
      <c r="P28" s="224"/>
      <c r="Q28" s="224"/>
      <c r="R28" s="224"/>
      <c r="S28" s="224"/>
      <c r="T28" s="224"/>
      <c r="U28" s="224"/>
      <c r="V28" s="224"/>
      <c r="W28" s="224"/>
      <c r="X28" s="225"/>
      <c r="Y28"/>
      <c r="Z28"/>
      <c r="AA28"/>
      <c r="AB28"/>
      <c r="AC28"/>
      <c r="AD28"/>
      <c r="AE28"/>
    </row>
    <row r="29" spans="1:34" s="9" customFormat="1" ht="15" customHeight="1" thickBot="1" x14ac:dyDescent="0.35">
      <c r="A29" s="171">
        <v>393</v>
      </c>
      <c r="B29" s="45">
        <v>0.22123999999999999</v>
      </c>
      <c r="C29" s="45">
        <v>-3.8592000000000001E-2</v>
      </c>
      <c r="D29" s="45">
        <v>1.0825E-2</v>
      </c>
      <c r="E29" s="45">
        <v>-2.1093000000000002E-3</v>
      </c>
      <c r="F29" s="45">
        <v>1.8014999999999999E-3</v>
      </c>
      <c r="G29" s="45">
        <v>-4.1278000000000002E-4</v>
      </c>
      <c r="H29" s="45">
        <v>8.8212000000000002E-4</v>
      </c>
      <c r="I29" s="45">
        <v>-3.2060999999999998E-4</v>
      </c>
      <c r="J29" s="45">
        <v>-7.9243999999999998E-3</v>
      </c>
      <c r="K29" s="45">
        <v>-2.8301999999999998E-4</v>
      </c>
      <c r="M29" s="12"/>
      <c r="N29" s="130" t="s">
        <v>20</v>
      </c>
      <c r="O29" s="124" t="s">
        <v>144</v>
      </c>
      <c r="P29" s="124" t="s">
        <v>70</v>
      </c>
      <c r="Q29" s="124" t="s">
        <v>146</v>
      </c>
      <c r="R29" s="124" t="s">
        <v>71</v>
      </c>
      <c r="S29" s="124" t="s">
        <v>72</v>
      </c>
      <c r="T29" s="125"/>
      <c r="U29" s="211" t="s">
        <v>109</v>
      </c>
      <c r="V29" s="212"/>
      <c r="W29" s="212"/>
      <c r="X29" s="213"/>
      <c r="Y29"/>
      <c r="Z29"/>
      <c r="AA29"/>
      <c r="AB29"/>
      <c r="AC29"/>
      <c r="AD29"/>
      <c r="AE29"/>
    </row>
    <row r="30" spans="1:34" s="9" customFormat="1" x14ac:dyDescent="0.3">
      <c r="A30" s="171">
        <v>394</v>
      </c>
      <c r="B30" s="45">
        <v>0.22345999999999999</v>
      </c>
      <c r="C30" s="45">
        <v>-3.8975000000000003E-2</v>
      </c>
      <c r="D30" s="45">
        <v>1.0933E-2</v>
      </c>
      <c r="E30" s="45">
        <v>-2.1299000000000001E-3</v>
      </c>
      <c r="F30" s="45">
        <v>1.8196E-3</v>
      </c>
      <c r="G30" s="45">
        <v>-4.1664000000000002E-4</v>
      </c>
      <c r="H30" s="45">
        <v>8.9103000000000001E-4</v>
      </c>
      <c r="I30" s="45">
        <v>-3.2351999999999999E-4</v>
      </c>
      <c r="J30" s="45">
        <v>-8.0046000000000006E-3</v>
      </c>
      <c r="K30" s="45">
        <v>-2.8579000000000001E-4</v>
      </c>
      <c r="M30" s="12"/>
      <c r="N30" s="127">
        <f t="array" ref="N30:N39">TRANSPOSE(O15:X15)</f>
        <v>415</v>
      </c>
      <c r="O30" s="111">
        <f>'Demonstration Calculations'!D10</f>
        <v>1.1057181599639414E-2</v>
      </c>
      <c r="P30" s="112">
        <v>1.4838333333333333</v>
      </c>
      <c r="Q30" s="113">
        <f>O30/P30</f>
        <v>7.4517678982181828E-3</v>
      </c>
      <c r="R30" s="176">
        <v>4.4666666666666702E-2</v>
      </c>
      <c r="S30" s="133">
        <f>O30-$P$42*$P$43*R30</f>
        <v>1.1053601413952126E-2</v>
      </c>
      <c r="T30" s="114"/>
      <c r="U30" s="214"/>
      <c r="V30" s="215"/>
      <c r="W30" s="215"/>
      <c r="X30" s="216"/>
      <c r="Y30"/>
      <c r="Z30"/>
      <c r="AA30"/>
      <c r="AB30"/>
      <c r="AC30"/>
      <c r="AD30"/>
      <c r="AE30"/>
    </row>
    <row r="31" spans="1:34" s="9" customFormat="1" x14ac:dyDescent="0.3">
      <c r="A31" s="171">
        <v>395</v>
      </c>
      <c r="B31" s="45">
        <v>0.22569</v>
      </c>
      <c r="C31" s="45">
        <v>-3.9351999999999998E-2</v>
      </c>
      <c r="D31" s="45">
        <v>1.1039999999999999E-2</v>
      </c>
      <c r="E31" s="45">
        <v>-2.1497999999999999E-3</v>
      </c>
      <c r="F31" s="45">
        <v>1.8377000000000001E-3</v>
      </c>
      <c r="G31" s="45">
        <v>-4.2014999999999999E-4</v>
      </c>
      <c r="H31" s="45">
        <v>9.0001999999999997E-4</v>
      </c>
      <c r="I31" s="45">
        <v>-3.2606999999999997E-4</v>
      </c>
      <c r="J31" s="45">
        <v>-8.0856999999999995E-3</v>
      </c>
      <c r="K31" s="45">
        <v>-2.8847999999999998E-4</v>
      </c>
      <c r="M31" s="12"/>
      <c r="N31" s="127">
        <v>445</v>
      </c>
      <c r="O31" s="111">
        <f>'Demonstration Calculations'!D11</f>
        <v>1.9664075284274933E-2</v>
      </c>
      <c r="P31" s="112">
        <v>1.8705333333333334</v>
      </c>
      <c r="Q31" s="113">
        <f t="shared" ref="Q31:Q38" si="15">O31/P31</f>
        <v>1.0512550048618004E-2</v>
      </c>
      <c r="R31" s="176">
        <v>5.5066666666666673E-2</v>
      </c>
      <c r="S31" s="133">
        <f t="shared" ref="S31:S39" si="16">O31-$P$42*$P$43*R31</f>
        <v>1.9659661503114188E-2</v>
      </c>
      <c r="T31" s="109"/>
      <c r="U31" s="214"/>
      <c r="V31" s="215"/>
      <c r="W31" s="215"/>
      <c r="X31" s="216"/>
      <c r="Y31"/>
      <c r="Z31"/>
      <c r="AA31" s="5"/>
      <c r="AB31"/>
      <c r="AC31" s="5"/>
      <c r="AD31"/>
      <c r="AE31"/>
      <c r="AF31" s="5"/>
      <c r="AG31" s="5"/>
      <c r="AH31" s="5"/>
    </row>
    <row r="32" spans="1:34" s="9" customFormat="1" x14ac:dyDescent="0.3">
      <c r="A32" s="171">
        <v>396</v>
      </c>
      <c r="B32" s="45">
        <v>0.22792000000000001</v>
      </c>
      <c r="C32" s="45">
        <v>-3.9718000000000003E-2</v>
      </c>
      <c r="D32" s="45">
        <v>1.1145E-2</v>
      </c>
      <c r="E32" s="45">
        <v>-2.1684E-3</v>
      </c>
      <c r="F32" s="45">
        <v>1.8557000000000001E-3</v>
      </c>
      <c r="G32" s="45">
        <v>-4.2305000000000001E-4</v>
      </c>
      <c r="H32" s="45">
        <v>9.0908999999999998E-4</v>
      </c>
      <c r="I32" s="45">
        <v>-3.2804999999999998E-4</v>
      </c>
      <c r="J32" s="45">
        <v>-8.1676000000000006E-3</v>
      </c>
      <c r="K32" s="45">
        <v>-2.9105999999999999E-4</v>
      </c>
      <c r="M32" s="12"/>
      <c r="N32" s="127">
        <v>480</v>
      </c>
      <c r="O32" s="111">
        <f>'Demonstration Calculations'!D12</f>
        <v>2.8301854951032355E-2</v>
      </c>
      <c r="P32" s="112">
        <v>1.8507333333333333</v>
      </c>
      <c r="Q32" s="113">
        <f t="shared" si="15"/>
        <v>1.5292238185421466E-2</v>
      </c>
      <c r="R32" s="176">
        <v>5.3133333333333338E-2</v>
      </c>
      <c r="S32" s="133">
        <f t="shared" si="16"/>
        <v>2.8297596133132701E-2</v>
      </c>
      <c r="T32" s="109"/>
      <c r="U32" s="214"/>
      <c r="V32" s="215"/>
      <c r="W32" s="215"/>
      <c r="X32" s="216"/>
      <c r="Y32"/>
      <c r="Z32" s="148" t="str">
        <f>O29</f>
        <v>BasicCounts(GainC)</v>
      </c>
      <c r="AA32" t="s">
        <v>76</v>
      </c>
      <c r="AB32" s="5"/>
      <c r="AC32" s="5"/>
      <c r="AD32"/>
      <c r="AE32"/>
      <c r="AF32" s="5"/>
      <c r="AG32" s="5"/>
      <c r="AH32" s="5"/>
    </row>
    <row r="33" spans="1:34" s="9" customFormat="1" x14ac:dyDescent="0.3">
      <c r="A33" s="171">
        <v>397</v>
      </c>
      <c r="B33" s="45">
        <v>0.23011999999999999</v>
      </c>
      <c r="C33" s="45">
        <v>-4.0060999999999999E-2</v>
      </c>
      <c r="D33" s="45">
        <v>1.1245E-2</v>
      </c>
      <c r="E33" s="45">
        <v>-2.1846000000000001E-3</v>
      </c>
      <c r="F33" s="45">
        <v>1.8732E-3</v>
      </c>
      <c r="G33" s="45">
        <v>-4.2499999999999998E-4</v>
      </c>
      <c r="H33" s="45">
        <v>9.1821000000000003E-4</v>
      </c>
      <c r="I33" s="45">
        <v>-3.2922000000000002E-4</v>
      </c>
      <c r="J33" s="45">
        <v>-8.2503999999999997E-3</v>
      </c>
      <c r="K33" s="45">
        <v>-2.9346E-4</v>
      </c>
      <c r="M33" s="12"/>
      <c r="N33" s="127">
        <v>515</v>
      </c>
      <c r="O33" s="111">
        <f>'Demonstration Calculations'!D13</f>
        <v>3.2492053192236491E-2</v>
      </c>
      <c r="P33" s="112">
        <v>1.9242666666666668</v>
      </c>
      <c r="Q33" s="113">
        <f t="shared" si="15"/>
        <v>1.6885421212706045E-2</v>
      </c>
      <c r="R33" s="176">
        <v>6.1499999999999999E-2</v>
      </c>
      <c r="S33" s="133">
        <f t="shared" si="16"/>
        <v>3.2487123757465562E-2</v>
      </c>
      <c r="T33" s="109"/>
      <c r="U33" s="214"/>
      <c r="V33" s="215"/>
      <c r="W33" s="215"/>
      <c r="X33" s="216"/>
      <c r="Y33" s="14"/>
      <c r="Z33" s="148" t="str">
        <f>P29</f>
        <v>Sλ_scaling</v>
      </c>
      <c r="AA33" t="s">
        <v>145</v>
      </c>
      <c r="AB33" s="14"/>
      <c r="AC33" s="14"/>
      <c r="AD33"/>
      <c r="AE33" s="5"/>
      <c r="AF33" s="5"/>
      <c r="AG33" s="5"/>
      <c r="AH33" s="5"/>
    </row>
    <row r="34" spans="1:34" s="9" customFormat="1" x14ac:dyDescent="0.3">
      <c r="A34" s="171">
        <v>398</v>
      </c>
      <c r="B34" s="45">
        <v>0.23229</v>
      </c>
      <c r="C34" s="45">
        <v>-4.0367E-2</v>
      </c>
      <c r="D34" s="45">
        <v>1.1336000000000001E-2</v>
      </c>
      <c r="E34" s="45">
        <v>-2.1971E-3</v>
      </c>
      <c r="F34" s="45">
        <v>1.8898999999999999E-3</v>
      </c>
      <c r="G34" s="45">
        <v>-4.2555000000000002E-4</v>
      </c>
      <c r="H34" s="45">
        <v>9.2734999999999996E-4</v>
      </c>
      <c r="I34" s="45">
        <v>-3.2928999999999999E-4</v>
      </c>
      <c r="J34" s="45">
        <v>-8.3339E-3</v>
      </c>
      <c r="K34" s="45">
        <v>-2.9563000000000001E-4</v>
      </c>
      <c r="M34" s="12"/>
      <c r="N34" s="127">
        <v>555</v>
      </c>
      <c r="O34" s="111">
        <f>'Demonstration Calculations'!D14</f>
        <v>3.4777615869256921E-2</v>
      </c>
      <c r="P34" s="112">
        <v>1.7956000000000001</v>
      </c>
      <c r="Q34" s="113">
        <f t="shared" si="15"/>
        <v>1.9368242297425328E-2</v>
      </c>
      <c r="R34" s="176">
        <v>3.9100000000000003E-2</v>
      </c>
      <c r="S34" s="133">
        <f t="shared" si="16"/>
        <v>3.4774481870890363E-2</v>
      </c>
      <c r="T34" s="109"/>
      <c r="U34" s="214"/>
      <c r="V34" s="215"/>
      <c r="W34" s="215"/>
      <c r="X34" s="216"/>
      <c r="Z34" s="148" t="str">
        <f>Q29</f>
        <v>BC_scaled_to_Clear</v>
      </c>
      <c r="AA34" s="129" t="s">
        <v>77</v>
      </c>
      <c r="AE34" s="5"/>
      <c r="AF34" s="5"/>
      <c r="AG34" s="5"/>
      <c r="AH34" s="5"/>
    </row>
    <row r="35" spans="1:34" s="9" customFormat="1" x14ac:dyDescent="0.3">
      <c r="A35" s="171">
        <v>399</v>
      </c>
      <c r="B35" s="45">
        <v>0.23438000000000001</v>
      </c>
      <c r="C35" s="45">
        <v>-4.0620000000000003E-2</v>
      </c>
      <c r="D35" s="45">
        <v>1.1415E-2</v>
      </c>
      <c r="E35" s="45">
        <v>-2.2043000000000002E-3</v>
      </c>
      <c r="F35" s="45">
        <v>1.9051999999999999E-3</v>
      </c>
      <c r="G35" s="45">
        <v>-4.2414999999999998E-4</v>
      </c>
      <c r="H35" s="45">
        <v>9.3645999999999996E-4</v>
      </c>
      <c r="I35" s="45">
        <v>-3.2793999999999998E-4</v>
      </c>
      <c r="J35" s="45">
        <v>-8.4177999999999996E-3</v>
      </c>
      <c r="K35" s="45">
        <v>-2.9751000000000002E-4</v>
      </c>
      <c r="M35" s="12"/>
      <c r="N35" s="127">
        <v>590</v>
      </c>
      <c r="O35" s="111">
        <f>'Demonstration Calculations'!D15</f>
        <v>3.4015761643583442E-2</v>
      </c>
      <c r="P35" s="112">
        <v>2.000666666666667</v>
      </c>
      <c r="Q35" s="113">
        <f t="shared" si="15"/>
        <v>1.7002213417319278E-2</v>
      </c>
      <c r="R35" s="176">
        <v>7.0133333333333339E-2</v>
      </c>
      <c r="S35" s="133">
        <f t="shared" si="16"/>
        <v>3.4010140217698326E-2</v>
      </c>
      <c r="T35" s="109"/>
      <c r="U35" s="214"/>
      <c r="V35" s="215"/>
      <c r="W35" s="215"/>
      <c r="X35" s="216"/>
      <c r="Y35" s="5"/>
      <c r="Z35" s="148" t="str">
        <f>R29</f>
        <v>Sλ_ratio_NIR</v>
      </c>
      <c r="AA35" s="4" t="s">
        <v>78</v>
      </c>
      <c r="AB35" s="5"/>
      <c r="AC35" s="5"/>
      <c r="AD35" s="5"/>
      <c r="AE35" s="5"/>
      <c r="AF35" s="5"/>
      <c r="AG35" s="5"/>
      <c r="AH35" s="5"/>
    </row>
    <row r="36" spans="1:34" s="9" customFormat="1" x14ac:dyDescent="0.3">
      <c r="A36" s="171">
        <v>400</v>
      </c>
      <c r="B36" s="45">
        <v>0.23637</v>
      </c>
      <c r="C36" s="45">
        <v>-4.0797E-2</v>
      </c>
      <c r="D36" s="45">
        <v>1.1476999999999999E-2</v>
      </c>
      <c r="E36" s="45">
        <v>-2.2041999999999999E-3</v>
      </c>
      <c r="F36" s="45">
        <v>1.9184E-3</v>
      </c>
      <c r="G36" s="45">
        <v>-4.2014E-4</v>
      </c>
      <c r="H36" s="45">
        <v>9.4547000000000001E-4</v>
      </c>
      <c r="I36" s="45">
        <v>-3.2486E-4</v>
      </c>
      <c r="J36" s="45">
        <v>-8.5016999999999992E-3</v>
      </c>
      <c r="K36" s="45">
        <v>-2.9904999999999998E-4</v>
      </c>
      <c r="M36" s="12"/>
      <c r="N36" s="127">
        <v>630</v>
      </c>
      <c r="O36" s="111">
        <f>'Demonstration Calculations'!D16</f>
        <v>3.965760104451678E-2</v>
      </c>
      <c r="P36" s="112">
        <v>1.9229666666666667</v>
      </c>
      <c r="Q36" s="113">
        <f t="shared" si="15"/>
        <v>2.0623134936218403E-2</v>
      </c>
      <c r="R36" s="176">
        <v>5.3066666666666672E-2</v>
      </c>
      <c r="S36" s="133">
        <f t="shared" si="16"/>
        <v>3.9653347570177855E-2</v>
      </c>
      <c r="T36" s="109"/>
      <c r="U36" s="214"/>
      <c r="V36" s="215"/>
      <c r="W36" s="215"/>
      <c r="X36" s="216"/>
      <c r="Y36" s="5"/>
      <c r="Z36" s="148" t="str">
        <f>S29</f>
        <v>D_w</v>
      </c>
      <c r="AA36" s="4" t="s">
        <v>81</v>
      </c>
      <c r="AB36" s="5"/>
      <c r="AC36" s="5"/>
      <c r="AD36" s="5"/>
      <c r="AE36" s="5"/>
      <c r="AF36" s="5"/>
      <c r="AG36" s="5"/>
      <c r="AH36" s="5"/>
    </row>
    <row r="37" spans="1:34" s="9" customFormat="1" x14ac:dyDescent="0.3">
      <c r="A37" s="171">
        <v>401</v>
      </c>
      <c r="B37" s="45">
        <v>0.2382</v>
      </c>
      <c r="C37" s="45">
        <v>-4.0871999999999999E-2</v>
      </c>
      <c r="D37" s="45">
        <v>1.1513000000000001E-2</v>
      </c>
      <c r="E37" s="45">
        <v>-2.1941E-3</v>
      </c>
      <c r="F37" s="45">
        <v>1.9288E-3</v>
      </c>
      <c r="G37" s="45">
        <v>-4.1277000000000002E-4</v>
      </c>
      <c r="H37" s="45">
        <v>9.5430999999999999E-4</v>
      </c>
      <c r="I37" s="45">
        <v>-3.1970000000000002E-4</v>
      </c>
      <c r="J37" s="45">
        <v>-8.5851E-3</v>
      </c>
      <c r="K37" s="45">
        <v>-3.0019999999999998E-4</v>
      </c>
      <c r="M37" s="12"/>
      <c r="N37" s="127">
        <v>680</v>
      </c>
      <c r="O37" s="111">
        <f>'Demonstration Calculations'!D17</f>
        <v>4.3168307679039168E-2</v>
      </c>
      <c r="P37" s="112">
        <v>2.3180999999999998</v>
      </c>
      <c r="Q37" s="113">
        <f t="shared" si="15"/>
        <v>1.8622280177317273E-2</v>
      </c>
      <c r="R37" s="176">
        <v>4.2766666666666675E-2</v>
      </c>
      <c r="S37" s="133">
        <f t="shared" si="16"/>
        <v>4.3164879784832605E-2</v>
      </c>
      <c r="T37" s="109"/>
      <c r="U37" s="214"/>
      <c r="V37" s="215"/>
      <c r="W37" s="215"/>
      <c r="X37" s="216"/>
      <c r="Y37" s="5"/>
      <c r="Z37" s="148"/>
      <c r="AA37" s="5"/>
      <c r="AB37" s="5"/>
      <c r="AC37" s="5"/>
      <c r="AD37" s="5"/>
      <c r="AE37" s="5"/>
      <c r="AF37" s="5"/>
      <c r="AG37" s="5"/>
      <c r="AH37" s="5"/>
    </row>
    <row r="38" spans="1:34" s="9" customFormat="1" x14ac:dyDescent="0.3">
      <c r="A38" s="171">
        <v>402</v>
      </c>
      <c r="B38" s="45">
        <v>0.23984</v>
      </c>
      <c r="C38" s="45">
        <v>-4.0814000000000003E-2</v>
      </c>
      <c r="D38" s="45">
        <v>1.1516999999999999E-2</v>
      </c>
      <c r="E38" s="45">
        <v>-2.1714999999999998E-3</v>
      </c>
      <c r="F38" s="45">
        <v>1.9352E-3</v>
      </c>
      <c r="G38" s="45">
        <v>-4.0118E-4</v>
      </c>
      <c r="H38" s="45">
        <v>9.6287E-4</v>
      </c>
      <c r="I38" s="45">
        <v>-3.1210999999999999E-4</v>
      </c>
      <c r="J38" s="45">
        <v>-8.6672999999999993E-3</v>
      </c>
      <c r="K38" s="45">
        <v>-3.0090999999999999E-4</v>
      </c>
      <c r="M38" s="2"/>
      <c r="N38" s="128">
        <v>750</v>
      </c>
      <c r="O38" s="111">
        <f>'Demonstration Calculations'!D18</f>
        <v>0.12773412672879536</v>
      </c>
      <c r="P38" s="112">
        <v>1</v>
      </c>
      <c r="Q38" s="113">
        <f t="shared" si="15"/>
        <v>0.12773412672879536</v>
      </c>
      <c r="R38" s="115"/>
      <c r="S38" s="133">
        <f t="shared" si="16"/>
        <v>0.12773412672879536</v>
      </c>
      <c r="T38" s="109"/>
      <c r="U38" s="214"/>
      <c r="V38" s="215"/>
      <c r="W38" s="215"/>
      <c r="X38" s="216"/>
      <c r="Y38" s="5"/>
      <c r="Z38" s="148" t="str">
        <f>O42</f>
        <v>D_F_NIR</v>
      </c>
      <c r="AA38" s="4" t="s">
        <v>147</v>
      </c>
      <c r="AB38" s="5"/>
      <c r="AC38" s="5"/>
      <c r="AD38" s="5"/>
      <c r="AE38" s="5"/>
      <c r="AF38" s="5"/>
      <c r="AG38" s="5"/>
      <c r="AH38" s="5"/>
    </row>
    <row r="39" spans="1:34" s="9" customFormat="1" ht="14.25" customHeight="1" x14ac:dyDescent="0.3">
      <c r="A39" s="171">
        <v>403</v>
      </c>
      <c r="B39" s="45">
        <v>0.24121999999999999</v>
      </c>
      <c r="C39" s="45">
        <v>-4.0592000000000003E-2</v>
      </c>
      <c r="D39" s="45">
        <v>1.1481E-2</v>
      </c>
      <c r="E39" s="45">
        <v>-2.1332999999999999E-3</v>
      </c>
      <c r="F39" s="45">
        <v>1.9365999999999999E-3</v>
      </c>
      <c r="G39" s="45">
        <v>-3.8447999999999998E-4</v>
      </c>
      <c r="H39" s="45">
        <v>9.7104000000000005E-4</v>
      </c>
      <c r="I39" s="45">
        <v>-3.0175999999999998E-4</v>
      </c>
      <c r="J39" s="45">
        <v>-8.7475000000000001E-3</v>
      </c>
      <c r="K39" s="45">
        <v>-3.0117000000000002E-4</v>
      </c>
      <c r="M39" s="2"/>
      <c r="N39" s="128">
        <v>900</v>
      </c>
      <c r="O39" s="111">
        <f>'Demonstration Calculations'!D19</f>
        <v>5.180608734579658E-2</v>
      </c>
      <c r="P39" s="115"/>
      <c r="Q39" s="113"/>
      <c r="R39" s="115"/>
      <c r="S39" s="133">
        <f t="shared" si="16"/>
        <v>5.180608734579658E-2</v>
      </c>
      <c r="T39" s="109"/>
      <c r="U39" s="214"/>
      <c r="V39" s="215"/>
      <c r="W39" s="215"/>
      <c r="X39" s="216"/>
      <c r="Y39" s="5"/>
      <c r="Z39" s="148" t="str">
        <f>O43</f>
        <v>NIR_weight</v>
      </c>
      <c r="AA39" s="4" t="s">
        <v>80</v>
      </c>
      <c r="AB39" s="5"/>
      <c r="AC39" s="5"/>
      <c r="AD39" s="5"/>
      <c r="AE39" s="5"/>
      <c r="AF39" s="5"/>
      <c r="AG39" s="5"/>
      <c r="AH39" s="5"/>
    </row>
    <row r="40" spans="1:34" x14ac:dyDescent="0.3">
      <c r="A40" s="171">
        <v>404</v>
      </c>
      <c r="B40" s="45">
        <v>0.24229999999999999</v>
      </c>
      <c r="C40" s="45">
        <v>-4.0169999999999997E-2</v>
      </c>
      <c r="D40" s="45">
        <v>1.1396E-2</v>
      </c>
      <c r="E40" s="45">
        <v>-2.0763999999999999E-3</v>
      </c>
      <c r="F40" s="45">
        <v>1.9318E-3</v>
      </c>
      <c r="G40" s="45">
        <v>-3.6174999999999998E-4</v>
      </c>
      <c r="H40" s="45">
        <v>9.787000000000001E-4</v>
      </c>
      <c r="I40" s="45">
        <v>-2.8834999999999999E-4</v>
      </c>
      <c r="J40" s="45">
        <v>-8.8249999999999995E-3</v>
      </c>
      <c r="K40" s="45">
        <v>-3.0095000000000002E-4</v>
      </c>
      <c r="L40" s="9"/>
      <c r="M40" s="3"/>
      <c r="N40" s="116"/>
      <c r="O40" s="117"/>
      <c r="P40" s="117"/>
      <c r="Q40" s="117"/>
      <c r="R40" s="117"/>
      <c r="S40" s="117"/>
      <c r="T40" s="109"/>
      <c r="U40" s="214"/>
      <c r="V40" s="215"/>
      <c r="W40" s="215"/>
      <c r="X40" s="216"/>
      <c r="Z40"/>
    </row>
    <row r="41" spans="1:34" ht="15" customHeight="1" x14ac:dyDescent="0.3">
      <c r="A41" s="171">
        <v>405</v>
      </c>
      <c r="B41" s="45">
        <v>0.24301</v>
      </c>
      <c r="C41" s="45">
        <v>-3.9515000000000002E-2</v>
      </c>
      <c r="D41" s="45">
        <v>1.1253000000000001E-2</v>
      </c>
      <c r="E41" s="45">
        <v>-1.9975000000000001E-3</v>
      </c>
      <c r="F41" s="45">
        <v>1.9197000000000001E-3</v>
      </c>
      <c r="G41" s="45">
        <v>-3.3205000000000002E-4</v>
      </c>
      <c r="H41" s="45">
        <v>9.8572999999999998E-4</v>
      </c>
      <c r="I41" s="45">
        <v>-2.7156000000000001E-4</v>
      </c>
      <c r="J41" s="45">
        <v>-8.8988000000000001E-3</v>
      </c>
      <c r="K41" s="45">
        <v>-3.0024000000000001E-4</v>
      </c>
      <c r="L41" s="9"/>
      <c r="M41" s="3"/>
      <c r="N41" s="118"/>
      <c r="O41" s="119"/>
      <c r="P41" s="111"/>
      <c r="Q41" s="117"/>
      <c r="R41" s="117"/>
      <c r="S41" s="117"/>
      <c r="T41" s="110"/>
      <c r="U41" s="214"/>
      <c r="V41" s="215"/>
      <c r="W41" s="215"/>
      <c r="X41" s="216"/>
      <c r="Y41" s="13"/>
      <c r="Z41"/>
      <c r="AA41" s="13"/>
    </row>
    <row r="42" spans="1:34" ht="15" customHeight="1" x14ac:dyDescent="0.3">
      <c r="A42" s="171">
        <v>406</v>
      </c>
      <c r="B42" s="45">
        <v>0.24329999999999999</v>
      </c>
      <c r="C42" s="45">
        <v>-3.8591E-2</v>
      </c>
      <c r="D42" s="45">
        <v>1.1043000000000001E-2</v>
      </c>
      <c r="E42" s="45">
        <v>-1.8938E-3</v>
      </c>
      <c r="F42" s="45">
        <v>1.8990000000000001E-3</v>
      </c>
      <c r="G42" s="45">
        <v>-2.9451999999999999E-4</v>
      </c>
      <c r="H42" s="45">
        <v>9.9200000000000004E-4</v>
      </c>
      <c r="I42" s="45">
        <v>-2.5115000000000001E-4</v>
      </c>
      <c r="J42" s="45">
        <v>-8.9680999999999997E-3</v>
      </c>
      <c r="K42" s="45">
        <v>-2.9902999999999999E-4</v>
      </c>
      <c r="N42" s="116"/>
      <c r="O42" s="119" t="s">
        <v>73</v>
      </c>
      <c r="P42" s="132">
        <f>Q38-SUM(Q30:Q37)</f>
        <v>1.9762785555513807E-3</v>
      </c>
      <c r="Q42" s="117"/>
      <c r="R42" s="117"/>
      <c r="S42" s="117"/>
      <c r="T42" s="109"/>
      <c r="U42" s="214"/>
      <c r="V42" s="215"/>
      <c r="W42" s="215"/>
      <c r="X42" s="216"/>
      <c r="Z42"/>
    </row>
    <row r="43" spans="1:34" ht="15" thickBot="1" x14ac:dyDescent="0.35">
      <c r="A43" s="171">
        <v>407</v>
      </c>
      <c r="B43" s="45">
        <v>0.24312</v>
      </c>
      <c r="C43" s="45">
        <v>-3.7367999999999998E-2</v>
      </c>
      <c r="D43" s="45">
        <v>1.0758999999999999E-2</v>
      </c>
      <c r="E43" s="45">
        <v>-1.7622E-3</v>
      </c>
      <c r="F43" s="45">
        <v>1.8688000000000001E-3</v>
      </c>
      <c r="G43" s="45">
        <v>-2.4834999999999999E-4</v>
      </c>
      <c r="H43" s="45">
        <v>9.9738999999999991E-4</v>
      </c>
      <c r="I43" s="45">
        <v>-2.2690000000000001E-4</v>
      </c>
      <c r="J43" s="45">
        <v>-9.0317999999999996E-3</v>
      </c>
      <c r="K43" s="45">
        <v>-2.9732000000000001E-4</v>
      </c>
      <c r="L43" s="9"/>
      <c r="M43" s="9"/>
      <c r="N43" s="120"/>
      <c r="O43" s="121" t="s">
        <v>74</v>
      </c>
      <c r="P43" s="131">
        <f>0.1*O39/O38</f>
        <v>4.0557749657451438E-2</v>
      </c>
      <c r="Q43" s="122"/>
      <c r="R43" s="122"/>
      <c r="S43" s="122"/>
      <c r="T43" s="123"/>
      <c r="U43" s="217"/>
      <c r="V43" s="218"/>
      <c r="W43" s="218"/>
      <c r="X43" s="219"/>
      <c r="Z43"/>
    </row>
    <row r="44" spans="1:34" x14ac:dyDescent="0.3">
      <c r="A44" s="171">
        <v>408</v>
      </c>
      <c r="B44" s="45">
        <v>0.24240999999999999</v>
      </c>
      <c r="C44" s="45">
        <v>-3.5816000000000001E-2</v>
      </c>
      <c r="D44" s="45">
        <v>1.0394E-2</v>
      </c>
      <c r="E44" s="45">
        <v>-1.6004999999999999E-3</v>
      </c>
      <c r="F44" s="45">
        <v>1.828E-3</v>
      </c>
      <c r="G44" s="45">
        <v>-1.9285999999999999E-4</v>
      </c>
      <c r="H44" s="45">
        <v>1.0018E-3</v>
      </c>
      <c r="I44" s="45">
        <v>-1.9861999999999999E-4</v>
      </c>
      <c r="J44" s="45">
        <v>-9.0892999999999998E-3</v>
      </c>
      <c r="K44" s="45">
        <v>-2.9513E-4</v>
      </c>
      <c r="M44" s="1"/>
      <c r="U44" s="8"/>
      <c r="V44" s="8"/>
      <c r="W44" s="8"/>
      <c r="X44" s="8"/>
      <c r="Z44"/>
    </row>
    <row r="45" spans="1:34" x14ac:dyDescent="0.3">
      <c r="A45" s="171">
        <v>409</v>
      </c>
      <c r="B45" s="45">
        <v>0.24113999999999999</v>
      </c>
      <c r="C45" s="45">
        <v>-3.3910999999999997E-2</v>
      </c>
      <c r="D45" s="45">
        <v>9.9413000000000001E-3</v>
      </c>
      <c r="E45" s="45">
        <v>-1.4065E-3</v>
      </c>
      <c r="F45" s="45">
        <v>1.7757999999999999E-3</v>
      </c>
      <c r="G45" s="45">
        <v>-1.2747999999999999E-4</v>
      </c>
      <c r="H45" s="45">
        <v>1.0051000000000001E-3</v>
      </c>
      <c r="I45" s="45">
        <v>-1.6618000000000001E-4</v>
      </c>
      <c r="J45" s="45">
        <v>-9.1395999999999995E-3</v>
      </c>
      <c r="K45" s="45">
        <v>-2.9244999999999998E-4</v>
      </c>
      <c r="M45" s="12"/>
      <c r="U45" s="8"/>
      <c r="V45" s="8"/>
      <c r="W45" s="8"/>
      <c r="X45" s="8"/>
      <c r="Z45"/>
      <c r="AA45" s="8"/>
      <c r="AB45" s="8"/>
      <c r="AC45" s="8"/>
      <c r="AD45" s="8"/>
      <c r="AE45" s="8"/>
    </row>
    <row r="46" spans="1:34" x14ac:dyDescent="0.3">
      <c r="A46" s="171">
        <v>410</v>
      </c>
      <c r="B46" s="45">
        <v>0.23927000000000001</v>
      </c>
      <c r="C46" s="45">
        <v>-3.1634000000000002E-2</v>
      </c>
      <c r="D46" s="45">
        <v>9.3974000000000002E-3</v>
      </c>
      <c r="E46" s="45">
        <v>-1.1788E-3</v>
      </c>
      <c r="F46" s="45">
        <v>1.7118000000000001E-3</v>
      </c>
      <c r="G46" s="45">
        <v>-5.1792999999999997E-5</v>
      </c>
      <c r="H46" s="45">
        <v>1.0074000000000001E-3</v>
      </c>
      <c r="I46" s="45">
        <v>-1.295E-4</v>
      </c>
      <c r="J46" s="45">
        <v>-9.1822999999999991E-3</v>
      </c>
      <c r="K46" s="45">
        <v>-2.8930999999999998E-4</v>
      </c>
      <c r="M46" s="12"/>
      <c r="O46" s="10"/>
      <c r="U46" s="8"/>
      <c r="V46" s="8"/>
      <c r="W46" s="8"/>
      <c r="X46" s="8"/>
      <c r="Z46"/>
      <c r="AA46" s="8"/>
      <c r="AB46" s="8"/>
      <c r="AC46" s="8"/>
      <c r="AD46" s="8"/>
      <c r="AE46" s="8"/>
    </row>
    <row r="47" spans="1:34" x14ac:dyDescent="0.3">
      <c r="A47" s="171">
        <v>411</v>
      </c>
      <c r="B47" s="45">
        <v>0.23677000000000001</v>
      </c>
      <c r="C47" s="45">
        <v>-2.8969999999999999E-2</v>
      </c>
      <c r="D47" s="45">
        <v>8.7591000000000006E-3</v>
      </c>
      <c r="E47" s="45">
        <v>-9.1633999999999997E-4</v>
      </c>
      <c r="F47" s="45">
        <v>1.6355E-3</v>
      </c>
      <c r="G47" s="45">
        <v>3.4442E-5</v>
      </c>
      <c r="H47" s="45">
        <v>1.0084E-3</v>
      </c>
      <c r="I47" s="45">
        <v>-8.8528000000000003E-5</v>
      </c>
      <c r="J47" s="45">
        <v>-9.2166000000000001E-3</v>
      </c>
      <c r="K47" s="45">
        <v>-2.8572E-4</v>
      </c>
      <c r="M47" s="12"/>
      <c r="U47" s="8"/>
      <c r="V47" s="8"/>
      <c r="W47" s="8"/>
      <c r="X47" s="8"/>
      <c r="AC47" s="11"/>
      <c r="AD47" s="8"/>
      <c r="AE47" s="8"/>
    </row>
    <row r="48" spans="1:34" x14ac:dyDescent="0.3">
      <c r="A48" s="171">
        <v>412</v>
      </c>
      <c r="B48" s="45">
        <v>0.23363999999999999</v>
      </c>
      <c r="C48" s="45">
        <v>-2.5911E-2</v>
      </c>
      <c r="D48" s="45">
        <v>8.0251999999999997E-3</v>
      </c>
      <c r="E48" s="45">
        <v>-6.1874E-4</v>
      </c>
      <c r="F48" s="45">
        <v>1.5467E-3</v>
      </c>
      <c r="G48" s="45">
        <v>1.3130999999999999E-4</v>
      </c>
      <c r="H48" s="45">
        <v>1.0081999999999999E-3</v>
      </c>
      <c r="I48" s="45">
        <v>-4.3279999999999999E-5</v>
      </c>
      <c r="J48" s="45">
        <v>-9.2423000000000002E-3</v>
      </c>
      <c r="K48" s="45">
        <v>-2.8169000000000002E-4</v>
      </c>
      <c r="M48" s="12"/>
      <c r="U48" s="8"/>
      <c r="V48" s="8"/>
      <c r="W48" s="8"/>
      <c r="X48" s="8"/>
      <c r="AC48" s="11"/>
      <c r="AD48" s="8"/>
      <c r="AE48" s="8"/>
    </row>
    <row r="49" spans="1:34" x14ac:dyDescent="0.3">
      <c r="A49" s="171">
        <v>413</v>
      </c>
      <c r="B49" s="45">
        <v>0.22985</v>
      </c>
      <c r="C49" s="45">
        <v>-2.2454000000000002E-2</v>
      </c>
      <c r="D49" s="45">
        <v>7.1960000000000001E-3</v>
      </c>
      <c r="E49" s="45">
        <v>-2.8616999999999998E-4</v>
      </c>
      <c r="F49" s="45">
        <v>1.4455E-3</v>
      </c>
      <c r="G49" s="45">
        <v>2.3875E-4</v>
      </c>
      <c r="H49" s="45">
        <v>1.0066999999999999E-3</v>
      </c>
      <c r="I49" s="45">
        <v>6.1983999999999998E-6</v>
      </c>
      <c r="J49" s="45">
        <v>-9.2590999999999993E-3</v>
      </c>
      <c r="K49" s="45">
        <v>-2.7724999999999999E-4</v>
      </c>
      <c r="M49" s="12"/>
      <c r="U49" s="8"/>
      <c r="V49" s="8"/>
      <c r="W49" s="8"/>
      <c r="X49" s="8"/>
      <c r="Y49" s="8"/>
      <c r="Z49" s="8"/>
      <c r="AA49" s="8"/>
      <c r="AB49" s="8"/>
      <c r="AC49" s="8"/>
      <c r="AD49" s="8"/>
      <c r="AE49" s="8"/>
    </row>
    <row r="50" spans="1:34" x14ac:dyDescent="0.3">
      <c r="A50" s="171">
        <v>414</v>
      </c>
      <c r="B50" s="45">
        <v>0.22541</v>
      </c>
      <c r="C50" s="45">
        <v>-1.8600999999999999E-2</v>
      </c>
      <c r="D50" s="45">
        <v>6.2735000000000004E-3</v>
      </c>
      <c r="E50" s="45">
        <v>8.0618999999999995E-5</v>
      </c>
      <c r="F50" s="45">
        <v>1.3323E-3</v>
      </c>
      <c r="G50" s="45">
        <v>3.5649E-4</v>
      </c>
      <c r="H50" s="45">
        <v>1.0041E-3</v>
      </c>
      <c r="I50" s="45">
        <v>5.9817E-5</v>
      </c>
      <c r="J50" s="45">
        <v>-9.2666999999999992E-3</v>
      </c>
      <c r="K50" s="45">
        <v>-2.7240000000000001E-4</v>
      </c>
      <c r="M50" s="12"/>
      <c r="U50" s="8"/>
      <c r="V50" s="8"/>
      <c r="W50" s="8"/>
      <c r="X50" s="8"/>
      <c r="Y50" s="8"/>
      <c r="Z50" s="8"/>
      <c r="AA50" s="8"/>
      <c r="AB50" s="8"/>
      <c r="AC50" s="8"/>
      <c r="AD50" s="8"/>
      <c r="AE50" s="8"/>
    </row>
    <row r="51" spans="1:34" x14ac:dyDescent="0.3">
      <c r="A51" s="171">
        <v>415</v>
      </c>
      <c r="B51" s="45">
        <v>0.22033</v>
      </c>
      <c r="C51" s="45">
        <v>-1.436E-2</v>
      </c>
      <c r="D51" s="45">
        <v>5.2611999999999997E-3</v>
      </c>
      <c r="E51" s="45">
        <v>4.8034E-4</v>
      </c>
      <c r="F51" s="45">
        <v>1.2075E-3</v>
      </c>
      <c r="G51" s="45">
        <v>4.8416000000000003E-4</v>
      </c>
      <c r="H51" s="45">
        <v>1.0003E-3</v>
      </c>
      <c r="I51" s="45">
        <v>1.1745E-4</v>
      </c>
      <c r="J51" s="45">
        <v>-9.2651999999999995E-3</v>
      </c>
      <c r="K51" s="45">
        <v>-2.6716000000000001E-4</v>
      </c>
      <c r="M51" s="12"/>
      <c r="U51" s="8"/>
      <c r="V51" s="8"/>
      <c r="W51" s="8"/>
      <c r="X51" s="8"/>
      <c r="Y51" s="8"/>
      <c r="Z51" s="8"/>
      <c r="AA51" s="8"/>
      <c r="AB51" s="8"/>
      <c r="AC51" s="8"/>
      <c r="AD51" s="8"/>
      <c r="AE51" s="8"/>
    </row>
    <row r="52" spans="1:34" ht="14.4" customHeight="1" x14ac:dyDescent="0.3">
      <c r="A52" s="171">
        <v>416</v>
      </c>
      <c r="B52" s="45">
        <v>0.21462000000000001</v>
      </c>
      <c r="C52" s="45">
        <v>-9.7450000000000002E-3</v>
      </c>
      <c r="D52" s="45">
        <v>4.1640999999999996E-3</v>
      </c>
      <c r="E52" s="45">
        <v>9.1118999999999998E-4</v>
      </c>
      <c r="F52" s="45">
        <v>1.0717999999999999E-3</v>
      </c>
      <c r="G52" s="45">
        <v>6.2120999999999997E-4</v>
      </c>
      <c r="H52" s="45">
        <v>9.9537999999999992E-4</v>
      </c>
      <c r="I52" s="45">
        <v>1.7892E-4</v>
      </c>
      <c r="J52" s="45">
        <v>-9.2545000000000006E-3</v>
      </c>
      <c r="K52" s="45">
        <v>-2.6154999999999999E-4</v>
      </c>
      <c r="M52" s="12"/>
      <c r="U52" s="8"/>
      <c r="V52" s="8"/>
      <c r="W52" s="8"/>
      <c r="X52" s="8"/>
      <c r="Y52" s="8"/>
      <c r="Z52" s="8"/>
      <c r="AA52" s="8"/>
      <c r="AB52" s="8"/>
      <c r="AC52" s="8"/>
      <c r="AD52" s="8"/>
      <c r="AE52" s="8"/>
    </row>
    <row r="53" spans="1:34" x14ac:dyDescent="0.3">
      <c r="A53" s="171">
        <v>417</v>
      </c>
      <c r="B53" s="45">
        <v>0.20830000000000001</v>
      </c>
      <c r="C53" s="45">
        <v>-4.7720999999999996E-3</v>
      </c>
      <c r="D53" s="45">
        <v>2.9884999999999998E-3</v>
      </c>
      <c r="E53" s="45">
        <v>1.3707999999999999E-3</v>
      </c>
      <c r="F53" s="45">
        <v>9.2617999999999997E-4</v>
      </c>
      <c r="G53" s="45">
        <v>7.6696000000000002E-4</v>
      </c>
      <c r="H53" s="45">
        <v>9.8941999999999997E-4</v>
      </c>
      <c r="I53" s="45">
        <v>2.4405E-4</v>
      </c>
      <c r="J53" s="45">
        <v>-9.2350000000000002E-3</v>
      </c>
      <c r="K53" s="45">
        <v>-2.5556999999999999E-4</v>
      </c>
      <c r="M53" s="12"/>
      <c r="N53" s="10"/>
      <c r="O53" s="7"/>
      <c r="P53" s="7"/>
      <c r="Q53" s="7"/>
      <c r="R53" s="7"/>
      <c r="S53" s="7"/>
      <c r="T53" s="7"/>
      <c r="U53" s="7"/>
      <c r="V53" s="7"/>
      <c r="W53" s="7"/>
      <c r="X53" s="7"/>
      <c r="Y53" s="8"/>
      <c r="Z53" s="8"/>
      <c r="AA53" s="8"/>
      <c r="AB53" s="8"/>
      <c r="AC53" s="8"/>
      <c r="AD53" s="8"/>
      <c r="AE53" s="8"/>
    </row>
    <row r="54" spans="1:34" x14ac:dyDescent="0.3">
      <c r="A54" s="171">
        <v>418</v>
      </c>
      <c r="B54" s="45">
        <v>0.20141000000000001</v>
      </c>
      <c r="C54" s="45">
        <v>5.3667999999999999E-4</v>
      </c>
      <c r="D54" s="45">
        <v>1.7420000000000001E-3</v>
      </c>
      <c r="E54" s="45">
        <v>1.8565000000000001E-3</v>
      </c>
      <c r="F54" s="45">
        <v>7.7163999999999998E-4</v>
      </c>
      <c r="G54" s="45">
        <v>9.2060999999999998E-4</v>
      </c>
      <c r="H54" s="45">
        <v>9.8251000000000002E-4</v>
      </c>
      <c r="I54" s="45">
        <v>3.1259000000000001E-4</v>
      </c>
      <c r="J54" s="45">
        <v>-9.2069000000000005E-3</v>
      </c>
      <c r="K54" s="45">
        <v>-2.4924000000000002E-4</v>
      </c>
      <c r="U54" s="8"/>
      <c r="V54" s="8"/>
      <c r="W54" s="8"/>
      <c r="X54" s="8"/>
      <c r="Y54" s="8"/>
      <c r="Z54" s="8"/>
      <c r="AA54" s="8"/>
      <c r="AB54" s="8"/>
      <c r="AC54" s="8"/>
      <c r="AD54" s="8"/>
      <c r="AE54" s="8"/>
      <c r="AF54" s="10"/>
      <c r="AG54" s="10"/>
      <c r="AH54" s="10"/>
    </row>
    <row r="55" spans="1:34" ht="15.75" customHeight="1" x14ac:dyDescent="0.3">
      <c r="A55" s="171">
        <v>419</v>
      </c>
      <c r="B55" s="45">
        <v>0.19397</v>
      </c>
      <c r="C55" s="45">
        <v>6.1561000000000003E-3</v>
      </c>
      <c r="D55" s="45">
        <v>4.3343E-4</v>
      </c>
      <c r="E55" s="45">
        <v>2.3651000000000002E-3</v>
      </c>
      <c r="F55" s="45">
        <v>6.0944000000000005E-4</v>
      </c>
      <c r="G55" s="45">
        <v>1.0812E-3</v>
      </c>
      <c r="H55" s="45">
        <v>9.7475999999999997E-4</v>
      </c>
      <c r="I55" s="45">
        <v>3.8429000000000002E-4</v>
      </c>
      <c r="J55" s="45">
        <v>-9.1704999999999998E-3</v>
      </c>
      <c r="K55" s="45">
        <v>-2.4258E-4</v>
      </c>
      <c r="U55" s="8"/>
      <c r="V55" s="8"/>
      <c r="W55" s="8"/>
      <c r="X55" s="8"/>
      <c r="Y55" s="8"/>
      <c r="Z55" s="8"/>
      <c r="AA55" s="8"/>
      <c r="AB55" s="8"/>
      <c r="AC55" s="8"/>
      <c r="AD55" s="8"/>
      <c r="AE55" s="8"/>
    </row>
    <row r="56" spans="1:34" x14ac:dyDescent="0.3">
      <c r="A56" s="171">
        <v>420</v>
      </c>
      <c r="B56" s="45">
        <v>0.18601999999999999</v>
      </c>
      <c r="C56" s="45">
        <v>1.2057E-2</v>
      </c>
      <c r="D56" s="45">
        <v>-9.2721000000000004E-4</v>
      </c>
      <c r="E56" s="45">
        <v>2.8928999999999999E-3</v>
      </c>
      <c r="F56" s="45">
        <v>4.4097E-4</v>
      </c>
      <c r="G56" s="45">
        <v>1.2478000000000001E-3</v>
      </c>
      <c r="H56" s="45">
        <v>9.6630000000000001E-4</v>
      </c>
      <c r="I56" s="45">
        <v>4.5886000000000001E-4</v>
      </c>
      <c r="J56" s="45">
        <v>-9.1260999999999998E-3</v>
      </c>
      <c r="K56" s="45">
        <v>-2.3559000000000001E-4</v>
      </c>
      <c r="U56" s="8"/>
      <c r="V56" s="8"/>
      <c r="W56" s="8"/>
      <c r="X56" s="8"/>
      <c r="Y56" s="8"/>
      <c r="Z56" s="8"/>
      <c r="AA56" s="8"/>
      <c r="AB56" s="8"/>
      <c r="AC56" s="8"/>
      <c r="AD56" s="8"/>
      <c r="AE56" s="8"/>
    </row>
    <row r="57" spans="1:34" x14ac:dyDescent="0.3">
      <c r="A57" s="171">
        <v>421</v>
      </c>
      <c r="B57" s="45">
        <v>0.17760999999999999</v>
      </c>
      <c r="C57" s="45">
        <v>1.8208999999999999E-2</v>
      </c>
      <c r="D57" s="45">
        <v>-2.3289999999999999E-3</v>
      </c>
      <c r="E57" s="45">
        <v>3.4359E-3</v>
      </c>
      <c r="F57" s="45">
        <v>2.6773999999999998E-4</v>
      </c>
      <c r="G57" s="45">
        <v>1.4192E-3</v>
      </c>
      <c r="H57" s="45">
        <v>9.5724999999999998E-4</v>
      </c>
      <c r="I57" s="45">
        <v>5.3598000000000003E-4</v>
      </c>
      <c r="J57" s="45">
        <v>-9.0743999999999998E-3</v>
      </c>
      <c r="K57" s="45">
        <v>-2.2829E-4</v>
      </c>
      <c r="Y57" s="8"/>
      <c r="Z57" s="8"/>
      <c r="AA57" s="8"/>
      <c r="AB57" s="8"/>
      <c r="AC57" s="8"/>
      <c r="AD57" s="8"/>
      <c r="AE57" s="8"/>
    </row>
    <row r="58" spans="1:34" x14ac:dyDescent="0.3">
      <c r="A58" s="171">
        <v>422</v>
      </c>
      <c r="B58" s="45">
        <v>0.16878000000000001</v>
      </c>
      <c r="C58" s="45">
        <v>2.4577000000000002E-2</v>
      </c>
      <c r="D58" s="45">
        <v>-3.7599999999999999E-3</v>
      </c>
      <c r="E58" s="45">
        <v>3.9897999999999999E-3</v>
      </c>
      <c r="F58" s="45">
        <v>9.1388E-5</v>
      </c>
      <c r="G58" s="45">
        <v>1.5942E-3</v>
      </c>
      <c r="H58" s="45">
        <v>9.4775000000000002E-4</v>
      </c>
      <c r="I58" s="45">
        <v>6.1530999999999999E-4</v>
      </c>
      <c r="J58" s="45">
        <v>-9.0156999999999998E-3</v>
      </c>
      <c r="K58" s="45">
        <v>-2.2069E-4</v>
      </c>
      <c r="U58" s="8"/>
      <c r="V58" s="8"/>
      <c r="W58" s="8"/>
      <c r="X58" s="8"/>
      <c r="Y58" s="8"/>
      <c r="Z58" s="8"/>
      <c r="AA58" s="8"/>
      <c r="AB58" s="8"/>
      <c r="AC58" s="8"/>
      <c r="AD58" s="8"/>
      <c r="AE58" s="8"/>
    </row>
    <row r="59" spans="1:34" x14ac:dyDescent="0.3">
      <c r="A59" s="171">
        <v>423</v>
      </c>
      <c r="B59" s="45">
        <v>0.15959000000000001</v>
      </c>
      <c r="C59" s="45">
        <v>3.1123999999999999E-2</v>
      </c>
      <c r="D59" s="45">
        <v>-5.2072999999999998E-3</v>
      </c>
      <c r="E59" s="45">
        <v>4.5499E-3</v>
      </c>
      <c r="F59" s="45">
        <v>-8.6335999999999995E-5</v>
      </c>
      <c r="G59" s="45">
        <v>1.7715000000000001E-3</v>
      </c>
      <c r="H59" s="45">
        <v>9.3796999999999999E-4</v>
      </c>
      <c r="I59" s="45">
        <v>6.9647999999999997E-4</v>
      </c>
      <c r="J59" s="45">
        <v>-8.9505999999999995E-3</v>
      </c>
      <c r="K59" s="45">
        <v>-2.1280999999999999E-4</v>
      </c>
      <c r="Y59" s="8"/>
      <c r="Z59" s="8"/>
      <c r="AA59" s="8"/>
      <c r="AB59" s="8"/>
      <c r="AC59" s="8"/>
      <c r="AD59" s="8"/>
      <c r="AE59" s="8"/>
    </row>
    <row r="60" spans="1:34" x14ac:dyDescent="0.3">
      <c r="A60" s="171">
        <v>424</v>
      </c>
      <c r="B60" s="45">
        <v>0.15007000000000001</v>
      </c>
      <c r="C60" s="45">
        <v>3.7811999999999998E-2</v>
      </c>
      <c r="D60" s="45">
        <v>-6.6572000000000003E-3</v>
      </c>
      <c r="E60" s="45">
        <v>5.1113E-3</v>
      </c>
      <c r="F60" s="45">
        <v>-2.6359000000000002E-4</v>
      </c>
      <c r="G60" s="45">
        <v>1.9497E-3</v>
      </c>
      <c r="H60" s="45">
        <v>9.2805999999999997E-4</v>
      </c>
      <c r="I60" s="45">
        <v>7.7908000000000003E-4</v>
      </c>
      <c r="J60" s="45">
        <v>-8.8795999999999996E-3</v>
      </c>
      <c r="K60" s="45">
        <v>-2.0467E-4</v>
      </c>
      <c r="Y60" s="8"/>
      <c r="Z60" s="8"/>
      <c r="AA60" s="8"/>
      <c r="AB60" s="8"/>
      <c r="AC60" s="8"/>
      <c r="AD60" s="8"/>
      <c r="AE60" s="8"/>
    </row>
    <row r="61" spans="1:34" x14ac:dyDescent="0.3">
      <c r="A61" s="171">
        <v>425</v>
      </c>
      <c r="B61" s="45">
        <v>0.14029</v>
      </c>
      <c r="C61" s="45">
        <v>4.4601000000000002E-2</v>
      </c>
      <c r="D61" s="45">
        <v>-8.0952000000000003E-3</v>
      </c>
      <c r="E61" s="45">
        <v>5.6684999999999999E-3</v>
      </c>
      <c r="F61" s="45">
        <v>-4.3844000000000001E-4</v>
      </c>
      <c r="G61" s="45">
        <v>2.1275000000000001E-3</v>
      </c>
      <c r="H61" s="45">
        <v>9.1817999999999999E-4</v>
      </c>
      <c r="I61" s="45">
        <v>8.6269999999999999E-4</v>
      </c>
      <c r="J61" s="45">
        <v>-8.8032000000000006E-3</v>
      </c>
      <c r="K61" s="45">
        <v>-1.963E-4</v>
      </c>
      <c r="Y61" s="8"/>
      <c r="Z61" s="8"/>
      <c r="AA61" s="8"/>
      <c r="AB61" s="8"/>
      <c r="AC61" s="8"/>
      <c r="AD61" s="8"/>
      <c r="AE61" s="8"/>
    </row>
    <row r="62" spans="1:34" x14ac:dyDescent="0.3">
      <c r="A62" s="171">
        <v>426</v>
      </c>
      <c r="B62" s="45">
        <v>0.1303</v>
      </c>
      <c r="C62" s="45">
        <v>5.1449000000000002E-2</v>
      </c>
      <c r="D62" s="45">
        <v>-9.5061E-3</v>
      </c>
      <c r="E62" s="45">
        <v>6.2160000000000002E-3</v>
      </c>
      <c r="F62" s="45">
        <v>-6.0888999999999995E-4</v>
      </c>
      <c r="G62" s="45">
        <v>2.3032999999999999E-3</v>
      </c>
      <c r="H62" s="45">
        <v>9.0850999999999996E-4</v>
      </c>
      <c r="I62" s="45">
        <v>9.4687000000000005E-4</v>
      </c>
      <c r="J62" s="45">
        <v>-8.7218999999999994E-3</v>
      </c>
      <c r="K62" s="45">
        <v>-1.8771E-4</v>
      </c>
      <c r="Y62" s="8"/>
      <c r="Z62" s="8"/>
      <c r="AA62" s="8"/>
      <c r="AB62" s="8"/>
      <c r="AC62" s="8"/>
      <c r="AD62" s="8"/>
      <c r="AE62" s="8"/>
    </row>
    <row r="63" spans="1:34" s="10" customFormat="1" ht="16.2" customHeight="1" x14ac:dyDescent="0.3">
      <c r="A63" s="171">
        <v>427</v>
      </c>
      <c r="B63" s="45">
        <v>0.12015000000000001</v>
      </c>
      <c r="C63" s="45">
        <v>5.8313999999999998E-2</v>
      </c>
      <c r="D63" s="45">
        <v>-1.0874E-2</v>
      </c>
      <c r="E63" s="45">
        <v>6.7479999999999997E-3</v>
      </c>
      <c r="F63" s="45">
        <v>-7.7284999999999995E-4</v>
      </c>
      <c r="G63" s="45">
        <v>2.4756000000000001E-3</v>
      </c>
      <c r="H63" s="45">
        <v>8.9921E-4</v>
      </c>
      <c r="I63" s="45">
        <v>1.0311000000000001E-3</v>
      </c>
      <c r="J63" s="45">
        <v>-8.6362000000000001E-3</v>
      </c>
      <c r="K63" s="45">
        <v>-1.7893999999999999E-4</v>
      </c>
      <c r="N63" s="5"/>
      <c r="O63" s="5"/>
      <c r="P63" s="5"/>
      <c r="Q63" s="5"/>
      <c r="R63" s="5"/>
      <c r="S63" s="5"/>
      <c r="T63" s="5"/>
      <c r="U63" s="5"/>
      <c r="V63" s="5"/>
      <c r="W63" s="5"/>
      <c r="X63" s="5"/>
      <c r="Y63" s="8"/>
      <c r="Z63" s="8"/>
      <c r="AA63" s="8"/>
      <c r="AB63" s="8"/>
      <c r="AC63" s="8"/>
      <c r="AD63" s="8"/>
      <c r="AE63" s="8"/>
      <c r="AF63" s="5"/>
      <c r="AG63" s="5"/>
      <c r="AH63" s="5"/>
    </row>
    <row r="64" spans="1:34" x14ac:dyDescent="0.3">
      <c r="A64" s="171">
        <v>428</v>
      </c>
      <c r="B64" s="45">
        <v>0.1099</v>
      </c>
      <c r="C64" s="45">
        <v>6.5152000000000002E-2</v>
      </c>
      <c r="D64" s="45">
        <v>-1.2182E-2</v>
      </c>
      <c r="E64" s="45">
        <v>7.2582999999999996E-3</v>
      </c>
      <c r="F64" s="45">
        <v>-9.2823000000000005E-4</v>
      </c>
      <c r="G64" s="45">
        <v>2.6427999999999998E-3</v>
      </c>
      <c r="H64" s="45">
        <v>8.9046000000000004E-4</v>
      </c>
      <c r="I64" s="45">
        <v>1.1149E-3</v>
      </c>
      <c r="J64" s="45">
        <v>-8.5465000000000003E-3</v>
      </c>
      <c r="K64" s="45">
        <v>-1.7003999999999999E-4</v>
      </c>
      <c r="Y64" s="8"/>
      <c r="Z64" s="8"/>
      <c r="AA64" s="8"/>
      <c r="AB64" s="8"/>
      <c r="AC64" s="8"/>
      <c r="AD64" s="8"/>
      <c r="AE64" s="8"/>
    </row>
    <row r="65" spans="1:31" x14ac:dyDescent="0.3">
      <c r="A65" s="171">
        <v>429</v>
      </c>
      <c r="B65" s="45">
        <v>9.9596000000000004E-2</v>
      </c>
      <c r="C65" s="45">
        <v>7.1918999999999997E-2</v>
      </c>
      <c r="D65" s="45">
        <v>-1.3414000000000001E-2</v>
      </c>
      <c r="E65" s="45">
        <v>7.7406999999999997E-3</v>
      </c>
      <c r="F65" s="45">
        <v>-1.0728999999999999E-3</v>
      </c>
      <c r="G65" s="45">
        <v>2.8032999999999999E-3</v>
      </c>
      <c r="H65" s="45">
        <v>8.8243999999999996E-4</v>
      </c>
      <c r="I65" s="45">
        <v>1.1977999999999999E-3</v>
      </c>
      <c r="J65" s="45">
        <v>-8.4530999999999999E-3</v>
      </c>
      <c r="K65" s="45">
        <v>-1.6102999999999999E-4</v>
      </c>
      <c r="Y65" s="8"/>
      <c r="Z65" s="8"/>
      <c r="AA65" s="8"/>
      <c r="AB65" s="8"/>
      <c r="AC65" s="8"/>
      <c r="AD65" s="8"/>
      <c r="AE65" s="8"/>
    </row>
    <row r="66" spans="1:31" x14ac:dyDescent="0.3">
      <c r="A66" s="171">
        <v>430</v>
      </c>
      <c r="B66" s="45">
        <v>8.9299000000000003E-2</v>
      </c>
      <c r="C66" s="45">
        <v>7.8572000000000003E-2</v>
      </c>
      <c r="D66" s="45">
        <v>-1.4552000000000001E-2</v>
      </c>
      <c r="E66" s="45">
        <v>8.1887999999999996E-3</v>
      </c>
      <c r="F66" s="45">
        <v>-1.2045999999999999E-3</v>
      </c>
      <c r="G66" s="45">
        <v>2.9554E-3</v>
      </c>
      <c r="H66" s="45">
        <v>8.7531000000000002E-4</v>
      </c>
      <c r="I66" s="45">
        <v>1.2791E-3</v>
      </c>
      <c r="J66" s="45">
        <v>-8.3566000000000005E-3</v>
      </c>
      <c r="K66" s="45">
        <v>-1.5196E-4</v>
      </c>
    </row>
    <row r="67" spans="1:31" x14ac:dyDescent="0.3">
      <c r="A67" s="171">
        <v>431</v>
      </c>
      <c r="B67" s="45">
        <v>7.9061999999999993E-2</v>
      </c>
      <c r="C67" s="45">
        <v>8.5066000000000003E-2</v>
      </c>
      <c r="D67" s="45">
        <v>-1.558E-2</v>
      </c>
      <c r="E67" s="45">
        <v>8.5962E-3</v>
      </c>
      <c r="F67" s="45">
        <v>-1.3213000000000001E-3</v>
      </c>
      <c r="G67" s="45">
        <v>3.0975999999999998E-3</v>
      </c>
      <c r="H67" s="45">
        <v>8.6923999999999996E-4</v>
      </c>
      <c r="I67" s="45">
        <v>1.3584999999999999E-3</v>
      </c>
      <c r="J67" s="45">
        <v>-8.2571999999999993E-3</v>
      </c>
      <c r="K67" s="45">
        <v>-1.4289000000000001E-4</v>
      </c>
    </row>
    <row r="68" spans="1:31" x14ac:dyDescent="0.3">
      <c r="A68" s="171">
        <v>432</v>
      </c>
      <c r="B68" s="45">
        <v>6.8934999999999996E-2</v>
      </c>
      <c r="C68" s="45">
        <v>9.1357999999999995E-2</v>
      </c>
      <c r="D68" s="45">
        <v>-1.6479000000000001E-2</v>
      </c>
      <c r="E68" s="45">
        <v>8.9564999999999992E-3</v>
      </c>
      <c r="F68" s="45">
        <v>-1.4207E-3</v>
      </c>
      <c r="G68" s="45">
        <v>3.2280999999999998E-3</v>
      </c>
      <c r="H68" s="45">
        <v>8.6439999999999998E-4</v>
      </c>
      <c r="I68" s="45">
        <v>1.4350999999999999E-3</v>
      </c>
      <c r="J68" s="45">
        <v>-8.1551999999999996E-3</v>
      </c>
      <c r="K68" s="45">
        <v>-1.3386E-4</v>
      </c>
    </row>
    <row r="69" spans="1:31" x14ac:dyDescent="0.3">
      <c r="A69" s="171">
        <v>433</v>
      </c>
      <c r="B69" s="45">
        <v>5.8971000000000003E-2</v>
      </c>
      <c r="C69" s="45">
        <v>9.7405000000000005E-2</v>
      </c>
      <c r="D69" s="45">
        <v>-1.7232000000000001E-2</v>
      </c>
      <c r="E69" s="45">
        <v>9.2633999999999998E-3</v>
      </c>
      <c r="F69" s="45">
        <v>-1.5009999999999999E-3</v>
      </c>
      <c r="G69" s="45">
        <v>3.3455999999999998E-3</v>
      </c>
      <c r="H69" s="45">
        <v>8.6094999999999997E-4</v>
      </c>
      <c r="I69" s="45">
        <v>1.5087E-3</v>
      </c>
      <c r="J69" s="45">
        <v>-8.0508999999999997E-3</v>
      </c>
      <c r="K69" s="45">
        <v>-1.2491999999999999E-4</v>
      </c>
    </row>
    <row r="70" spans="1:31" x14ac:dyDescent="0.3">
      <c r="A70" s="171">
        <v>434</v>
      </c>
      <c r="B70" s="45">
        <v>4.9218999999999999E-2</v>
      </c>
      <c r="C70" s="45">
        <v>0.10316</v>
      </c>
      <c r="D70" s="45">
        <v>-1.7822999999999999E-2</v>
      </c>
      <c r="E70" s="45">
        <v>9.5107000000000004E-3</v>
      </c>
      <c r="F70" s="45">
        <v>-1.5598999999999999E-3</v>
      </c>
      <c r="G70" s="45">
        <v>3.4483000000000001E-3</v>
      </c>
      <c r="H70" s="45">
        <v>8.5904000000000004E-4</v>
      </c>
      <c r="I70" s="45">
        <v>1.5785E-3</v>
      </c>
      <c r="J70" s="45">
        <v>-7.9445999999999996E-3</v>
      </c>
      <c r="K70" s="45">
        <v>-1.1613E-4</v>
      </c>
    </row>
    <row r="71" spans="1:31" hidden="1" x14ac:dyDescent="0.3">
      <c r="A71" s="171">
        <v>435</v>
      </c>
      <c r="B71" s="45">
        <v>3.9725999999999997E-2</v>
      </c>
      <c r="C71" s="45">
        <v>0.1086</v>
      </c>
      <c r="D71" s="45">
        <v>-1.8235999999999999E-2</v>
      </c>
      <c r="E71" s="45">
        <v>9.6924000000000003E-3</v>
      </c>
      <c r="F71" s="45">
        <v>-1.5957E-3</v>
      </c>
      <c r="G71" s="45">
        <v>3.5347999999999998E-3</v>
      </c>
      <c r="H71" s="45">
        <v>8.5879999999999995E-4</v>
      </c>
      <c r="I71" s="45">
        <v>1.6440000000000001E-3</v>
      </c>
      <c r="J71" s="45">
        <v>-7.8364999999999997E-3</v>
      </c>
      <c r="K71" s="45">
        <v>-1.0755E-4</v>
      </c>
    </row>
    <row r="72" spans="1:31" x14ac:dyDescent="0.3">
      <c r="A72" s="171">
        <v>436</v>
      </c>
      <c r="B72" s="45">
        <v>3.0540000000000001E-2</v>
      </c>
      <c r="C72" s="45">
        <v>0.11366</v>
      </c>
      <c r="D72" s="45">
        <v>-1.8454999999999999E-2</v>
      </c>
      <c r="E72" s="45">
        <v>9.8028999999999998E-3</v>
      </c>
      <c r="F72" s="45">
        <v>-1.6065000000000001E-3</v>
      </c>
      <c r="G72" s="45">
        <v>3.6037E-3</v>
      </c>
      <c r="H72" s="45">
        <v>8.6039000000000005E-4</v>
      </c>
      <c r="I72" s="45">
        <v>1.7047E-3</v>
      </c>
      <c r="J72" s="45">
        <v>-7.7267999999999998E-3</v>
      </c>
      <c r="K72" s="45">
        <v>-9.9225E-5</v>
      </c>
    </row>
    <row r="73" spans="1:31" x14ac:dyDescent="0.3">
      <c r="A73" s="171">
        <v>437</v>
      </c>
      <c r="B73" s="45">
        <v>2.1704000000000001E-2</v>
      </c>
      <c r="C73" s="45">
        <v>0.11833</v>
      </c>
      <c r="D73" s="45">
        <v>-1.8464999999999999E-2</v>
      </c>
      <c r="E73" s="45">
        <v>9.8367999999999997E-3</v>
      </c>
      <c r="F73" s="45">
        <v>-1.5904999999999999E-3</v>
      </c>
      <c r="G73" s="45">
        <v>3.6535999999999999E-3</v>
      </c>
      <c r="H73" s="45">
        <v>8.6392000000000001E-4</v>
      </c>
      <c r="I73" s="45">
        <v>1.7600999999999999E-3</v>
      </c>
      <c r="J73" s="45">
        <v>-7.6157999999999998E-3</v>
      </c>
      <c r="K73" s="45">
        <v>-9.1210000000000003E-5</v>
      </c>
    </row>
    <row r="74" spans="1:31" x14ac:dyDescent="0.3">
      <c r="A74" s="171">
        <v>438</v>
      </c>
      <c r="B74" s="45">
        <v>1.3261E-2</v>
      </c>
      <c r="C74" s="45">
        <v>0.12255000000000001</v>
      </c>
      <c r="D74" s="45">
        <v>-1.8252000000000001E-2</v>
      </c>
      <c r="E74" s="45">
        <v>9.7893000000000008E-3</v>
      </c>
      <c r="F74" s="45">
        <v>-1.5463E-3</v>
      </c>
      <c r="G74" s="45">
        <v>3.6833999999999999E-3</v>
      </c>
      <c r="H74" s="45">
        <v>8.6950000000000005E-4</v>
      </c>
      <c r="I74" s="45">
        <v>1.8097E-3</v>
      </c>
      <c r="J74" s="45">
        <v>-7.5034999999999998E-3</v>
      </c>
      <c r="K74" s="45">
        <v>-8.3558000000000002E-5</v>
      </c>
    </row>
    <row r="75" spans="1:31" s="10" customFormat="1" ht="15" customHeight="1" x14ac:dyDescent="0.3">
      <c r="A75" s="171">
        <v>439</v>
      </c>
      <c r="B75" s="45">
        <v>5.2488999999999999E-3</v>
      </c>
      <c r="C75" s="45">
        <v>0.1263</v>
      </c>
      <c r="D75" s="45">
        <v>-1.7802999999999999E-2</v>
      </c>
      <c r="E75" s="45">
        <v>9.6556999999999997E-3</v>
      </c>
      <c r="F75" s="45">
        <v>-1.4724E-3</v>
      </c>
      <c r="G75" s="45">
        <v>3.6917999999999999E-3</v>
      </c>
      <c r="H75" s="45">
        <v>8.7724000000000005E-4</v>
      </c>
      <c r="I75" s="45">
        <v>1.8531000000000001E-3</v>
      </c>
      <c r="J75" s="45">
        <v>-7.3902999999999998E-3</v>
      </c>
      <c r="K75" s="45">
        <v>-7.6318999999999999E-5</v>
      </c>
      <c r="N75" s="5"/>
      <c r="O75" s="5"/>
      <c r="P75" s="5"/>
      <c r="Q75" s="5"/>
      <c r="R75" s="5"/>
      <c r="S75" s="5"/>
      <c r="T75" s="5"/>
      <c r="U75" s="5"/>
      <c r="V75" s="5"/>
      <c r="W75" s="5"/>
      <c r="X75" s="5"/>
      <c r="Y75" s="8"/>
      <c r="Z75" s="8"/>
      <c r="AA75" s="8"/>
      <c r="AB75" s="8"/>
      <c r="AC75" s="8"/>
      <c r="AD75" s="8"/>
      <c r="AE75" s="8"/>
    </row>
    <row r="76" spans="1:31" x14ac:dyDescent="0.3">
      <c r="A76" s="171">
        <v>440</v>
      </c>
      <c r="B76" s="45">
        <v>-2.2945999999999999E-3</v>
      </c>
      <c r="C76" s="45">
        <v>0.12955</v>
      </c>
      <c r="D76" s="45">
        <v>-1.7107000000000001E-2</v>
      </c>
      <c r="E76" s="45">
        <v>9.4322E-3</v>
      </c>
      <c r="F76" s="45">
        <v>-1.3676000000000001E-3</v>
      </c>
      <c r="G76" s="45">
        <v>3.6778000000000002E-3</v>
      </c>
      <c r="H76" s="45">
        <v>8.8721000000000004E-4</v>
      </c>
      <c r="I76" s="45">
        <v>1.8898000000000001E-3</v>
      </c>
      <c r="J76" s="45">
        <v>-7.2763000000000003E-3</v>
      </c>
      <c r="K76" s="45">
        <v>-6.9541000000000004E-5</v>
      </c>
      <c r="Y76" s="8"/>
      <c r="Z76" s="8"/>
      <c r="AA76" s="8"/>
      <c r="AB76" s="8"/>
      <c r="AC76" s="8"/>
      <c r="AD76" s="8"/>
      <c r="AE76" s="8"/>
    </row>
    <row r="77" spans="1:31" x14ac:dyDescent="0.3">
      <c r="A77" s="171">
        <v>441</v>
      </c>
      <c r="B77" s="45">
        <v>-9.3361E-3</v>
      </c>
      <c r="C77" s="45">
        <v>0.13227</v>
      </c>
      <c r="D77" s="45">
        <v>-1.6154000000000002E-2</v>
      </c>
      <c r="E77" s="45">
        <v>9.1153999999999992E-3</v>
      </c>
      <c r="F77" s="45">
        <v>-1.2308E-3</v>
      </c>
      <c r="G77" s="45">
        <v>3.6405999999999999E-3</v>
      </c>
      <c r="H77" s="45">
        <v>8.9950000000000002E-4</v>
      </c>
      <c r="I77" s="45">
        <v>1.9193999999999999E-3</v>
      </c>
      <c r="J77" s="45">
        <v>-7.1615999999999997E-3</v>
      </c>
      <c r="K77" s="45">
        <v>-6.3268000000000005E-5</v>
      </c>
      <c r="Y77" s="8"/>
      <c r="Z77" s="8"/>
      <c r="AA77" s="8"/>
      <c r="AB77" s="8"/>
      <c r="AC77" s="8"/>
      <c r="AD77" s="8"/>
      <c r="AE77" s="8"/>
    </row>
    <row r="78" spans="1:31" x14ac:dyDescent="0.3">
      <c r="A78" s="171">
        <v>442</v>
      </c>
      <c r="B78" s="45">
        <v>-1.5845000000000001E-2</v>
      </c>
      <c r="C78" s="45">
        <v>0.13442999999999999</v>
      </c>
      <c r="D78" s="45">
        <v>-1.4936E-2</v>
      </c>
      <c r="E78" s="45">
        <v>8.7025999999999996E-3</v>
      </c>
      <c r="F78" s="45">
        <v>-1.0614000000000001E-3</v>
      </c>
      <c r="G78" s="45">
        <v>3.5793999999999999E-3</v>
      </c>
      <c r="H78" s="45">
        <v>9.1414999999999997E-4</v>
      </c>
      <c r="I78" s="45">
        <v>1.9417E-3</v>
      </c>
      <c r="J78" s="45">
        <v>-7.0464000000000004E-3</v>
      </c>
      <c r="K78" s="45">
        <v>-5.7543000000000001E-5</v>
      </c>
      <c r="Y78" s="8"/>
      <c r="Z78" s="8"/>
      <c r="AA78" s="8"/>
      <c r="AB78" s="8"/>
      <c r="AC78" s="8"/>
      <c r="AD78" s="8"/>
      <c r="AE78" s="8"/>
    </row>
    <row r="79" spans="1:31" x14ac:dyDescent="0.3">
      <c r="A79" s="171">
        <v>443</v>
      </c>
      <c r="B79" s="45">
        <v>-2.1795999999999999E-2</v>
      </c>
      <c r="C79" s="45">
        <v>0.13602</v>
      </c>
      <c r="D79" s="45">
        <v>-1.3445E-2</v>
      </c>
      <c r="E79" s="45">
        <v>8.1918000000000008E-3</v>
      </c>
      <c r="F79" s="45">
        <v>-8.5866000000000002E-4</v>
      </c>
      <c r="G79" s="45">
        <v>3.4937000000000002E-3</v>
      </c>
      <c r="H79" s="45">
        <v>9.3119000000000003E-4</v>
      </c>
      <c r="I79" s="45">
        <v>1.9564000000000001E-3</v>
      </c>
      <c r="J79" s="45">
        <v>-6.9309000000000003E-3</v>
      </c>
      <c r="K79" s="45">
        <v>-5.2403E-5</v>
      </c>
    </row>
    <row r="80" spans="1:31" x14ac:dyDescent="0.3">
      <c r="A80" s="171">
        <v>444</v>
      </c>
      <c r="B80" s="45">
        <v>-2.7165999999999999E-2</v>
      </c>
      <c r="C80" s="45">
        <v>0.13700999999999999</v>
      </c>
      <c r="D80" s="45">
        <v>-1.1676000000000001E-2</v>
      </c>
      <c r="E80" s="45">
        <v>7.5818999999999999E-3</v>
      </c>
      <c r="F80" s="45">
        <v>-6.2242999999999999E-4</v>
      </c>
      <c r="G80" s="45">
        <v>3.3831E-3</v>
      </c>
      <c r="H80" s="45">
        <v>9.5063000000000005E-4</v>
      </c>
      <c r="I80" s="45">
        <v>1.9632E-3</v>
      </c>
      <c r="J80" s="45">
        <v>-6.8152999999999998E-3</v>
      </c>
      <c r="K80" s="45">
        <v>-4.7880000000000002E-5</v>
      </c>
      <c r="Y80" s="8"/>
      <c r="Z80" s="8"/>
      <c r="AA80" s="8"/>
      <c r="AB80" s="8"/>
      <c r="AC80" s="8"/>
      <c r="AD80" s="8"/>
      <c r="AE80" s="8"/>
    </row>
    <row r="81" spans="1:11" x14ac:dyDescent="0.3">
      <c r="A81" s="171">
        <v>445</v>
      </c>
      <c r="B81" s="45">
        <v>-3.1937E-2</v>
      </c>
      <c r="C81" s="45">
        <v>0.13741</v>
      </c>
      <c r="D81" s="45">
        <v>-9.6285999999999993E-3</v>
      </c>
      <c r="E81" s="45">
        <v>6.8726999999999998E-3</v>
      </c>
      <c r="F81" s="45">
        <v>-3.5272E-4</v>
      </c>
      <c r="G81" s="45">
        <v>3.2474000000000001E-3</v>
      </c>
      <c r="H81" s="45">
        <v>9.7245999999999997E-4</v>
      </c>
      <c r="I81" s="45">
        <v>1.9618999999999999E-3</v>
      </c>
      <c r="J81" s="45">
        <v>-6.6996E-3</v>
      </c>
      <c r="K81" s="45">
        <v>-4.4001000000000001E-5</v>
      </c>
    </row>
    <row r="82" spans="1:11" x14ac:dyDescent="0.3">
      <c r="A82" s="171">
        <v>446</v>
      </c>
      <c r="B82" s="45">
        <v>-3.6096999999999997E-2</v>
      </c>
      <c r="C82" s="45">
        <v>0.13719000000000001</v>
      </c>
      <c r="D82" s="45">
        <v>-7.3010999999999996E-3</v>
      </c>
      <c r="E82" s="45">
        <v>6.0651999999999998E-3</v>
      </c>
      <c r="F82" s="45">
        <v>-4.9944999999999997E-5</v>
      </c>
      <c r="G82" s="45">
        <v>3.0866999999999999E-3</v>
      </c>
      <c r="H82" s="45">
        <v>9.9663000000000009E-4</v>
      </c>
      <c r="I82" s="45">
        <v>1.9525E-3</v>
      </c>
      <c r="J82" s="45">
        <v>-6.5839999999999996E-3</v>
      </c>
      <c r="K82" s="45">
        <v>-4.0788000000000003E-5</v>
      </c>
    </row>
    <row r="83" spans="1:11" x14ac:dyDescent="0.3">
      <c r="A83" s="171">
        <v>447</v>
      </c>
      <c r="B83" s="45">
        <v>-3.9639000000000001E-2</v>
      </c>
      <c r="C83" s="45">
        <v>0.13635</v>
      </c>
      <c r="D83" s="45">
        <v>-4.6969999999999998E-3</v>
      </c>
      <c r="E83" s="45">
        <v>5.1614E-3</v>
      </c>
      <c r="F83" s="45">
        <v>2.8509999999999999E-4</v>
      </c>
      <c r="G83" s="45">
        <v>2.9015E-3</v>
      </c>
      <c r="H83" s="45">
        <v>1.0231000000000001E-3</v>
      </c>
      <c r="I83" s="45">
        <v>1.9350000000000001E-3</v>
      </c>
      <c r="J83" s="45">
        <v>-6.4685999999999997E-3</v>
      </c>
      <c r="K83" s="45">
        <v>-3.8253000000000001E-5</v>
      </c>
    </row>
    <row r="84" spans="1:11" x14ac:dyDescent="0.3">
      <c r="A84" s="171">
        <v>448</v>
      </c>
      <c r="B84" s="45">
        <v>-4.2560000000000001E-2</v>
      </c>
      <c r="C84" s="45">
        <v>0.13491</v>
      </c>
      <c r="D84" s="45">
        <v>-1.8219E-3</v>
      </c>
      <c r="E84" s="45">
        <v>4.1644999999999998E-3</v>
      </c>
      <c r="F84" s="45">
        <v>6.5121999999999999E-4</v>
      </c>
      <c r="G84" s="45">
        <v>2.6922000000000001E-3</v>
      </c>
      <c r="H84" s="45">
        <v>1.0517E-3</v>
      </c>
      <c r="I84" s="45">
        <v>1.9095E-3</v>
      </c>
      <c r="J84" s="45">
        <v>-6.3537000000000003E-3</v>
      </c>
      <c r="K84" s="45">
        <v>-3.6403999999999999E-5</v>
      </c>
    </row>
    <row r="85" spans="1:11" x14ac:dyDescent="0.3">
      <c r="A85" s="171">
        <v>449</v>
      </c>
      <c r="B85" s="45">
        <v>-4.4867999999999998E-2</v>
      </c>
      <c r="C85" s="45">
        <v>0.13286999999999999</v>
      </c>
      <c r="D85" s="45">
        <v>1.3151E-3</v>
      </c>
      <c r="E85" s="45">
        <v>3.0791999999999998E-3</v>
      </c>
      <c r="F85" s="45">
        <v>1.0468000000000001E-3</v>
      </c>
      <c r="G85" s="45">
        <v>2.4599000000000001E-3</v>
      </c>
      <c r="H85" s="45">
        <v>1.0823E-3</v>
      </c>
      <c r="I85" s="45">
        <v>1.8762E-3</v>
      </c>
      <c r="J85" s="45">
        <v>-6.2394E-3</v>
      </c>
      <c r="K85" s="45">
        <v>-3.5238999999999999E-5</v>
      </c>
    </row>
    <row r="86" spans="1:11" x14ac:dyDescent="0.3">
      <c r="A86" s="171">
        <v>450</v>
      </c>
      <c r="B86" s="45">
        <v>-4.6571000000000001E-2</v>
      </c>
      <c r="C86" s="45">
        <v>0.13023999999999999</v>
      </c>
      <c r="D86" s="45">
        <v>4.7019999999999996E-3</v>
      </c>
      <c r="E86" s="45">
        <v>1.9115E-3</v>
      </c>
      <c r="F86" s="45">
        <v>1.4697E-3</v>
      </c>
      <c r="G86" s="45">
        <v>2.2057999999999999E-3</v>
      </c>
      <c r="H86" s="45">
        <v>1.1148E-3</v>
      </c>
      <c r="I86" s="45">
        <v>1.8353E-3</v>
      </c>
      <c r="J86" s="45">
        <v>-6.1257000000000004E-3</v>
      </c>
      <c r="K86" s="45">
        <v>-3.4746999999999998E-5</v>
      </c>
    </row>
    <row r="87" spans="1:11" x14ac:dyDescent="0.3">
      <c r="A87" s="171">
        <v>451</v>
      </c>
      <c r="B87" s="45">
        <v>-4.7688000000000001E-2</v>
      </c>
      <c r="C87" s="45">
        <v>0.12705</v>
      </c>
      <c r="D87" s="45">
        <v>8.3233999999999999E-3</v>
      </c>
      <c r="E87" s="45">
        <v>6.6861000000000004E-4</v>
      </c>
      <c r="F87" s="45">
        <v>1.9174000000000001E-3</v>
      </c>
      <c r="G87" s="45">
        <v>1.9312999999999999E-3</v>
      </c>
      <c r="H87" s="45">
        <v>1.1489E-3</v>
      </c>
      <c r="I87" s="45">
        <v>1.7872000000000001E-3</v>
      </c>
      <c r="J87" s="45">
        <v>-6.0130000000000001E-3</v>
      </c>
      <c r="K87" s="45">
        <v>-3.4910999999999998E-5</v>
      </c>
    </row>
    <row r="88" spans="1:11" x14ac:dyDescent="0.3">
      <c r="A88" s="171">
        <v>452</v>
      </c>
      <c r="B88" s="45">
        <v>-4.8242E-2</v>
      </c>
      <c r="C88" s="45">
        <v>0.12334000000000001</v>
      </c>
      <c r="D88" s="45">
        <v>1.2161E-2</v>
      </c>
      <c r="E88" s="45">
        <v>-6.4084000000000005E-4</v>
      </c>
      <c r="F88" s="45">
        <v>2.3869E-3</v>
      </c>
      <c r="G88" s="45">
        <v>1.6385E-3</v>
      </c>
      <c r="H88" s="45">
        <v>1.1843999999999999E-3</v>
      </c>
      <c r="I88" s="45">
        <v>1.7323E-3</v>
      </c>
      <c r="J88" s="45">
        <v>-5.9012999999999999E-3</v>
      </c>
      <c r="K88" s="45">
        <v>-3.5704000000000002E-5</v>
      </c>
    </row>
    <row r="89" spans="1:11" x14ac:dyDescent="0.3">
      <c r="A89" s="171">
        <v>453</v>
      </c>
      <c r="B89" s="45">
        <v>-4.8260999999999998E-2</v>
      </c>
      <c r="C89" s="45">
        <v>0.11912</v>
      </c>
      <c r="D89" s="45">
        <v>1.6192999999999999E-2</v>
      </c>
      <c r="E89" s="45">
        <v>-2.0070000000000001E-3</v>
      </c>
      <c r="F89" s="45">
        <v>2.8749000000000001E-3</v>
      </c>
      <c r="G89" s="45">
        <v>1.3293000000000001E-3</v>
      </c>
      <c r="H89" s="45">
        <v>1.2210000000000001E-3</v>
      </c>
      <c r="I89" s="45">
        <v>1.6712999999999999E-3</v>
      </c>
      <c r="J89" s="45">
        <v>-5.7908999999999999E-3</v>
      </c>
      <c r="K89" s="45">
        <v>-3.7095000000000003E-5</v>
      </c>
    </row>
    <row r="90" spans="1:11" x14ac:dyDescent="0.3">
      <c r="A90" s="171">
        <v>454</v>
      </c>
      <c r="B90" s="45">
        <v>-4.7780000000000003E-2</v>
      </c>
      <c r="C90" s="45">
        <v>0.11444</v>
      </c>
      <c r="D90" s="45">
        <v>2.0396999999999998E-2</v>
      </c>
      <c r="E90" s="45">
        <v>-3.4190000000000002E-3</v>
      </c>
      <c r="F90" s="45">
        <v>3.3774999999999999E-3</v>
      </c>
      <c r="G90" s="45">
        <v>1.0062000000000001E-3</v>
      </c>
      <c r="H90" s="45">
        <v>1.2584E-3</v>
      </c>
      <c r="I90" s="45">
        <v>1.6046999999999999E-3</v>
      </c>
      <c r="J90" s="45">
        <v>-5.6817999999999999E-3</v>
      </c>
      <c r="K90" s="45">
        <v>-3.9045000000000003E-5</v>
      </c>
    </row>
    <row r="91" spans="1:11" x14ac:dyDescent="0.3">
      <c r="A91" s="171">
        <v>455</v>
      </c>
      <c r="B91" s="45">
        <v>-4.6835000000000002E-2</v>
      </c>
      <c r="C91" s="45">
        <v>0.10935</v>
      </c>
      <c r="D91" s="45">
        <v>2.4746000000000001E-2</v>
      </c>
      <c r="E91" s="45">
        <v>-4.8649000000000001E-3</v>
      </c>
      <c r="F91" s="45">
        <v>3.8907E-3</v>
      </c>
      <c r="G91" s="45">
        <v>6.7166000000000003E-4</v>
      </c>
      <c r="H91" s="45">
        <v>1.2963E-3</v>
      </c>
      <c r="I91" s="45">
        <v>1.5332E-3</v>
      </c>
      <c r="J91" s="45">
        <v>-5.5742999999999999E-3</v>
      </c>
      <c r="K91" s="45">
        <v>-4.1508999999999998E-5</v>
      </c>
    </row>
    <row r="92" spans="1:11" x14ac:dyDescent="0.3">
      <c r="A92" s="171">
        <v>456</v>
      </c>
      <c r="B92" s="45">
        <v>-4.5467E-2</v>
      </c>
      <c r="C92" s="45">
        <v>0.10389</v>
      </c>
      <c r="D92" s="45">
        <v>2.9211000000000001E-2</v>
      </c>
      <c r="E92" s="45">
        <v>-6.3318999999999997E-3</v>
      </c>
      <c r="F92" s="45">
        <v>4.4099999999999999E-3</v>
      </c>
      <c r="G92" s="45">
        <v>3.2861000000000001E-4</v>
      </c>
      <c r="H92" s="45">
        <v>1.3342E-3</v>
      </c>
      <c r="I92" s="45">
        <v>1.4576000000000001E-3</v>
      </c>
      <c r="J92" s="45">
        <v>-5.4685000000000003E-3</v>
      </c>
      <c r="K92" s="45">
        <v>-4.4441999999999999E-5</v>
      </c>
    </row>
    <row r="93" spans="1:11" x14ac:dyDescent="0.3">
      <c r="A93" s="171">
        <v>457</v>
      </c>
      <c r="B93" s="45">
        <v>-4.3721000000000003E-2</v>
      </c>
      <c r="C93" s="45">
        <v>9.8103999999999997E-2</v>
      </c>
      <c r="D93" s="45">
        <v>3.3765000000000003E-2</v>
      </c>
      <c r="E93" s="45">
        <v>-7.8068E-3</v>
      </c>
      <c r="F93" s="45">
        <v>4.9306999999999997E-3</v>
      </c>
      <c r="G93" s="45">
        <v>-2.0052999999999999E-5</v>
      </c>
      <c r="H93" s="45">
        <v>1.3718000000000001E-3</v>
      </c>
      <c r="I93" s="45">
        <v>1.3786E-3</v>
      </c>
      <c r="J93" s="45">
        <v>-5.3647E-3</v>
      </c>
      <c r="K93" s="45">
        <v>-4.7794999999999999E-5</v>
      </c>
    </row>
    <row r="94" spans="1:11" x14ac:dyDescent="0.3">
      <c r="A94" s="171">
        <v>458</v>
      </c>
      <c r="B94" s="45">
        <v>-4.1640999999999997E-2</v>
      </c>
      <c r="C94" s="45">
        <v>9.2049000000000006E-2</v>
      </c>
      <c r="D94" s="45">
        <v>3.8377000000000001E-2</v>
      </c>
      <c r="E94" s="45">
        <v>-9.2756000000000002E-3</v>
      </c>
      <c r="F94" s="45">
        <v>5.4481E-3</v>
      </c>
      <c r="G94" s="45">
        <v>-3.7123000000000001E-4</v>
      </c>
      <c r="H94" s="45">
        <v>1.4086000000000001E-3</v>
      </c>
      <c r="I94" s="45">
        <v>1.2972000000000001E-3</v>
      </c>
      <c r="J94" s="45">
        <v>-5.2630000000000003E-3</v>
      </c>
      <c r="K94" s="45">
        <v>-5.1518999999999999E-5</v>
      </c>
    </row>
    <row r="95" spans="1:11" x14ac:dyDescent="0.3">
      <c r="A95" s="171">
        <v>459</v>
      </c>
      <c r="B95" s="45">
        <v>-3.9272000000000001E-2</v>
      </c>
      <c r="C95" s="45">
        <v>8.5774000000000003E-2</v>
      </c>
      <c r="D95" s="45">
        <v>4.3015999999999999E-2</v>
      </c>
      <c r="E95" s="45">
        <v>-1.0723999999999999E-2</v>
      </c>
      <c r="F95" s="45">
        <v>5.9569999999999996E-3</v>
      </c>
      <c r="G95" s="45">
        <v>-7.2174999999999995E-4</v>
      </c>
      <c r="H95" s="45">
        <v>1.4442999999999999E-3</v>
      </c>
      <c r="I95" s="45">
        <v>1.2139E-3</v>
      </c>
      <c r="J95" s="45">
        <v>-5.1634999999999997E-3</v>
      </c>
      <c r="K95" s="45">
        <v>-5.5563999999999999E-5</v>
      </c>
    </row>
    <row r="96" spans="1:11" x14ac:dyDescent="0.3">
      <c r="A96" s="171">
        <v>460</v>
      </c>
      <c r="B96" s="45">
        <v>-3.6660999999999999E-2</v>
      </c>
      <c r="C96" s="45">
        <v>7.9332E-2</v>
      </c>
      <c r="D96" s="45">
        <v>4.7649999999999998E-2</v>
      </c>
      <c r="E96" s="45">
        <v>-1.2137999999999999E-2</v>
      </c>
      <c r="F96" s="45">
        <v>6.4521999999999999E-3</v>
      </c>
      <c r="G96" s="45">
        <v>-1.0682999999999999E-3</v>
      </c>
      <c r="H96" s="45">
        <v>1.4782E-3</v>
      </c>
      <c r="I96" s="45">
        <v>1.1299000000000001E-3</v>
      </c>
      <c r="J96" s="45">
        <v>-5.0664999999999998E-3</v>
      </c>
      <c r="K96" s="45">
        <v>-5.9886000000000002E-5</v>
      </c>
    </row>
    <row r="97" spans="1:11" x14ac:dyDescent="0.3">
      <c r="A97" s="171">
        <v>461</v>
      </c>
      <c r="B97" s="45">
        <v>-3.3852E-2</v>
      </c>
      <c r="C97" s="45">
        <v>7.2771000000000002E-2</v>
      </c>
      <c r="D97" s="45">
        <v>5.2248999999999997E-2</v>
      </c>
      <c r="E97" s="45">
        <v>-1.3502E-2</v>
      </c>
      <c r="F97" s="45">
        <v>6.9284000000000004E-3</v>
      </c>
      <c r="G97" s="45">
        <v>-1.4077E-3</v>
      </c>
      <c r="H97" s="45">
        <v>1.5100000000000001E-3</v>
      </c>
      <c r="I97" s="45">
        <v>1.0457999999999999E-3</v>
      </c>
      <c r="J97" s="45">
        <v>-4.9721000000000001E-3</v>
      </c>
      <c r="K97" s="45">
        <v>-6.444E-5</v>
      </c>
    </row>
    <row r="98" spans="1:11" x14ac:dyDescent="0.3">
      <c r="A98" s="171">
        <v>462</v>
      </c>
      <c r="B98" s="45">
        <v>-3.0890000000000001E-2</v>
      </c>
      <c r="C98" s="45">
        <v>6.6143999999999994E-2</v>
      </c>
      <c r="D98" s="45">
        <v>5.6783E-2</v>
      </c>
      <c r="E98" s="45">
        <v>-1.4801999999999999E-2</v>
      </c>
      <c r="F98" s="45">
        <v>7.3803999999999996E-3</v>
      </c>
      <c r="G98" s="45">
        <v>-1.7365E-3</v>
      </c>
      <c r="H98" s="45">
        <v>1.5391000000000001E-3</v>
      </c>
      <c r="I98" s="45">
        <v>9.6241999999999996E-4</v>
      </c>
      <c r="J98" s="45">
        <v>-4.8805000000000003E-3</v>
      </c>
      <c r="K98" s="45">
        <v>-6.9190000000000007E-5</v>
      </c>
    </row>
    <row r="99" spans="1:11" x14ac:dyDescent="0.3">
      <c r="A99" s="171">
        <v>463</v>
      </c>
      <c r="B99" s="45">
        <v>-2.7817000000000001E-2</v>
      </c>
      <c r="C99" s="45">
        <v>5.9497000000000001E-2</v>
      </c>
      <c r="D99" s="45">
        <v>6.1219999999999997E-2</v>
      </c>
      <c r="E99" s="45">
        <v>-1.6024E-2</v>
      </c>
      <c r="F99" s="45">
        <v>7.8025000000000004E-3</v>
      </c>
      <c r="G99" s="45">
        <v>-2.0512999999999998E-3</v>
      </c>
      <c r="H99" s="45">
        <v>1.565E-3</v>
      </c>
      <c r="I99" s="45">
        <v>8.8069000000000005E-4</v>
      </c>
      <c r="J99" s="45">
        <v>-4.7917999999999997E-3</v>
      </c>
      <c r="K99" s="45">
        <v>-7.4101000000000001E-5</v>
      </c>
    </row>
    <row r="100" spans="1:11" x14ac:dyDescent="0.3">
      <c r="A100" s="171">
        <v>464</v>
      </c>
      <c r="B100" s="45">
        <v>-2.4673E-2</v>
      </c>
      <c r="C100" s="45">
        <v>5.2875999999999999E-2</v>
      </c>
      <c r="D100" s="45">
        <v>6.5532000000000007E-2</v>
      </c>
      <c r="E100" s="45">
        <v>-1.7152000000000001E-2</v>
      </c>
      <c r="F100" s="45">
        <v>8.1893999999999995E-3</v>
      </c>
      <c r="G100" s="45">
        <v>-2.3487999999999998E-3</v>
      </c>
      <c r="H100" s="45">
        <v>1.5870000000000001E-3</v>
      </c>
      <c r="I100" s="45">
        <v>8.0134E-4</v>
      </c>
      <c r="J100" s="45">
        <v>-4.7063000000000001E-3</v>
      </c>
      <c r="K100" s="45">
        <v>-7.9147999999999995E-5</v>
      </c>
    </row>
    <row r="101" spans="1:11" x14ac:dyDescent="0.3">
      <c r="A101" s="171">
        <v>465</v>
      </c>
      <c r="B101" s="45">
        <v>-2.1495E-2</v>
      </c>
      <c r="C101" s="45">
        <v>4.6324999999999998E-2</v>
      </c>
      <c r="D101" s="45">
        <v>6.9690000000000002E-2</v>
      </c>
      <c r="E101" s="45">
        <v>-1.8173999999999999E-2</v>
      </c>
      <c r="F101" s="45">
        <v>8.5354999999999997E-3</v>
      </c>
      <c r="G101" s="45">
        <v>-2.6256999999999999E-3</v>
      </c>
      <c r="H101" s="45">
        <v>1.6046999999999999E-3</v>
      </c>
      <c r="I101" s="45">
        <v>7.2510999999999995E-4</v>
      </c>
      <c r="J101" s="45">
        <v>-4.6240999999999999E-3</v>
      </c>
      <c r="K101" s="45">
        <v>-8.4309999999999997E-5</v>
      </c>
    </row>
    <row r="102" spans="1:11" x14ac:dyDescent="0.3">
      <c r="A102" s="171">
        <v>466</v>
      </c>
      <c r="B102" s="45">
        <v>-1.8318000000000001E-2</v>
      </c>
      <c r="C102" s="45">
        <v>3.9884999999999997E-2</v>
      </c>
      <c r="D102" s="45">
        <v>7.3667999999999997E-2</v>
      </c>
      <c r="E102" s="45">
        <v>-1.9074000000000001E-2</v>
      </c>
      <c r="F102" s="45">
        <v>8.8354999999999996E-3</v>
      </c>
      <c r="G102" s="45">
        <v>-2.8787999999999999E-3</v>
      </c>
      <c r="H102" s="45">
        <v>1.6174E-3</v>
      </c>
      <c r="I102" s="45">
        <v>6.5271999999999997E-4</v>
      </c>
      <c r="J102" s="45">
        <v>-4.5452000000000001E-3</v>
      </c>
      <c r="K102" s="45">
        <v>-8.9575999999999998E-5</v>
      </c>
    </row>
    <row r="103" spans="1:11" x14ac:dyDescent="0.3">
      <c r="A103" s="171">
        <v>467</v>
      </c>
      <c r="B103" s="45">
        <v>-1.5173000000000001E-2</v>
      </c>
      <c r="C103" s="45">
        <v>3.3591999999999997E-2</v>
      </c>
      <c r="D103" s="45">
        <v>7.7438999999999994E-2</v>
      </c>
      <c r="E103" s="45">
        <v>-1.984E-2</v>
      </c>
      <c r="F103" s="45">
        <v>9.0840000000000001E-3</v>
      </c>
      <c r="G103" s="45">
        <v>-3.1047000000000002E-3</v>
      </c>
      <c r="H103" s="45">
        <v>1.6245999999999999E-3</v>
      </c>
      <c r="I103" s="45">
        <v>5.8485000000000004E-4</v>
      </c>
      <c r="J103" s="45">
        <v>-4.47E-3</v>
      </c>
      <c r="K103" s="45">
        <v>-9.4938999999999993E-5</v>
      </c>
    </row>
    <row r="104" spans="1:11" x14ac:dyDescent="0.3">
      <c r="A104" s="171">
        <v>468</v>
      </c>
      <c r="B104" s="45">
        <v>-1.2088E-2</v>
      </c>
      <c r="C104" s="45">
        <v>2.7480999999999998E-2</v>
      </c>
      <c r="D104" s="45">
        <v>8.0979999999999996E-2</v>
      </c>
      <c r="E104" s="45">
        <v>-2.0459000000000001E-2</v>
      </c>
      <c r="F104" s="45">
        <v>9.2758000000000007E-3</v>
      </c>
      <c r="G104" s="45">
        <v>-3.3005E-3</v>
      </c>
      <c r="H104" s="45">
        <v>1.6256E-3</v>
      </c>
      <c r="I104" s="45">
        <v>5.2211E-4</v>
      </c>
      <c r="J104" s="45">
        <v>-4.3984000000000002E-3</v>
      </c>
      <c r="K104" s="45">
        <v>-1.004E-4</v>
      </c>
    </row>
    <row r="105" spans="1:11" x14ac:dyDescent="0.3">
      <c r="A105" s="171">
        <v>469</v>
      </c>
      <c r="B105" s="45">
        <v>-9.0868000000000008E-3</v>
      </c>
      <c r="C105" s="45">
        <v>2.1582E-2</v>
      </c>
      <c r="D105" s="45">
        <v>8.4266999999999995E-2</v>
      </c>
      <c r="E105" s="45">
        <v>-2.0920000000000001E-2</v>
      </c>
      <c r="F105" s="45">
        <v>9.4059E-3</v>
      </c>
      <c r="G105" s="45">
        <v>-3.4632E-3</v>
      </c>
      <c r="H105" s="45">
        <v>1.6199000000000001E-3</v>
      </c>
      <c r="I105" s="45">
        <v>4.6507999999999999E-4</v>
      </c>
      <c r="J105" s="45">
        <v>-4.3306000000000004E-3</v>
      </c>
      <c r="K105" s="45">
        <v>-1.0597E-4</v>
      </c>
    </row>
    <row r="106" spans="1:11" x14ac:dyDescent="0.3">
      <c r="A106" s="171">
        <v>470</v>
      </c>
      <c r="B106" s="45">
        <v>-6.1915E-3</v>
      </c>
      <c r="C106" s="45">
        <v>1.5923E-2</v>
      </c>
      <c r="D106" s="45">
        <v>8.7281999999999998E-2</v>
      </c>
      <c r="E106" s="45">
        <v>-2.121E-2</v>
      </c>
      <c r="F106" s="45">
        <v>9.4695999999999999E-3</v>
      </c>
      <c r="G106" s="45">
        <v>-3.5901000000000001E-3</v>
      </c>
      <c r="H106" s="45">
        <v>1.6069000000000001E-3</v>
      </c>
      <c r="I106" s="45">
        <v>4.1426000000000001E-4</v>
      </c>
      <c r="J106" s="45">
        <v>-4.2668000000000003E-3</v>
      </c>
      <c r="K106" s="45">
        <v>-1.1166E-4</v>
      </c>
    </row>
    <row r="107" spans="1:11" x14ac:dyDescent="0.3">
      <c r="A107" s="171">
        <v>471</v>
      </c>
      <c r="B107" s="45">
        <v>-3.4198000000000002E-3</v>
      </c>
      <c r="C107" s="45">
        <v>1.0526000000000001E-2</v>
      </c>
      <c r="D107" s="45">
        <v>9.0004000000000001E-2</v>
      </c>
      <c r="E107" s="45">
        <v>-2.1319000000000001E-2</v>
      </c>
      <c r="F107" s="45">
        <v>9.4625999999999998E-3</v>
      </c>
      <c r="G107" s="45">
        <v>-3.6786000000000002E-3</v>
      </c>
      <c r="H107" s="45">
        <v>1.5858999999999999E-3</v>
      </c>
      <c r="I107" s="45">
        <v>3.7011999999999999E-4</v>
      </c>
      <c r="J107" s="45">
        <v>-4.2069000000000004E-3</v>
      </c>
      <c r="K107" s="45">
        <v>-1.1749E-4</v>
      </c>
    </row>
    <row r="108" spans="1:11" x14ac:dyDescent="0.3">
      <c r="A108" s="171">
        <v>472</v>
      </c>
      <c r="B108" s="45">
        <v>-7.8669999999999999E-4</v>
      </c>
      <c r="C108" s="45">
        <v>5.4130999999999997E-3</v>
      </c>
      <c r="D108" s="45">
        <v>9.2418E-2</v>
      </c>
      <c r="E108" s="45">
        <v>-2.1238E-2</v>
      </c>
      <c r="F108" s="45">
        <v>9.3808999999999993E-3</v>
      </c>
      <c r="G108" s="45">
        <v>-3.7265000000000002E-3</v>
      </c>
      <c r="H108" s="45">
        <v>1.5567000000000001E-3</v>
      </c>
      <c r="I108" s="45">
        <v>3.3304E-4</v>
      </c>
      <c r="J108" s="45">
        <v>-4.1511999999999999E-3</v>
      </c>
      <c r="K108" s="45">
        <v>-1.2348E-4</v>
      </c>
    </row>
    <row r="109" spans="1:11" x14ac:dyDescent="0.3">
      <c r="A109" s="171">
        <v>473</v>
      </c>
      <c r="B109" s="45">
        <v>1.6957999999999999E-3</v>
      </c>
      <c r="C109" s="45">
        <v>6.0013000000000004E-4</v>
      </c>
      <c r="D109" s="45">
        <v>9.4509999999999997E-2</v>
      </c>
      <c r="E109" s="45">
        <v>-2.0959999999999999E-2</v>
      </c>
      <c r="F109" s="45">
        <v>9.2210999999999994E-3</v>
      </c>
      <c r="G109" s="45">
        <v>-3.7318E-3</v>
      </c>
      <c r="H109" s="45">
        <v>1.5185999999999999E-3</v>
      </c>
      <c r="I109" s="45">
        <v>3.0336000000000002E-4</v>
      </c>
      <c r="J109" s="45">
        <v>-4.0996000000000001E-3</v>
      </c>
      <c r="K109" s="45">
        <v>-1.2965000000000001E-4</v>
      </c>
    </row>
    <row r="110" spans="1:11" x14ac:dyDescent="0.3">
      <c r="A110" s="171">
        <v>474</v>
      </c>
      <c r="B110" s="45">
        <v>4.0182000000000004E-3</v>
      </c>
      <c r="C110" s="45">
        <v>-3.8988E-3</v>
      </c>
      <c r="D110" s="45">
        <v>9.6267000000000005E-2</v>
      </c>
      <c r="E110" s="45">
        <v>-2.0476000000000001E-2</v>
      </c>
      <c r="F110" s="45">
        <v>8.9803999999999995E-3</v>
      </c>
      <c r="G110" s="45">
        <v>-3.6928E-3</v>
      </c>
      <c r="H110" s="45">
        <v>1.4713E-3</v>
      </c>
      <c r="I110" s="45">
        <v>2.8132999999999999E-4</v>
      </c>
      <c r="J110" s="45">
        <v>-4.0521999999999997E-3</v>
      </c>
      <c r="K110" s="45">
        <v>-1.3603000000000001E-4</v>
      </c>
    </row>
    <row r="111" spans="1:11" x14ac:dyDescent="0.3">
      <c r="A111" s="171">
        <v>475</v>
      </c>
      <c r="B111" s="45">
        <v>6.1732999999999996E-3</v>
      </c>
      <c r="C111" s="45">
        <v>-8.0727999999999998E-3</v>
      </c>
      <c r="D111" s="45">
        <v>9.7679000000000002E-2</v>
      </c>
      <c r="E111" s="45">
        <v>-1.9782000000000001E-2</v>
      </c>
      <c r="F111" s="45">
        <v>8.6566000000000004E-3</v>
      </c>
      <c r="G111" s="45">
        <v>-3.6083999999999999E-3</v>
      </c>
      <c r="H111" s="45">
        <v>1.4146E-3</v>
      </c>
      <c r="I111" s="45">
        <v>2.6716000000000001E-4</v>
      </c>
      <c r="J111" s="45">
        <v>-4.0090000000000004E-3</v>
      </c>
      <c r="K111" s="45">
        <v>-1.4263000000000001E-4</v>
      </c>
    </row>
    <row r="112" spans="1:11" x14ac:dyDescent="0.3">
      <c r="A112" s="171">
        <v>476</v>
      </c>
      <c r="B112" s="45">
        <v>8.1560999999999995E-3</v>
      </c>
      <c r="C112" s="45">
        <v>-1.1913E-2</v>
      </c>
      <c r="D112" s="45">
        <v>9.8738000000000006E-2</v>
      </c>
      <c r="E112" s="45">
        <v>-1.8873999999999998E-2</v>
      </c>
      <c r="F112" s="45">
        <v>8.2482000000000007E-3</v>
      </c>
      <c r="G112" s="45">
        <v>-3.4776999999999998E-3</v>
      </c>
      <c r="H112" s="45">
        <v>1.3481999999999999E-3</v>
      </c>
      <c r="I112" s="45">
        <v>2.6094999999999997E-4</v>
      </c>
      <c r="J112" s="45">
        <v>-3.9700999999999998E-3</v>
      </c>
      <c r="K112" s="45">
        <v>-1.4949000000000001E-4</v>
      </c>
    </row>
    <row r="113" spans="1:11" x14ac:dyDescent="0.3">
      <c r="A113" s="171">
        <v>477</v>
      </c>
      <c r="B113" s="45">
        <v>9.9634000000000007E-3</v>
      </c>
      <c r="C113" s="45">
        <v>-1.5415E-2</v>
      </c>
      <c r="D113" s="45">
        <v>9.9441000000000002E-2</v>
      </c>
      <c r="E113" s="45">
        <v>-1.7749999999999998E-2</v>
      </c>
      <c r="F113" s="45">
        <v>7.7546999999999998E-3</v>
      </c>
      <c r="G113" s="45">
        <v>-3.3002999999999999E-3</v>
      </c>
      <c r="H113" s="45">
        <v>1.2721E-3</v>
      </c>
      <c r="I113" s="45">
        <v>2.6277000000000001E-4</v>
      </c>
      <c r="J113" s="45">
        <v>-3.9354000000000004E-3</v>
      </c>
      <c r="K113" s="45">
        <v>-1.5661000000000001E-4</v>
      </c>
    </row>
    <row r="114" spans="1:11" x14ac:dyDescent="0.3">
      <c r="A114" s="171">
        <v>478</v>
      </c>
      <c r="B114" s="45">
        <v>1.1592999999999999E-2</v>
      </c>
      <c r="C114" s="45">
        <v>-1.8575000000000001E-2</v>
      </c>
      <c r="D114" s="45">
        <v>9.9782999999999997E-2</v>
      </c>
      <c r="E114" s="45">
        <v>-1.6407999999999999E-2</v>
      </c>
      <c r="F114" s="45">
        <v>7.1761999999999998E-3</v>
      </c>
      <c r="G114" s="45">
        <v>-3.0761999999999999E-3</v>
      </c>
      <c r="H114" s="45">
        <v>1.1862999999999999E-3</v>
      </c>
      <c r="I114" s="45">
        <v>2.7259000000000002E-4</v>
      </c>
      <c r="J114" s="45">
        <v>-3.9049000000000002E-3</v>
      </c>
      <c r="K114" s="45">
        <v>-1.6401E-4</v>
      </c>
    </row>
    <row r="115" spans="1:11" x14ac:dyDescent="0.3">
      <c r="A115" s="171">
        <v>479</v>
      </c>
      <c r="B115" s="45">
        <v>1.3046E-2</v>
      </c>
      <c r="C115" s="45">
        <v>-2.1392000000000001E-2</v>
      </c>
      <c r="D115" s="45">
        <v>9.9764000000000005E-2</v>
      </c>
      <c r="E115" s="45">
        <v>-1.485E-2</v>
      </c>
      <c r="F115" s="45">
        <v>6.5139999999999998E-3</v>
      </c>
      <c r="G115" s="45">
        <v>-2.8062E-3</v>
      </c>
      <c r="H115" s="45">
        <v>1.0908000000000001E-3</v>
      </c>
      <c r="I115" s="45">
        <v>2.9032E-4</v>
      </c>
      <c r="J115" s="45">
        <v>-3.8785E-3</v>
      </c>
      <c r="K115" s="45">
        <v>-1.7169E-4</v>
      </c>
    </row>
    <row r="116" spans="1:11" x14ac:dyDescent="0.3">
      <c r="A116" s="171">
        <v>480</v>
      </c>
      <c r="B116" s="45">
        <v>1.4322E-2</v>
      </c>
      <c r="C116" s="45">
        <v>-2.3866999999999999E-2</v>
      </c>
      <c r="D116" s="45">
        <v>9.9387000000000003E-2</v>
      </c>
      <c r="E116" s="45">
        <v>-1.3079E-2</v>
      </c>
      <c r="F116" s="45">
        <v>5.77E-3</v>
      </c>
      <c r="G116" s="45">
        <v>-2.4913000000000001E-3</v>
      </c>
      <c r="H116" s="45">
        <v>9.8604000000000009E-4</v>
      </c>
      <c r="I116" s="45">
        <v>3.1580999999999997E-4</v>
      </c>
      <c r="J116" s="45">
        <v>-3.8560999999999999E-3</v>
      </c>
      <c r="K116" s="45">
        <v>-1.7965E-4</v>
      </c>
    </row>
    <row r="117" spans="1:11" x14ac:dyDescent="0.3">
      <c r="A117" s="171">
        <v>481</v>
      </c>
      <c r="B117" s="45">
        <v>1.5422999999999999E-2</v>
      </c>
      <c r="C117" s="45">
        <v>-2.6002999999999998E-2</v>
      </c>
      <c r="D117" s="45">
        <v>9.8654000000000006E-2</v>
      </c>
      <c r="E117" s="45">
        <v>-1.1098999999999999E-2</v>
      </c>
      <c r="F117" s="45">
        <v>4.9473E-3</v>
      </c>
      <c r="G117" s="45">
        <v>-2.1329999999999999E-3</v>
      </c>
      <c r="H117" s="45">
        <v>8.7235999999999998E-4</v>
      </c>
      <c r="I117" s="45">
        <v>3.4882000000000001E-4</v>
      </c>
      <c r="J117" s="45">
        <v>-3.8376999999999999E-3</v>
      </c>
      <c r="K117" s="45">
        <v>-1.8788E-4</v>
      </c>
    </row>
    <row r="118" spans="1:11" x14ac:dyDescent="0.3">
      <c r="A118" s="171">
        <v>482</v>
      </c>
      <c r="B118" s="45">
        <v>1.6352999999999999E-2</v>
      </c>
      <c r="C118" s="45">
        <v>-2.7806000000000001E-2</v>
      </c>
      <c r="D118" s="45">
        <v>9.7573999999999994E-2</v>
      </c>
      <c r="E118" s="45">
        <v>-8.9154000000000004E-3</v>
      </c>
      <c r="F118" s="45">
        <v>4.0496999999999998E-3</v>
      </c>
      <c r="G118" s="45">
        <v>-1.7335E-3</v>
      </c>
      <c r="H118" s="45">
        <v>7.5027999999999998E-4</v>
      </c>
      <c r="I118" s="45">
        <v>3.8905E-4</v>
      </c>
      <c r="J118" s="45">
        <v>-3.823E-3</v>
      </c>
      <c r="K118" s="45">
        <v>-1.9637999999999999E-4</v>
      </c>
    </row>
    <row r="119" spans="1:11" x14ac:dyDescent="0.3">
      <c r="A119" s="171">
        <v>483</v>
      </c>
      <c r="B119" s="45">
        <v>1.7115999999999999E-2</v>
      </c>
      <c r="C119" s="45">
        <v>-2.9281999999999999E-2</v>
      </c>
      <c r="D119" s="45">
        <v>9.6154000000000003E-2</v>
      </c>
      <c r="E119" s="45">
        <v>-6.5372E-3</v>
      </c>
      <c r="F119" s="45">
        <v>3.0820000000000001E-3</v>
      </c>
      <c r="G119" s="45">
        <v>-1.2953999999999999E-3</v>
      </c>
      <c r="H119" s="45">
        <v>6.2045000000000004E-4</v>
      </c>
      <c r="I119" s="45">
        <v>4.3614000000000001E-4</v>
      </c>
      <c r="J119" s="45">
        <v>-3.8119E-3</v>
      </c>
      <c r="K119" s="45">
        <v>-2.0510999999999999E-4</v>
      </c>
    </row>
    <row r="120" spans="1:11" x14ac:dyDescent="0.3">
      <c r="A120" s="171">
        <v>484</v>
      </c>
      <c r="B120" s="45">
        <v>1.7715999999999999E-2</v>
      </c>
      <c r="C120" s="45">
        <v>-3.0439999999999998E-2</v>
      </c>
      <c r="D120" s="45">
        <v>9.4405000000000003E-2</v>
      </c>
      <c r="E120" s="45">
        <v>-3.9735999999999999E-3</v>
      </c>
      <c r="F120" s="45">
        <v>2.0498000000000001E-3</v>
      </c>
      <c r="G120" s="45">
        <v>-8.2156000000000004E-4</v>
      </c>
      <c r="H120" s="45">
        <v>4.8364000000000002E-4</v>
      </c>
      <c r="I120" s="45">
        <v>4.8966000000000005E-4</v>
      </c>
      <c r="J120" s="45">
        <v>-3.8043E-3</v>
      </c>
      <c r="K120" s="45">
        <v>-2.1405999999999999E-4</v>
      </c>
    </row>
    <row r="121" spans="1:11" x14ac:dyDescent="0.3">
      <c r="A121" s="171">
        <v>485</v>
      </c>
      <c r="B121" s="45">
        <v>1.8157E-2</v>
      </c>
      <c r="C121" s="45">
        <v>-3.1288999999999997E-2</v>
      </c>
      <c r="D121" s="45">
        <v>9.2339000000000004E-2</v>
      </c>
      <c r="E121" s="45">
        <v>-1.2354E-3</v>
      </c>
      <c r="F121" s="45">
        <v>9.5958000000000002E-4</v>
      </c>
      <c r="G121" s="45">
        <v>-3.1555999999999999E-4</v>
      </c>
      <c r="H121" s="45">
        <v>3.4069999999999999E-4</v>
      </c>
      <c r="I121" s="45">
        <v>5.4913E-4</v>
      </c>
      <c r="J121" s="45">
        <v>-3.7999000000000002E-3</v>
      </c>
      <c r="K121" s="45">
        <v>-2.2317999999999999E-4</v>
      </c>
    </row>
    <row r="122" spans="1:11" x14ac:dyDescent="0.3">
      <c r="A122" s="171">
        <v>486</v>
      </c>
      <c r="B122" s="45">
        <v>1.8447999999999999E-2</v>
      </c>
      <c r="C122" s="45">
        <v>-3.184E-2</v>
      </c>
      <c r="D122" s="45">
        <v>8.9971999999999996E-2</v>
      </c>
      <c r="E122" s="45">
        <v>1.665E-3</v>
      </c>
      <c r="F122" s="45">
        <v>-1.8149999999999999E-4</v>
      </c>
      <c r="G122" s="45">
        <v>2.1880000000000001E-4</v>
      </c>
      <c r="H122" s="45">
        <v>1.9260999999999999E-4</v>
      </c>
      <c r="I122" s="45">
        <v>6.1401999999999995E-4</v>
      </c>
      <c r="J122" s="45">
        <v>-3.7986000000000001E-3</v>
      </c>
      <c r="K122" s="45">
        <v>-2.3243999999999999E-4</v>
      </c>
    </row>
    <row r="123" spans="1:11" x14ac:dyDescent="0.3">
      <c r="A123" s="171">
        <v>487</v>
      </c>
      <c r="B123" s="45">
        <v>1.8592000000000001E-2</v>
      </c>
      <c r="C123" s="45">
        <v>-3.2106999999999997E-2</v>
      </c>
      <c r="D123" s="45">
        <v>8.7318999999999994E-2</v>
      </c>
      <c r="E123" s="45">
        <v>4.7140999999999997E-3</v>
      </c>
      <c r="F123" s="45">
        <v>-1.3656E-3</v>
      </c>
      <c r="G123" s="45">
        <v>7.7733000000000001E-4</v>
      </c>
      <c r="H123" s="45">
        <v>4.0432000000000002E-5</v>
      </c>
      <c r="I123" s="45">
        <v>6.8373999999999996E-4</v>
      </c>
      <c r="J123" s="45">
        <v>-3.8E-3</v>
      </c>
      <c r="K123" s="45">
        <v>-2.4179E-4</v>
      </c>
    </row>
    <row r="124" spans="1:11" x14ac:dyDescent="0.3">
      <c r="A124" s="171">
        <v>488</v>
      </c>
      <c r="B124" s="45">
        <v>1.8599000000000001E-2</v>
      </c>
      <c r="C124" s="45">
        <v>-3.2101999999999999E-2</v>
      </c>
      <c r="D124" s="45">
        <v>8.4398000000000001E-2</v>
      </c>
      <c r="E124" s="45">
        <v>7.8971000000000006E-3</v>
      </c>
      <c r="F124" s="45">
        <v>-2.5842999999999999E-3</v>
      </c>
      <c r="G124" s="45">
        <v>1.3554999999999999E-3</v>
      </c>
      <c r="H124" s="45">
        <v>-1.1471E-4</v>
      </c>
      <c r="I124" s="45">
        <v>7.5767E-4</v>
      </c>
      <c r="J124" s="45">
        <v>-3.8038999999999998E-3</v>
      </c>
      <c r="K124" s="45">
        <v>-2.5117999999999999E-4</v>
      </c>
    </row>
    <row r="125" spans="1:11" x14ac:dyDescent="0.3">
      <c r="A125" s="171">
        <v>489</v>
      </c>
      <c r="B125" s="45">
        <v>1.8474000000000001E-2</v>
      </c>
      <c r="C125" s="45">
        <v>-3.1841000000000001E-2</v>
      </c>
      <c r="D125" s="45">
        <v>8.1226999999999994E-2</v>
      </c>
      <c r="E125" s="45">
        <v>1.1198E-2</v>
      </c>
      <c r="F125" s="45">
        <v>-3.8287E-3</v>
      </c>
      <c r="G125" s="45">
        <v>1.9487E-3</v>
      </c>
      <c r="H125" s="45">
        <v>-2.7161999999999998E-4</v>
      </c>
      <c r="I125" s="45">
        <v>8.3515E-4</v>
      </c>
      <c r="J125" s="45">
        <v>-3.8100999999999999E-3</v>
      </c>
      <c r="K125" s="45">
        <v>-2.6056000000000001E-4</v>
      </c>
    </row>
    <row r="126" spans="1:11" x14ac:dyDescent="0.3">
      <c r="A126" s="171">
        <v>490</v>
      </c>
      <c r="B126" s="45">
        <v>1.8225000000000002E-2</v>
      </c>
      <c r="C126" s="45">
        <v>-3.1337999999999998E-2</v>
      </c>
      <c r="D126" s="45">
        <v>7.7826000000000006E-2</v>
      </c>
      <c r="E126" s="45">
        <v>1.4600999999999999E-2</v>
      </c>
      <c r="F126" s="45">
        <v>-5.0895000000000003E-3</v>
      </c>
      <c r="G126" s="45">
        <v>2.5517999999999999E-3</v>
      </c>
      <c r="H126" s="45">
        <v>-4.2904999999999999E-4</v>
      </c>
      <c r="I126" s="45">
        <v>9.1549000000000003E-4</v>
      </c>
      <c r="J126" s="45">
        <v>-3.8181999999999999E-3</v>
      </c>
      <c r="K126" s="45">
        <v>-2.6987000000000002E-4</v>
      </c>
    </row>
    <row r="127" spans="1:11" x14ac:dyDescent="0.3">
      <c r="A127" s="171">
        <v>491</v>
      </c>
      <c r="B127" s="45">
        <v>1.7861999999999999E-2</v>
      </c>
      <c r="C127" s="45">
        <v>-3.0609999999999998E-2</v>
      </c>
      <c r="D127" s="45">
        <v>7.4217000000000005E-2</v>
      </c>
      <c r="E127" s="45">
        <v>1.8088E-2</v>
      </c>
      <c r="F127" s="45">
        <v>-6.3569000000000004E-3</v>
      </c>
      <c r="G127" s="45">
        <v>3.1597999999999999E-3</v>
      </c>
      <c r="H127" s="45">
        <v>-5.8573999999999996E-4</v>
      </c>
      <c r="I127" s="45">
        <v>9.9798000000000009E-4</v>
      </c>
      <c r="J127" s="45">
        <v>-3.8279999999999998E-3</v>
      </c>
      <c r="K127" s="45">
        <v>-2.7905999999999997E-4</v>
      </c>
    </row>
    <row r="128" spans="1:11" x14ac:dyDescent="0.3">
      <c r="A128" s="171">
        <v>492</v>
      </c>
      <c r="B128" s="45">
        <v>1.7391E-2</v>
      </c>
      <c r="C128" s="45">
        <v>-2.9673000000000001E-2</v>
      </c>
      <c r="D128" s="45">
        <v>7.0419999999999996E-2</v>
      </c>
      <c r="E128" s="45">
        <v>2.1642000000000002E-2</v>
      </c>
      <c r="F128" s="45">
        <v>-7.6210999999999996E-3</v>
      </c>
      <c r="G128" s="45">
        <v>3.7675999999999999E-3</v>
      </c>
      <c r="H128" s="45">
        <v>-7.404E-4</v>
      </c>
      <c r="I128" s="45">
        <v>1.0819E-3</v>
      </c>
      <c r="J128" s="45">
        <v>-3.8392000000000001E-3</v>
      </c>
      <c r="K128" s="45">
        <v>-2.8805999999999998E-4</v>
      </c>
    </row>
    <row r="129" spans="1:11" x14ac:dyDescent="0.3">
      <c r="A129" s="171">
        <v>493</v>
      </c>
      <c r="B129" s="45">
        <v>1.6820999999999999E-2</v>
      </c>
      <c r="C129" s="45">
        <v>-2.8545000000000001E-2</v>
      </c>
      <c r="D129" s="45">
        <v>6.6459000000000004E-2</v>
      </c>
      <c r="E129" s="45">
        <v>2.5243000000000002E-2</v>
      </c>
      <c r="F129" s="45">
        <v>-8.8719000000000003E-3</v>
      </c>
      <c r="G129" s="45">
        <v>4.3698000000000001E-3</v>
      </c>
      <c r="H129" s="45">
        <v>-8.9172000000000003E-4</v>
      </c>
      <c r="I129" s="45">
        <v>1.1665E-3</v>
      </c>
      <c r="J129" s="45">
        <v>-3.8514E-3</v>
      </c>
      <c r="K129" s="45">
        <v>-2.9681E-4</v>
      </c>
    </row>
    <row r="130" spans="1:11" x14ac:dyDescent="0.3">
      <c r="A130" s="171">
        <v>494</v>
      </c>
      <c r="B130" s="45">
        <v>1.6160999999999998E-2</v>
      </c>
      <c r="C130" s="45">
        <v>-2.7241999999999999E-2</v>
      </c>
      <c r="D130" s="45">
        <v>6.2355000000000001E-2</v>
      </c>
      <c r="E130" s="45">
        <v>2.8874E-2</v>
      </c>
      <c r="F130" s="45">
        <v>-1.0099E-2</v>
      </c>
      <c r="G130" s="45">
        <v>4.9611999999999998E-3</v>
      </c>
      <c r="H130" s="45">
        <v>-1.0384000000000001E-3</v>
      </c>
      <c r="I130" s="45">
        <v>1.2509000000000001E-3</v>
      </c>
      <c r="J130" s="45">
        <v>-3.8643000000000002E-3</v>
      </c>
      <c r="K130" s="45">
        <v>-3.0527000000000001E-4</v>
      </c>
    </row>
    <row r="131" spans="1:11" x14ac:dyDescent="0.3">
      <c r="A131" s="171">
        <v>495</v>
      </c>
      <c r="B131" s="45">
        <v>1.542E-2</v>
      </c>
      <c r="C131" s="45">
        <v>-2.5784000000000001E-2</v>
      </c>
      <c r="D131" s="45">
        <v>5.8132999999999997E-2</v>
      </c>
      <c r="E131" s="45">
        <v>3.2514000000000001E-2</v>
      </c>
      <c r="F131" s="45">
        <v>-1.1292999999999999E-2</v>
      </c>
      <c r="G131" s="45">
        <v>5.5367000000000003E-3</v>
      </c>
      <c r="H131" s="45">
        <v>-1.1793000000000001E-3</v>
      </c>
      <c r="I131" s="45">
        <v>1.3346E-3</v>
      </c>
      <c r="J131" s="45">
        <v>-3.8776000000000001E-3</v>
      </c>
      <c r="K131" s="45">
        <v>-3.1335999999999999E-4</v>
      </c>
    </row>
    <row r="132" spans="1:11" x14ac:dyDescent="0.3">
      <c r="A132" s="171">
        <v>496</v>
      </c>
      <c r="B132" s="45">
        <v>1.4607E-2</v>
      </c>
      <c r="C132" s="45">
        <v>-2.4188000000000001E-2</v>
      </c>
      <c r="D132" s="45">
        <v>5.3815000000000002E-2</v>
      </c>
      <c r="E132" s="45">
        <v>3.6145999999999998E-2</v>
      </c>
      <c r="F132" s="45">
        <v>-1.2442999999999999E-2</v>
      </c>
      <c r="G132" s="45">
        <v>6.0911999999999997E-3</v>
      </c>
      <c r="H132" s="45">
        <v>-1.3129999999999999E-3</v>
      </c>
      <c r="I132" s="45">
        <v>1.4166999999999999E-3</v>
      </c>
      <c r="J132" s="45">
        <v>-3.8909999999999999E-3</v>
      </c>
      <c r="K132" s="45">
        <v>-3.2103999999999998E-4</v>
      </c>
    </row>
    <row r="133" spans="1:11" x14ac:dyDescent="0.3">
      <c r="A133" s="171">
        <v>497</v>
      </c>
      <c r="B133" s="45">
        <v>1.3731E-2</v>
      </c>
      <c r="C133" s="45">
        <v>-2.2473E-2</v>
      </c>
      <c r="D133" s="45">
        <v>4.9425999999999998E-2</v>
      </c>
      <c r="E133" s="45">
        <v>3.9750000000000001E-2</v>
      </c>
      <c r="F133" s="45">
        <v>-1.3539000000000001E-2</v>
      </c>
      <c r="G133" s="45">
        <v>6.6198000000000003E-3</v>
      </c>
      <c r="H133" s="45">
        <v>-1.4385999999999999E-3</v>
      </c>
      <c r="I133" s="45">
        <v>1.4963999999999999E-3</v>
      </c>
      <c r="J133" s="45">
        <v>-3.9041000000000002E-3</v>
      </c>
      <c r="K133" s="45">
        <v>-3.2824999999999998E-4</v>
      </c>
    </row>
    <row r="134" spans="1:11" x14ac:dyDescent="0.3">
      <c r="A134" s="171">
        <v>498</v>
      </c>
      <c r="B134" s="45">
        <v>1.2800000000000001E-2</v>
      </c>
      <c r="C134" s="45">
        <v>-2.0656000000000001E-2</v>
      </c>
      <c r="D134" s="45">
        <v>4.4988E-2</v>
      </c>
      <c r="E134" s="45">
        <v>4.3306999999999998E-2</v>
      </c>
      <c r="F134" s="45">
        <v>-1.4571000000000001E-2</v>
      </c>
      <c r="G134" s="45">
        <v>7.1177000000000002E-3</v>
      </c>
      <c r="H134" s="45">
        <v>-1.5548000000000001E-3</v>
      </c>
      <c r="I134" s="45">
        <v>1.5732000000000001E-3</v>
      </c>
      <c r="J134" s="45">
        <v>-3.9166000000000001E-3</v>
      </c>
      <c r="K134" s="45">
        <v>-3.3494999999999998E-4</v>
      </c>
    </row>
    <row r="135" spans="1:11" x14ac:dyDescent="0.3">
      <c r="A135" s="171">
        <v>499</v>
      </c>
      <c r="B135" s="45">
        <v>1.1825E-2</v>
      </c>
      <c r="C135" s="45">
        <v>-1.8755999999999998E-2</v>
      </c>
      <c r="D135" s="45">
        <v>4.0526E-2</v>
      </c>
      <c r="E135" s="45">
        <v>4.6797999999999999E-2</v>
      </c>
      <c r="F135" s="45">
        <v>-1.5531E-2</v>
      </c>
      <c r="G135" s="45">
        <v>7.5805000000000004E-3</v>
      </c>
      <c r="H135" s="45">
        <v>-1.6605999999999999E-3</v>
      </c>
      <c r="I135" s="45">
        <v>1.6461E-3</v>
      </c>
      <c r="J135" s="45">
        <v>-3.9281999999999997E-3</v>
      </c>
      <c r="K135" s="45">
        <v>-3.4109E-4</v>
      </c>
    </row>
    <row r="136" spans="1:11" x14ac:dyDescent="0.3">
      <c r="A136" s="171">
        <v>500</v>
      </c>
      <c r="B136" s="45">
        <v>1.0814000000000001E-2</v>
      </c>
      <c r="C136" s="45">
        <v>-1.6791E-2</v>
      </c>
      <c r="D136" s="45">
        <v>3.6061999999999997E-2</v>
      </c>
      <c r="E136" s="45">
        <v>5.0205E-2</v>
      </c>
      <c r="F136" s="45">
        <v>-1.6409E-2</v>
      </c>
      <c r="G136" s="45">
        <v>8.0040000000000007E-3</v>
      </c>
      <c r="H136" s="45">
        <v>-1.7551999999999999E-3</v>
      </c>
      <c r="I136" s="45">
        <v>1.7145999999999999E-3</v>
      </c>
      <c r="J136" s="45">
        <v>-3.9383999999999999E-3</v>
      </c>
      <c r="K136" s="45">
        <v>-3.4664E-4</v>
      </c>
    </row>
    <row r="137" spans="1:11" x14ac:dyDescent="0.3">
      <c r="A137" s="171">
        <v>501</v>
      </c>
      <c r="B137" s="45">
        <v>9.7750000000000007E-3</v>
      </c>
      <c r="C137" s="45">
        <v>-1.4777999999999999E-2</v>
      </c>
      <c r="D137" s="45">
        <v>3.1618E-2</v>
      </c>
      <c r="E137" s="45">
        <v>5.3509000000000001E-2</v>
      </c>
      <c r="F137" s="45">
        <v>-1.7195999999999999E-2</v>
      </c>
      <c r="G137" s="45">
        <v>8.3840000000000008E-3</v>
      </c>
      <c r="H137" s="45">
        <v>-1.8376E-3</v>
      </c>
      <c r="I137" s="45">
        <v>1.7780999999999999E-3</v>
      </c>
      <c r="J137" s="45">
        <v>-3.9471000000000003E-3</v>
      </c>
      <c r="K137" s="45">
        <v>-3.5156E-4</v>
      </c>
    </row>
    <row r="138" spans="1:11" x14ac:dyDescent="0.3">
      <c r="A138" s="171">
        <v>502</v>
      </c>
      <c r="B138" s="45">
        <v>8.7182000000000006E-3</v>
      </c>
      <c r="C138" s="45">
        <v>-1.2735E-2</v>
      </c>
      <c r="D138" s="45">
        <v>2.7217000000000002E-2</v>
      </c>
      <c r="E138" s="45">
        <v>5.6693E-2</v>
      </c>
      <c r="F138" s="45">
        <v>-1.7883E-2</v>
      </c>
      <c r="G138" s="45">
        <v>8.7168000000000002E-3</v>
      </c>
      <c r="H138" s="45">
        <v>-1.9070000000000001E-3</v>
      </c>
      <c r="I138" s="45">
        <v>1.8357E-3</v>
      </c>
      <c r="J138" s="45">
        <v>-3.9538000000000004E-3</v>
      </c>
      <c r="K138" s="45">
        <v>-3.5582000000000002E-4</v>
      </c>
    </row>
    <row r="139" spans="1:11" x14ac:dyDescent="0.3">
      <c r="A139" s="171">
        <v>503</v>
      </c>
      <c r="B139" s="45">
        <v>7.6518000000000003E-3</v>
      </c>
      <c r="C139" s="45">
        <v>-1.0678E-2</v>
      </c>
      <c r="D139" s="45">
        <v>2.2880999999999999E-2</v>
      </c>
      <c r="E139" s="45">
        <v>5.9740000000000001E-2</v>
      </c>
      <c r="F139" s="45">
        <v>-1.8464000000000001E-2</v>
      </c>
      <c r="G139" s="45">
        <v>8.9990000000000001E-3</v>
      </c>
      <c r="H139" s="45">
        <v>-1.9627999999999998E-3</v>
      </c>
      <c r="I139" s="45">
        <v>1.8871000000000001E-3</v>
      </c>
      <c r="J139" s="45">
        <v>-3.9582999999999997E-3</v>
      </c>
      <c r="K139" s="45">
        <v>-3.5940000000000001E-4</v>
      </c>
    </row>
    <row r="140" spans="1:11" x14ac:dyDescent="0.3">
      <c r="A140" s="171">
        <v>504</v>
      </c>
      <c r="B140" s="45">
        <v>6.5842000000000001E-3</v>
      </c>
      <c r="C140" s="45">
        <v>-8.6248000000000002E-3</v>
      </c>
      <c r="D140" s="45">
        <v>1.8630000000000001E-2</v>
      </c>
      <c r="E140" s="45">
        <v>6.2633999999999995E-2</v>
      </c>
      <c r="F140" s="45">
        <v>-1.8929999999999999E-2</v>
      </c>
      <c r="G140" s="45">
        <v>9.2271000000000002E-3</v>
      </c>
      <c r="H140" s="45">
        <v>-2.0041999999999998E-3</v>
      </c>
      <c r="I140" s="45">
        <v>1.9314E-3</v>
      </c>
      <c r="J140" s="45">
        <v>-3.9601000000000003E-3</v>
      </c>
      <c r="K140" s="45">
        <v>-3.6226999999999999E-4</v>
      </c>
    </row>
    <row r="141" spans="1:11" x14ac:dyDescent="0.3">
      <c r="A141" s="171">
        <v>505</v>
      </c>
      <c r="B141" s="45">
        <v>5.5234999999999998E-3</v>
      </c>
      <c r="C141" s="45">
        <v>-6.5900000000000004E-3</v>
      </c>
      <c r="D141" s="45">
        <v>1.4482999999999999E-2</v>
      </c>
      <c r="E141" s="45">
        <v>6.5357999999999999E-2</v>
      </c>
      <c r="F141" s="45">
        <v>-1.9272999999999998E-2</v>
      </c>
      <c r="G141" s="45">
        <v>9.3982000000000007E-3</v>
      </c>
      <c r="H141" s="45">
        <v>-2.0306E-3</v>
      </c>
      <c r="I141" s="45">
        <v>1.9683000000000001E-3</v>
      </c>
      <c r="J141" s="45">
        <v>-3.9591000000000001E-3</v>
      </c>
      <c r="K141" s="45">
        <v>-3.6443000000000001E-4</v>
      </c>
    </row>
    <row r="142" spans="1:11" x14ac:dyDescent="0.3">
      <c r="A142" s="171">
        <v>506</v>
      </c>
      <c r="B142" s="45">
        <v>4.4774999999999997E-3</v>
      </c>
      <c r="C142" s="45">
        <v>-4.5887000000000002E-3</v>
      </c>
      <c r="D142" s="45">
        <v>1.0460000000000001E-2</v>
      </c>
      <c r="E142" s="45">
        <v>6.7898E-2</v>
      </c>
      <c r="F142" s="45">
        <v>-1.9487999999999998E-2</v>
      </c>
      <c r="G142" s="45">
        <v>9.5092000000000006E-3</v>
      </c>
      <c r="H142" s="45">
        <v>-2.0414999999999999E-3</v>
      </c>
      <c r="I142" s="45">
        <v>1.9970999999999999E-3</v>
      </c>
      <c r="J142" s="45">
        <v>-3.9548999999999999E-3</v>
      </c>
      <c r="K142" s="45">
        <v>-3.6583999999999998E-4</v>
      </c>
    </row>
    <row r="143" spans="1:11" x14ac:dyDescent="0.3">
      <c r="A143" s="171">
        <v>507</v>
      </c>
      <c r="B143" s="45">
        <v>3.4534000000000001E-3</v>
      </c>
      <c r="C143" s="45">
        <v>-2.6350000000000002E-3</v>
      </c>
      <c r="D143" s="45">
        <v>6.5785000000000001E-3</v>
      </c>
      <c r="E143" s="45">
        <v>7.0238999999999996E-2</v>
      </c>
      <c r="F143" s="45">
        <v>-1.9567000000000001E-2</v>
      </c>
      <c r="G143" s="45">
        <v>9.5572000000000001E-3</v>
      </c>
      <c r="H143" s="45">
        <v>-2.0363E-3</v>
      </c>
      <c r="I143" s="45">
        <v>2.0173000000000001E-3</v>
      </c>
      <c r="J143" s="45">
        <v>-3.9471999999999997E-3</v>
      </c>
      <c r="K143" s="45">
        <v>-3.6651000000000001E-4</v>
      </c>
    </row>
    <row r="144" spans="1:11" x14ac:dyDescent="0.3">
      <c r="A144" s="171">
        <v>508</v>
      </c>
      <c r="B144" s="45">
        <v>2.4583000000000001E-3</v>
      </c>
      <c r="C144" s="45">
        <v>-7.4217E-4</v>
      </c>
      <c r="D144" s="45">
        <v>2.8549000000000001E-3</v>
      </c>
      <c r="E144" s="45">
        <v>7.2368000000000002E-2</v>
      </c>
      <c r="F144" s="45">
        <v>-1.9504000000000001E-2</v>
      </c>
      <c r="G144" s="45">
        <v>9.5394E-3</v>
      </c>
      <c r="H144" s="45">
        <v>-2.0143000000000001E-3</v>
      </c>
      <c r="I144" s="45">
        <v>2.0284999999999999E-3</v>
      </c>
      <c r="J144" s="45">
        <v>-3.9357999999999997E-3</v>
      </c>
      <c r="K144" s="45">
        <v>-3.6641000000000001E-4</v>
      </c>
    </row>
    <row r="145" spans="1:11" x14ac:dyDescent="0.3">
      <c r="A145" s="171">
        <v>509</v>
      </c>
      <c r="B145" s="45">
        <v>1.4982999999999999E-3</v>
      </c>
      <c r="C145" s="45">
        <v>1.0776E-3</v>
      </c>
      <c r="D145" s="45">
        <v>-6.9539999999999999E-4</v>
      </c>
      <c r="E145" s="45">
        <v>7.4272000000000005E-2</v>
      </c>
      <c r="F145" s="45">
        <v>-1.9293000000000001E-2</v>
      </c>
      <c r="G145" s="45">
        <v>9.4529999999999996E-3</v>
      </c>
      <c r="H145" s="45">
        <v>-1.9750000000000002E-3</v>
      </c>
      <c r="I145" s="45">
        <v>2.0300000000000001E-3</v>
      </c>
      <c r="J145" s="45">
        <v>-3.9204000000000001E-3</v>
      </c>
      <c r="K145" s="45">
        <v>-3.6552999999999998E-4</v>
      </c>
    </row>
    <row r="146" spans="1:11" x14ac:dyDescent="0.3">
      <c r="A146" s="171">
        <v>510</v>
      </c>
      <c r="B146" s="45">
        <v>5.7949E-4</v>
      </c>
      <c r="C146" s="45">
        <v>2.8132000000000001E-3</v>
      </c>
      <c r="D146" s="45">
        <v>-4.0584000000000002E-3</v>
      </c>
      <c r="E146" s="45">
        <v>7.5940999999999995E-2</v>
      </c>
      <c r="F146" s="45">
        <v>-1.8926999999999999E-2</v>
      </c>
      <c r="G146" s="45">
        <v>9.2952999999999994E-3</v>
      </c>
      <c r="H146" s="45">
        <v>-1.9177E-3</v>
      </c>
      <c r="I146" s="45">
        <v>2.0214999999999999E-3</v>
      </c>
      <c r="J146" s="45">
        <v>-3.9007E-3</v>
      </c>
      <c r="K146" s="45">
        <v>-3.6384999999999998E-4</v>
      </c>
    </row>
    <row r="147" spans="1:11" x14ac:dyDescent="0.3">
      <c r="A147" s="171">
        <v>511</v>
      </c>
      <c r="B147" s="45">
        <v>-2.9315E-4</v>
      </c>
      <c r="C147" s="45">
        <v>4.4546999999999998E-3</v>
      </c>
      <c r="D147" s="45">
        <v>-7.2215999999999999E-3</v>
      </c>
      <c r="E147" s="45">
        <v>7.7363000000000001E-2</v>
      </c>
      <c r="F147" s="45">
        <v>-1.8402999999999999E-2</v>
      </c>
      <c r="G147" s="45">
        <v>9.0635999999999998E-3</v>
      </c>
      <c r="H147" s="45">
        <v>-1.8419E-3</v>
      </c>
      <c r="I147" s="45">
        <v>2.0024999999999999E-3</v>
      </c>
      <c r="J147" s="45">
        <v>-3.8765000000000002E-3</v>
      </c>
      <c r="K147" s="45">
        <v>-3.6134999999999997E-4</v>
      </c>
    </row>
    <row r="148" spans="1:11" x14ac:dyDescent="0.3">
      <c r="A148" s="171">
        <v>512</v>
      </c>
      <c r="B148" s="45">
        <v>-1.1150000000000001E-3</v>
      </c>
      <c r="C148" s="45">
        <v>5.9931999999999997E-3</v>
      </c>
      <c r="D148" s="45">
        <v>-1.0174000000000001E-2</v>
      </c>
      <c r="E148" s="45">
        <v>7.8530000000000003E-2</v>
      </c>
      <c r="F148" s="45">
        <v>-1.7714000000000001E-2</v>
      </c>
      <c r="G148" s="45">
        <v>8.7551E-3</v>
      </c>
      <c r="H148" s="45">
        <v>-1.7466999999999999E-3</v>
      </c>
      <c r="I148" s="45">
        <v>1.9726000000000001E-3</v>
      </c>
      <c r="J148" s="45">
        <v>-3.8476999999999999E-3</v>
      </c>
      <c r="K148" s="45">
        <v>-3.5802000000000002E-4</v>
      </c>
    </row>
    <row r="149" spans="1:11" x14ac:dyDescent="0.3">
      <c r="A149" s="171">
        <v>513</v>
      </c>
      <c r="B149" s="45">
        <v>-1.8822999999999999E-3</v>
      </c>
      <c r="C149" s="45">
        <v>7.4210999999999999E-3</v>
      </c>
      <c r="D149" s="45">
        <v>-1.2906000000000001E-2</v>
      </c>
      <c r="E149" s="45">
        <v>7.9434000000000005E-2</v>
      </c>
      <c r="F149" s="45">
        <v>-1.6857E-2</v>
      </c>
      <c r="G149" s="45">
        <v>8.3674999999999999E-3</v>
      </c>
      <c r="H149" s="45">
        <v>-1.6316E-3</v>
      </c>
      <c r="I149" s="45">
        <v>1.9315000000000001E-3</v>
      </c>
      <c r="J149" s="45">
        <v>-3.8141E-3</v>
      </c>
      <c r="K149" s="45">
        <v>-3.5382000000000002E-4</v>
      </c>
    </row>
    <row r="150" spans="1:11" x14ac:dyDescent="0.3">
      <c r="A150" s="171">
        <v>514</v>
      </c>
      <c r="B150" s="45">
        <v>-2.5918999999999998E-3</v>
      </c>
      <c r="C150" s="45">
        <v>8.7322000000000007E-3</v>
      </c>
      <c r="D150" s="45">
        <v>-1.5409000000000001E-2</v>
      </c>
      <c r="E150" s="45">
        <v>8.0066999999999999E-2</v>
      </c>
      <c r="F150" s="45">
        <v>-1.5826E-2</v>
      </c>
      <c r="G150" s="45">
        <v>7.8983999999999999E-3</v>
      </c>
      <c r="H150" s="45">
        <v>-1.4959000000000001E-3</v>
      </c>
      <c r="I150" s="45">
        <v>1.8787000000000001E-3</v>
      </c>
      <c r="J150" s="45">
        <v>-3.7755000000000002E-3</v>
      </c>
      <c r="K150" s="45">
        <v>-3.4874E-4</v>
      </c>
    </row>
    <row r="151" spans="1:11" x14ac:dyDescent="0.3">
      <c r="A151" s="171">
        <v>515</v>
      </c>
      <c r="B151" s="45">
        <v>-3.2412000000000001E-3</v>
      </c>
      <c r="C151" s="45">
        <v>9.9212999999999992E-3</v>
      </c>
      <c r="D151" s="45">
        <v>-1.7677999999999999E-2</v>
      </c>
      <c r="E151" s="45">
        <v>8.0424999999999996E-2</v>
      </c>
      <c r="F151" s="45">
        <v>-1.4619E-2</v>
      </c>
      <c r="G151" s="45">
        <v>7.3458000000000004E-3</v>
      </c>
      <c r="H151" s="45">
        <v>-1.3389999999999999E-3</v>
      </c>
      <c r="I151" s="45">
        <v>1.8140999999999999E-3</v>
      </c>
      <c r="J151" s="45">
        <v>-3.7318999999999998E-3</v>
      </c>
      <c r="K151" s="45">
        <v>-3.4274000000000002E-4</v>
      </c>
    </row>
    <row r="152" spans="1:11" x14ac:dyDescent="0.3">
      <c r="A152" s="171">
        <v>516</v>
      </c>
      <c r="B152" s="45">
        <v>-3.8284999999999999E-3</v>
      </c>
      <c r="C152" s="45">
        <v>1.0985E-2</v>
      </c>
      <c r="D152" s="45">
        <v>-1.9706999999999999E-2</v>
      </c>
      <c r="E152" s="45">
        <v>8.0503000000000005E-2</v>
      </c>
      <c r="F152" s="45">
        <v>-1.3233E-2</v>
      </c>
      <c r="G152" s="45">
        <v>6.7079000000000001E-3</v>
      </c>
      <c r="H152" s="45">
        <v>-1.1605000000000001E-3</v>
      </c>
      <c r="I152" s="45">
        <v>1.7374999999999999E-3</v>
      </c>
      <c r="J152" s="45">
        <v>-3.6833E-3</v>
      </c>
      <c r="K152" s="45">
        <v>-3.3579999999999998E-4</v>
      </c>
    </row>
    <row r="153" spans="1:11" x14ac:dyDescent="0.3">
      <c r="A153" s="171">
        <v>517</v>
      </c>
      <c r="B153" s="45">
        <v>-4.3525999999999999E-3</v>
      </c>
      <c r="C153" s="45">
        <v>1.192E-2</v>
      </c>
      <c r="D153" s="45">
        <v>-2.1493999999999999E-2</v>
      </c>
      <c r="E153" s="45">
        <v>8.0300999999999997E-2</v>
      </c>
      <c r="F153" s="45">
        <v>-1.1667E-2</v>
      </c>
      <c r="G153" s="45">
        <v>5.9839000000000003E-3</v>
      </c>
      <c r="H153" s="45">
        <v>-9.5993000000000001E-4</v>
      </c>
      <c r="I153" s="45">
        <v>1.6486999999999999E-3</v>
      </c>
      <c r="J153" s="45">
        <v>-3.6294999999999999E-3</v>
      </c>
      <c r="K153" s="45">
        <v>-3.279E-4</v>
      </c>
    </row>
    <row r="154" spans="1:11" x14ac:dyDescent="0.3">
      <c r="A154" s="171">
        <v>518</v>
      </c>
      <c r="B154" s="45">
        <v>-4.8132000000000001E-3</v>
      </c>
      <c r="C154" s="45">
        <v>1.2725E-2</v>
      </c>
      <c r="D154" s="45">
        <v>-2.3037999999999999E-2</v>
      </c>
      <c r="E154" s="45">
        <v>7.9818E-2</v>
      </c>
      <c r="F154" s="45">
        <v>-9.9211999999999998E-3</v>
      </c>
      <c r="G154" s="45">
        <v>5.1732999999999996E-3</v>
      </c>
      <c r="H154" s="45">
        <v>-7.3716999999999999E-4</v>
      </c>
      <c r="I154" s="45">
        <v>1.5479000000000001E-3</v>
      </c>
      <c r="J154" s="45">
        <v>-3.5707999999999998E-3</v>
      </c>
      <c r="K154" s="45">
        <v>-3.1901999999999999E-4</v>
      </c>
    </row>
    <row r="155" spans="1:11" x14ac:dyDescent="0.3">
      <c r="A155" s="171">
        <v>519</v>
      </c>
      <c r="B155" s="45">
        <v>-5.2101999999999999E-3</v>
      </c>
      <c r="C155" s="45">
        <v>1.3401E-2</v>
      </c>
      <c r="D155" s="45">
        <v>-2.4340000000000001E-2</v>
      </c>
      <c r="E155" s="45">
        <v>7.9055E-2</v>
      </c>
      <c r="F155" s="45">
        <v>-7.9959000000000002E-3</v>
      </c>
      <c r="G155" s="45">
        <v>4.2766999999999996E-3</v>
      </c>
      <c r="H155" s="45">
        <v>-4.9226000000000001E-4</v>
      </c>
      <c r="I155" s="45">
        <v>1.4350000000000001E-3</v>
      </c>
      <c r="J155" s="45">
        <v>-3.5071E-3</v>
      </c>
      <c r="K155" s="45">
        <v>-3.0913000000000002E-4</v>
      </c>
    </row>
    <row r="156" spans="1:11" x14ac:dyDescent="0.3">
      <c r="A156" s="171">
        <v>520</v>
      </c>
      <c r="B156" s="45">
        <v>-5.5443000000000003E-3</v>
      </c>
      <c r="C156" s="45">
        <v>1.3949E-2</v>
      </c>
      <c r="D156" s="45">
        <v>-2.5402000000000001E-2</v>
      </c>
      <c r="E156" s="45">
        <v>7.8017000000000003E-2</v>
      </c>
      <c r="F156" s="45">
        <v>-5.8942999999999999E-3</v>
      </c>
      <c r="G156" s="45">
        <v>3.2956000000000001E-3</v>
      </c>
      <c r="H156" s="45">
        <v>-2.2556E-4</v>
      </c>
      <c r="I156" s="45">
        <v>1.3105E-3</v>
      </c>
      <c r="J156" s="45">
        <v>-3.4386999999999998E-3</v>
      </c>
      <c r="K156" s="45">
        <v>-2.9823000000000002E-4</v>
      </c>
    </row>
    <row r="157" spans="1:11" x14ac:dyDescent="0.3">
      <c r="A157" s="171">
        <v>521</v>
      </c>
      <c r="B157" s="45">
        <v>-5.8167000000000002E-3</v>
      </c>
      <c r="C157" s="45">
        <v>1.4370000000000001E-2</v>
      </c>
      <c r="D157" s="45">
        <v>-2.6227E-2</v>
      </c>
      <c r="E157" s="45">
        <v>7.6707999999999998E-2</v>
      </c>
      <c r="F157" s="45">
        <v>-3.6210000000000001E-3</v>
      </c>
      <c r="G157" s="45">
        <v>2.2325999999999999E-3</v>
      </c>
      <c r="H157" s="45">
        <v>6.2278000000000002E-5</v>
      </c>
      <c r="I157" s="45">
        <v>1.1747000000000001E-3</v>
      </c>
      <c r="J157" s="45">
        <v>-3.3658E-3</v>
      </c>
      <c r="K157" s="45">
        <v>-2.8632000000000001E-4</v>
      </c>
    </row>
    <row r="158" spans="1:11" x14ac:dyDescent="0.3">
      <c r="A158" s="171">
        <v>522</v>
      </c>
      <c r="B158" s="45">
        <v>-6.0286999999999997E-3</v>
      </c>
      <c r="C158" s="45">
        <v>1.4666999999999999E-2</v>
      </c>
      <c r="D158" s="45">
        <v>-2.6821000000000001E-2</v>
      </c>
      <c r="E158" s="45">
        <v>7.5137999999999996E-2</v>
      </c>
      <c r="F158" s="45">
        <v>-1.1823000000000001E-3</v>
      </c>
      <c r="G158" s="45">
        <v>1.0915E-3</v>
      </c>
      <c r="H158" s="45">
        <v>3.7020999999999999E-4</v>
      </c>
      <c r="I158" s="45">
        <v>1.0281999999999999E-3</v>
      </c>
      <c r="J158" s="45">
        <v>-3.2886999999999999E-3</v>
      </c>
      <c r="K158" s="45">
        <v>-2.7341000000000003E-4</v>
      </c>
    </row>
    <row r="159" spans="1:11" x14ac:dyDescent="0.3">
      <c r="A159" s="171">
        <v>523</v>
      </c>
      <c r="B159" s="45">
        <v>-6.1824999999999996E-3</v>
      </c>
      <c r="C159" s="45">
        <v>1.4845000000000001E-2</v>
      </c>
      <c r="D159" s="45">
        <v>-2.7192000000000001E-2</v>
      </c>
      <c r="E159" s="45">
        <v>7.3314000000000004E-2</v>
      </c>
      <c r="F159" s="45">
        <v>1.4134E-3</v>
      </c>
      <c r="G159" s="45">
        <v>-1.2237000000000001E-4</v>
      </c>
      <c r="H159" s="45">
        <v>6.9684E-4</v>
      </c>
      <c r="I159" s="45">
        <v>8.7175000000000002E-4</v>
      </c>
      <c r="J159" s="45">
        <v>-3.2077E-3</v>
      </c>
      <c r="K159" s="45">
        <v>-2.5952000000000001E-4</v>
      </c>
    </row>
    <row r="160" spans="1:11" x14ac:dyDescent="0.3">
      <c r="A160" s="171">
        <v>524</v>
      </c>
      <c r="B160" s="45">
        <v>-6.2802999999999999E-3</v>
      </c>
      <c r="C160" s="45">
        <v>1.4907999999999999E-2</v>
      </c>
      <c r="D160" s="45">
        <v>-2.7348000000000001E-2</v>
      </c>
      <c r="E160" s="45">
        <v>7.1249999999999994E-2</v>
      </c>
      <c r="F160" s="45">
        <v>4.1558000000000003E-3</v>
      </c>
      <c r="G160" s="45">
        <v>-1.4025999999999999E-3</v>
      </c>
      <c r="H160" s="45">
        <v>1.0403000000000001E-3</v>
      </c>
      <c r="I160" s="45">
        <v>7.0622000000000002E-4</v>
      </c>
      <c r="J160" s="45">
        <v>-3.1232E-3</v>
      </c>
      <c r="K160" s="45">
        <v>-2.4468E-4</v>
      </c>
    </row>
    <row r="161" spans="1:11" x14ac:dyDescent="0.3">
      <c r="A161" s="171">
        <v>525</v>
      </c>
      <c r="B161" s="45">
        <v>-6.3244E-3</v>
      </c>
      <c r="C161" s="45">
        <v>1.4862999999999999E-2</v>
      </c>
      <c r="D161" s="45">
        <v>-2.7299E-2</v>
      </c>
      <c r="E161" s="45">
        <v>6.8959000000000006E-2</v>
      </c>
      <c r="F161" s="45">
        <v>7.0327999999999996E-3</v>
      </c>
      <c r="G161" s="45">
        <v>-2.7414000000000002E-3</v>
      </c>
      <c r="H161" s="45">
        <v>1.3985E-3</v>
      </c>
      <c r="I161" s="45">
        <v>5.3269999999999999E-4</v>
      </c>
      <c r="J161" s="45">
        <v>-3.0357000000000001E-3</v>
      </c>
      <c r="K161" s="45">
        <v>-2.2893999999999999E-4</v>
      </c>
    </row>
    <row r="162" spans="1:11" x14ac:dyDescent="0.3">
      <c r="A162" s="171">
        <v>526</v>
      </c>
      <c r="B162" s="45">
        <v>-6.3176999999999999E-3</v>
      </c>
      <c r="C162" s="45">
        <v>1.4714E-2</v>
      </c>
      <c r="D162" s="45">
        <v>-2.7056E-2</v>
      </c>
      <c r="E162" s="45">
        <v>6.6456000000000001E-2</v>
      </c>
      <c r="F162" s="45">
        <v>1.0030000000000001E-2</v>
      </c>
      <c r="G162" s="45">
        <v>-4.1294000000000001E-3</v>
      </c>
      <c r="H162" s="45">
        <v>1.7687E-3</v>
      </c>
      <c r="I162" s="45">
        <v>3.5239000000000001E-4</v>
      </c>
      <c r="J162" s="45">
        <v>-2.9458000000000002E-3</v>
      </c>
      <c r="K162" s="45">
        <v>-2.1236000000000001E-4</v>
      </c>
    </row>
    <row r="163" spans="1:11" x14ac:dyDescent="0.3">
      <c r="A163" s="171">
        <v>527</v>
      </c>
      <c r="B163" s="45">
        <v>-6.2630999999999997E-3</v>
      </c>
      <c r="C163" s="45">
        <v>1.4468999999999999E-2</v>
      </c>
      <c r="D163" s="45">
        <v>-2.6630000000000001E-2</v>
      </c>
      <c r="E163" s="45">
        <v>6.3757999999999995E-2</v>
      </c>
      <c r="F163" s="45">
        <v>1.3132E-2</v>
      </c>
      <c r="G163" s="45">
        <v>-5.5564000000000004E-3</v>
      </c>
      <c r="H163" s="45">
        <v>2.1478999999999999E-3</v>
      </c>
      <c r="I163" s="45">
        <v>1.6663999999999999E-4</v>
      </c>
      <c r="J163" s="45">
        <v>-2.8538999999999999E-3</v>
      </c>
      <c r="K163" s="45">
        <v>-1.9500999999999999E-4</v>
      </c>
    </row>
    <row r="164" spans="1:11" x14ac:dyDescent="0.3">
      <c r="A164" s="171">
        <v>528</v>
      </c>
      <c r="B164" s="45">
        <v>-6.1636E-3</v>
      </c>
      <c r="C164" s="45">
        <v>1.4135E-2</v>
      </c>
      <c r="D164" s="45">
        <v>-2.6036E-2</v>
      </c>
      <c r="E164" s="45">
        <v>6.0884000000000001E-2</v>
      </c>
      <c r="F164" s="45">
        <v>1.6322E-2</v>
      </c>
      <c r="G164" s="45">
        <v>-7.0108000000000002E-3</v>
      </c>
      <c r="H164" s="45">
        <v>2.5330000000000001E-3</v>
      </c>
      <c r="I164" s="45">
        <v>-2.3062999999999999E-5</v>
      </c>
      <c r="J164" s="45">
        <v>-2.7607E-3</v>
      </c>
      <c r="K164" s="45">
        <v>-1.7699E-4</v>
      </c>
    </row>
    <row r="165" spans="1:11" x14ac:dyDescent="0.3">
      <c r="A165" s="171">
        <v>529</v>
      </c>
      <c r="B165" s="45">
        <v>-6.0223000000000004E-3</v>
      </c>
      <c r="C165" s="45">
        <v>1.3719E-2</v>
      </c>
      <c r="D165" s="45">
        <v>-2.5285999999999999E-2</v>
      </c>
      <c r="E165" s="45">
        <v>5.7853000000000002E-2</v>
      </c>
      <c r="F165" s="45">
        <v>1.958E-2</v>
      </c>
      <c r="G165" s="45">
        <v>-8.4802999999999996E-3</v>
      </c>
      <c r="H165" s="45">
        <v>2.9202E-3</v>
      </c>
      <c r="I165" s="45">
        <v>-2.1515E-4</v>
      </c>
      <c r="J165" s="45">
        <v>-2.6668999999999998E-3</v>
      </c>
      <c r="K165" s="45">
        <v>-1.5838000000000001E-4</v>
      </c>
    </row>
    <row r="166" spans="1:11" x14ac:dyDescent="0.3">
      <c r="A166" s="171">
        <v>530</v>
      </c>
      <c r="B166" s="45">
        <v>-5.8424000000000002E-3</v>
      </c>
      <c r="C166" s="45">
        <v>1.3228999999999999E-2</v>
      </c>
      <c r="D166" s="45">
        <v>-2.4395E-2</v>
      </c>
      <c r="E166" s="45">
        <v>5.4684999999999997E-2</v>
      </c>
      <c r="F166" s="45">
        <v>2.2886E-2</v>
      </c>
      <c r="G166" s="45">
        <v>-9.9515999999999997E-3</v>
      </c>
      <c r="H166" s="45">
        <v>3.3057E-3</v>
      </c>
      <c r="I166" s="45">
        <v>-4.0798000000000001E-4</v>
      </c>
      <c r="J166" s="45">
        <v>-2.5730000000000002E-3</v>
      </c>
      <c r="K166" s="45">
        <v>-1.3929E-4</v>
      </c>
    </row>
    <row r="167" spans="1:11" x14ac:dyDescent="0.3">
      <c r="A167" s="171">
        <v>531</v>
      </c>
      <c r="B167" s="45">
        <v>-5.6271000000000003E-3</v>
      </c>
      <c r="C167" s="45">
        <v>1.2671999999999999E-2</v>
      </c>
      <c r="D167" s="45">
        <v>-2.3377999999999999E-2</v>
      </c>
      <c r="E167" s="45">
        <v>5.1402000000000003E-2</v>
      </c>
      <c r="F167" s="45">
        <v>2.6221000000000001E-2</v>
      </c>
      <c r="G167" s="45">
        <v>-1.1410999999999999E-2</v>
      </c>
      <c r="H167" s="45">
        <v>3.6857000000000001E-3</v>
      </c>
      <c r="I167" s="45">
        <v>-5.9984000000000003E-4</v>
      </c>
      <c r="J167" s="45">
        <v>-2.4797E-3</v>
      </c>
      <c r="K167" s="45">
        <v>-1.1985E-4</v>
      </c>
    </row>
    <row r="168" spans="1:11" x14ac:dyDescent="0.3">
      <c r="A168" s="171">
        <v>532</v>
      </c>
      <c r="B168" s="45">
        <v>-5.3797000000000003E-3</v>
      </c>
      <c r="C168" s="45">
        <v>1.2057999999999999E-2</v>
      </c>
      <c r="D168" s="45">
        <v>-2.2248E-2</v>
      </c>
      <c r="E168" s="45">
        <v>4.8025999999999999E-2</v>
      </c>
      <c r="F168" s="45">
        <v>2.9562999999999999E-2</v>
      </c>
      <c r="G168" s="45">
        <v>-1.2845000000000001E-2</v>
      </c>
      <c r="H168" s="45">
        <v>4.0561E-3</v>
      </c>
      <c r="I168" s="45">
        <v>-7.8901999999999998E-4</v>
      </c>
      <c r="J168" s="45">
        <v>-2.3877999999999998E-3</v>
      </c>
      <c r="K168" s="45">
        <v>-1.0016E-4</v>
      </c>
    </row>
    <row r="169" spans="1:11" x14ac:dyDescent="0.3">
      <c r="A169" s="171">
        <v>533</v>
      </c>
      <c r="B169" s="45">
        <v>-5.1034000000000001E-3</v>
      </c>
      <c r="C169" s="45">
        <v>1.1393E-2</v>
      </c>
      <c r="D169" s="45">
        <v>-2.1021000000000001E-2</v>
      </c>
      <c r="E169" s="45">
        <v>4.4576999999999999E-2</v>
      </c>
      <c r="F169" s="45">
        <v>3.2890999999999997E-2</v>
      </c>
      <c r="G169" s="45">
        <v>-1.4238000000000001E-2</v>
      </c>
      <c r="H169" s="45">
        <v>4.4127000000000003E-3</v>
      </c>
      <c r="I169" s="45">
        <v>-9.7380000000000003E-4</v>
      </c>
      <c r="J169" s="45">
        <v>-2.2978E-3</v>
      </c>
      <c r="K169" s="45">
        <v>-8.0374E-5</v>
      </c>
    </row>
    <row r="170" spans="1:11" x14ac:dyDescent="0.3">
      <c r="A170" s="171">
        <v>534</v>
      </c>
      <c r="B170" s="45">
        <v>-4.8015000000000002E-3</v>
      </c>
      <c r="C170" s="45">
        <v>1.0685E-2</v>
      </c>
      <c r="D170" s="45">
        <v>-1.9710999999999999E-2</v>
      </c>
      <c r="E170" s="45">
        <v>4.1077000000000002E-2</v>
      </c>
      <c r="F170" s="45">
        <v>3.6183E-2</v>
      </c>
      <c r="G170" s="45">
        <v>-1.5577000000000001E-2</v>
      </c>
      <c r="H170" s="45">
        <v>4.7515999999999999E-3</v>
      </c>
      <c r="I170" s="45">
        <v>-1.1525000000000001E-3</v>
      </c>
      <c r="J170" s="45">
        <v>-2.2104E-3</v>
      </c>
      <c r="K170" s="45">
        <v>-6.0608E-5</v>
      </c>
    </row>
    <row r="171" spans="1:11" x14ac:dyDescent="0.3">
      <c r="A171" s="171">
        <v>535</v>
      </c>
      <c r="B171" s="45">
        <v>-4.4771000000000004E-3</v>
      </c>
      <c r="C171" s="45">
        <v>9.9419999999999994E-3</v>
      </c>
      <c r="D171" s="45">
        <v>-1.8332999999999999E-2</v>
      </c>
      <c r="E171" s="45">
        <v>3.7547999999999998E-2</v>
      </c>
      <c r="F171" s="45">
        <v>3.9419000000000003E-2</v>
      </c>
      <c r="G171" s="45">
        <v>-1.6848999999999999E-2</v>
      </c>
      <c r="H171" s="45">
        <v>5.0689000000000003E-3</v>
      </c>
      <c r="I171" s="45">
        <v>-1.3235E-3</v>
      </c>
      <c r="J171" s="45">
        <v>-2.1262E-3</v>
      </c>
      <c r="K171" s="45">
        <v>-4.0995999999999998E-5</v>
      </c>
    </row>
    <row r="172" spans="1:11" x14ac:dyDescent="0.3">
      <c r="A172" s="171">
        <v>536</v>
      </c>
      <c r="B172" s="45">
        <v>-4.1335E-3</v>
      </c>
      <c r="C172" s="45">
        <v>9.1713000000000003E-3</v>
      </c>
      <c r="D172" s="45">
        <v>-1.6900999999999999E-2</v>
      </c>
      <c r="E172" s="45">
        <v>3.4009999999999999E-2</v>
      </c>
      <c r="F172" s="45">
        <v>4.2577999999999998E-2</v>
      </c>
      <c r="G172" s="45">
        <v>-1.8038999999999999E-2</v>
      </c>
      <c r="H172" s="45">
        <v>5.3607999999999998E-3</v>
      </c>
      <c r="I172" s="45">
        <v>-1.4852000000000001E-3</v>
      </c>
      <c r="J172" s="45">
        <v>-2.0457000000000001E-3</v>
      </c>
      <c r="K172" s="45">
        <v>-2.1673000000000001E-5</v>
      </c>
    </row>
    <row r="173" spans="1:11" x14ac:dyDescent="0.3">
      <c r="A173" s="171">
        <v>537</v>
      </c>
      <c r="B173" s="45">
        <v>-3.7735999999999998E-3</v>
      </c>
      <c r="C173" s="45">
        <v>8.3798999999999992E-3</v>
      </c>
      <c r="D173" s="45">
        <v>-1.5428000000000001E-2</v>
      </c>
      <c r="E173" s="45">
        <v>3.0483E-2</v>
      </c>
      <c r="F173" s="45">
        <v>4.5642000000000002E-2</v>
      </c>
      <c r="G173" s="45">
        <v>-1.9134999999999999E-2</v>
      </c>
      <c r="H173" s="45">
        <v>5.6238E-3</v>
      </c>
      <c r="I173" s="45">
        <v>-1.6362E-3</v>
      </c>
      <c r="J173" s="45">
        <v>-1.9694999999999999E-3</v>
      </c>
      <c r="K173" s="45">
        <v>-2.7674E-6</v>
      </c>
    </row>
    <row r="174" spans="1:11" x14ac:dyDescent="0.3">
      <c r="A174" s="171">
        <v>538</v>
      </c>
      <c r="B174" s="45">
        <v>-3.4004999999999999E-3</v>
      </c>
      <c r="C174" s="45">
        <v>7.5747999999999996E-3</v>
      </c>
      <c r="D174" s="45">
        <v>-1.3927E-2</v>
      </c>
      <c r="E174" s="45">
        <v>2.6986E-2</v>
      </c>
      <c r="F174" s="45">
        <v>4.8591000000000002E-2</v>
      </c>
      <c r="G174" s="45">
        <v>-2.0125000000000001E-2</v>
      </c>
      <c r="H174" s="45">
        <v>5.8548000000000003E-3</v>
      </c>
      <c r="I174" s="45">
        <v>-1.7750999999999999E-3</v>
      </c>
      <c r="J174" s="45">
        <v>-1.8981E-3</v>
      </c>
      <c r="K174" s="45">
        <v>1.5593000000000001E-5</v>
      </c>
    </row>
    <row r="175" spans="1:11" x14ac:dyDescent="0.3">
      <c r="A175" s="171">
        <v>539</v>
      </c>
      <c r="B175" s="45">
        <v>-3.0171999999999998E-3</v>
      </c>
      <c r="C175" s="45">
        <v>6.7624E-3</v>
      </c>
      <c r="D175" s="45">
        <v>-1.2409999999999999E-2</v>
      </c>
      <c r="E175" s="45">
        <v>2.3535E-2</v>
      </c>
      <c r="F175" s="45">
        <v>5.1408000000000002E-2</v>
      </c>
      <c r="G175" s="45">
        <v>-2.0999E-2</v>
      </c>
      <c r="H175" s="45">
        <v>6.0507E-3</v>
      </c>
      <c r="I175" s="45">
        <v>-1.9008E-3</v>
      </c>
      <c r="J175" s="45">
        <v>-1.8320000000000001E-3</v>
      </c>
      <c r="K175" s="45">
        <v>3.3284000000000002E-5</v>
      </c>
    </row>
    <row r="176" spans="1:11" x14ac:dyDescent="0.3">
      <c r="A176" s="171">
        <v>540</v>
      </c>
      <c r="B176" s="45">
        <v>-2.6266000000000002E-3</v>
      </c>
      <c r="C176" s="45">
        <v>5.9489E-3</v>
      </c>
      <c r="D176" s="45">
        <v>-1.0888E-2</v>
      </c>
      <c r="E176" s="45">
        <v>2.0149E-2</v>
      </c>
      <c r="F176" s="45">
        <v>5.4078000000000001E-2</v>
      </c>
      <c r="G176" s="45">
        <v>-2.1746999999999999E-2</v>
      </c>
      <c r="H176" s="45">
        <v>6.2088999999999998E-3</v>
      </c>
      <c r="I176" s="45">
        <v>-2.0121000000000002E-3</v>
      </c>
      <c r="J176" s="45">
        <v>-1.7714E-3</v>
      </c>
      <c r="K176" s="45">
        <v>5.0191000000000001E-5</v>
      </c>
    </row>
    <row r="177" spans="1:11" x14ac:dyDescent="0.3">
      <c r="A177" s="171">
        <v>541</v>
      </c>
      <c r="B177" s="45">
        <v>-2.2315E-3</v>
      </c>
      <c r="C177" s="45">
        <v>5.1399999999999996E-3</v>
      </c>
      <c r="D177" s="45">
        <v>-9.3729999999999994E-3</v>
      </c>
      <c r="E177" s="45">
        <v>1.6841999999999999E-2</v>
      </c>
      <c r="F177" s="45">
        <v>5.6585000000000003E-2</v>
      </c>
      <c r="G177" s="45">
        <v>-2.2357999999999999E-2</v>
      </c>
      <c r="H177" s="45">
        <v>6.3273000000000001E-3</v>
      </c>
      <c r="I177" s="45">
        <v>-2.1080999999999999E-3</v>
      </c>
      <c r="J177" s="45">
        <v>-1.7167E-3</v>
      </c>
      <c r="K177" s="45">
        <v>6.6199999999999996E-5</v>
      </c>
    </row>
    <row r="178" spans="1:11" x14ac:dyDescent="0.3">
      <c r="A178" s="171">
        <v>542</v>
      </c>
      <c r="B178" s="45">
        <v>-1.8346E-3</v>
      </c>
      <c r="C178" s="45">
        <v>4.3410999999999996E-3</v>
      </c>
      <c r="D178" s="45">
        <v>-7.8741000000000002E-3</v>
      </c>
      <c r="E178" s="45">
        <v>1.3629E-2</v>
      </c>
      <c r="F178" s="45">
        <v>5.8916999999999997E-2</v>
      </c>
      <c r="G178" s="45">
        <v>-2.2827E-2</v>
      </c>
      <c r="H178" s="45">
        <v>6.4038999999999997E-3</v>
      </c>
      <c r="I178" s="45">
        <v>-2.1879999999999998E-3</v>
      </c>
      <c r="J178" s="45">
        <v>-1.6682000000000001E-3</v>
      </c>
      <c r="K178" s="45">
        <v>8.1207999999999999E-5</v>
      </c>
    </row>
    <row r="179" spans="1:11" x14ac:dyDescent="0.3">
      <c r="A179" s="171">
        <v>543</v>
      </c>
      <c r="B179" s="45">
        <v>-1.4384000000000001E-3</v>
      </c>
      <c r="C179" s="45">
        <v>3.5571000000000001E-3</v>
      </c>
      <c r="D179" s="45">
        <v>-6.4004999999999999E-3</v>
      </c>
      <c r="E179" s="45">
        <v>1.0522E-2</v>
      </c>
      <c r="F179" s="45">
        <v>6.1060999999999997E-2</v>
      </c>
      <c r="G179" s="45">
        <v>-2.3144999999999999E-2</v>
      </c>
      <c r="H179" s="45">
        <v>6.4371000000000003E-3</v>
      </c>
      <c r="I179" s="45">
        <v>-2.2510999999999998E-3</v>
      </c>
      <c r="J179" s="45">
        <v>-1.6260999999999999E-3</v>
      </c>
      <c r="K179" s="45">
        <v>9.5115E-5</v>
      </c>
    </row>
    <row r="180" spans="1:11" x14ac:dyDescent="0.3">
      <c r="A180" s="171">
        <v>544</v>
      </c>
      <c r="B180" s="45">
        <v>-1.0453999999999999E-3</v>
      </c>
      <c r="C180" s="45">
        <v>2.7927999999999998E-3</v>
      </c>
      <c r="D180" s="45">
        <v>-4.9607000000000002E-3</v>
      </c>
      <c r="E180" s="45">
        <v>7.5335000000000003E-3</v>
      </c>
      <c r="F180" s="45">
        <v>6.3006999999999994E-2</v>
      </c>
      <c r="G180" s="45">
        <v>-2.3307999999999999E-2</v>
      </c>
      <c r="H180" s="45">
        <v>6.4257000000000003E-3</v>
      </c>
      <c r="I180" s="45">
        <v>-2.297E-3</v>
      </c>
      <c r="J180" s="45">
        <v>-1.5906E-3</v>
      </c>
      <c r="K180" s="45">
        <v>1.0783E-4</v>
      </c>
    </row>
    <row r="181" spans="1:11" x14ac:dyDescent="0.3">
      <c r="A181" s="171">
        <v>545</v>
      </c>
      <c r="B181" s="45">
        <v>-6.5806000000000003E-4</v>
      </c>
      <c r="C181" s="45">
        <v>2.0522000000000001E-3</v>
      </c>
      <c r="D181" s="45">
        <v>-3.5623E-3</v>
      </c>
      <c r="E181" s="45">
        <v>4.6737000000000003E-3</v>
      </c>
      <c r="F181" s="45">
        <v>6.4745999999999998E-2</v>
      </c>
      <c r="G181" s="45">
        <v>-2.3310000000000001E-2</v>
      </c>
      <c r="H181" s="45">
        <v>6.3689000000000003E-3</v>
      </c>
      <c r="I181" s="45">
        <v>-2.3253000000000002E-3</v>
      </c>
      <c r="J181" s="45">
        <v>-1.5617000000000001E-3</v>
      </c>
      <c r="K181" s="45">
        <v>1.1927E-4</v>
      </c>
    </row>
    <row r="182" spans="1:11" x14ac:dyDescent="0.3">
      <c r="A182" s="171">
        <v>546</v>
      </c>
      <c r="B182" s="45">
        <v>-2.7856000000000002E-4</v>
      </c>
      <c r="C182" s="45">
        <v>1.3391E-3</v>
      </c>
      <c r="D182" s="45">
        <v>-2.2122999999999999E-3</v>
      </c>
      <c r="E182" s="45">
        <v>1.9518000000000001E-3</v>
      </c>
      <c r="F182" s="45">
        <v>6.6269999999999996E-2</v>
      </c>
      <c r="G182" s="45">
        <v>-2.3147999999999998E-2</v>
      </c>
      <c r="H182" s="45">
        <v>6.2662000000000004E-3</v>
      </c>
      <c r="I182" s="45">
        <v>-2.3357E-3</v>
      </c>
      <c r="J182" s="45">
        <v>-1.5395999999999999E-3</v>
      </c>
      <c r="K182" s="45">
        <v>1.2936999999999999E-4</v>
      </c>
    </row>
    <row r="183" spans="1:11" x14ac:dyDescent="0.3">
      <c r="A183" s="171">
        <v>547</v>
      </c>
      <c r="B183" s="45">
        <v>9.0985999999999999E-5</v>
      </c>
      <c r="C183" s="45">
        <v>6.5711000000000003E-4</v>
      </c>
      <c r="D183" s="45">
        <v>-9.1673000000000004E-4</v>
      </c>
      <c r="E183" s="45">
        <v>-6.2396000000000001E-4</v>
      </c>
      <c r="F183" s="45">
        <v>6.7572999999999994E-2</v>
      </c>
      <c r="G183" s="45">
        <v>-2.282E-2</v>
      </c>
      <c r="H183" s="45">
        <v>6.1174999999999997E-3</v>
      </c>
      <c r="I183" s="45">
        <v>-2.3281999999999999E-3</v>
      </c>
      <c r="J183" s="45">
        <v>-1.5242000000000001E-3</v>
      </c>
      <c r="K183" s="45">
        <v>1.3804E-4</v>
      </c>
    </row>
    <row r="184" spans="1:11" x14ac:dyDescent="0.3">
      <c r="A184" s="171">
        <v>548</v>
      </c>
      <c r="B184" s="45">
        <v>4.4859000000000001E-4</v>
      </c>
      <c r="C184" s="45">
        <v>9.1259000000000002E-6</v>
      </c>
      <c r="D184" s="45">
        <v>3.1890999999999999E-4</v>
      </c>
      <c r="E184" s="45">
        <v>-3.0466999999999998E-3</v>
      </c>
      <c r="F184" s="45">
        <v>6.8649000000000002E-2</v>
      </c>
      <c r="G184" s="45">
        <v>-2.2322999999999999E-2</v>
      </c>
      <c r="H184" s="45">
        <v>5.9227999999999998E-3</v>
      </c>
      <c r="I184" s="45">
        <v>-2.3027E-3</v>
      </c>
      <c r="J184" s="45">
        <v>-1.5156E-3</v>
      </c>
      <c r="K184" s="45">
        <v>1.4522999999999999E-4</v>
      </c>
    </row>
    <row r="185" spans="1:11" x14ac:dyDescent="0.3">
      <c r="A185" s="171">
        <v>549</v>
      </c>
      <c r="B185" s="45">
        <v>7.9241999999999995E-4</v>
      </c>
      <c r="C185" s="45">
        <v>-6.0212000000000004E-4</v>
      </c>
      <c r="D185" s="45">
        <v>1.4898999999999999E-3</v>
      </c>
      <c r="E185" s="45">
        <v>-5.3106999999999998E-3</v>
      </c>
      <c r="F185" s="45">
        <v>6.9496000000000002E-2</v>
      </c>
      <c r="G185" s="45">
        <v>-2.1656999999999999E-2</v>
      </c>
      <c r="H185" s="45">
        <v>5.6826000000000003E-3</v>
      </c>
      <c r="I185" s="45">
        <v>-2.2594E-3</v>
      </c>
      <c r="J185" s="45">
        <v>-1.5135999999999999E-3</v>
      </c>
      <c r="K185" s="45">
        <v>1.5087999999999999E-4</v>
      </c>
    </row>
    <row r="186" spans="1:11" x14ac:dyDescent="0.3">
      <c r="A186" s="171">
        <v>550</v>
      </c>
      <c r="B186" s="45">
        <v>1.1207999999999999E-3</v>
      </c>
      <c r="C186" s="45">
        <v>-1.1743000000000001E-3</v>
      </c>
      <c r="D186" s="45">
        <v>2.5920000000000001E-3</v>
      </c>
      <c r="E186" s="45">
        <v>-7.4108000000000004E-3</v>
      </c>
      <c r="F186" s="45">
        <v>7.0109000000000005E-2</v>
      </c>
      <c r="G186" s="45">
        <v>-2.0823000000000001E-2</v>
      </c>
      <c r="H186" s="45">
        <v>5.3977000000000001E-3</v>
      </c>
      <c r="I186" s="45">
        <v>-2.1984999999999999E-3</v>
      </c>
      <c r="J186" s="45">
        <v>-1.5181000000000001E-3</v>
      </c>
      <c r="K186" s="45">
        <v>1.5495999999999999E-4</v>
      </c>
    </row>
    <row r="187" spans="1:11" x14ac:dyDescent="0.3">
      <c r="A187" s="171">
        <v>551</v>
      </c>
      <c r="B187" s="45">
        <v>1.4319999999999999E-3</v>
      </c>
      <c r="C187" s="45">
        <v>-1.7053999999999999E-3</v>
      </c>
      <c r="D187" s="45">
        <v>3.6218000000000001E-3</v>
      </c>
      <c r="E187" s="45">
        <v>-9.3434E-3</v>
      </c>
      <c r="F187" s="45">
        <v>7.0487999999999995E-2</v>
      </c>
      <c r="G187" s="45">
        <v>-1.9821999999999999E-2</v>
      </c>
      <c r="H187" s="45">
        <v>5.0692000000000003E-3</v>
      </c>
      <c r="I187" s="45">
        <v>-2.1204000000000001E-3</v>
      </c>
      <c r="J187" s="45">
        <v>-1.5291E-3</v>
      </c>
      <c r="K187" s="45">
        <v>1.5741E-4</v>
      </c>
    </row>
    <row r="188" spans="1:11" x14ac:dyDescent="0.3">
      <c r="A188" s="171">
        <v>552</v>
      </c>
      <c r="B188" s="45">
        <v>1.7248000000000001E-3</v>
      </c>
      <c r="C188" s="45">
        <v>-2.1938000000000001E-3</v>
      </c>
      <c r="D188" s="45">
        <v>4.5763000000000002E-3</v>
      </c>
      <c r="E188" s="45">
        <v>-1.1106E-2</v>
      </c>
      <c r="F188" s="45">
        <v>7.0632E-2</v>
      </c>
      <c r="G188" s="45">
        <v>-1.8655000000000001E-2</v>
      </c>
      <c r="H188" s="45">
        <v>4.6982999999999999E-3</v>
      </c>
      <c r="I188" s="45">
        <v>-2.0255999999999998E-3</v>
      </c>
      <c r="J188" s="45">
        <v>-1.5462E-3</v>
      </c>
      <c r="K188" s="45">
        <v>1.5820999999999999E-4</v>
      </c>
    </row>
    <row r="189" spans="1:11" x14ac:dyDescent="0.3">
      <c r="A189" s="171">
        <v>553</v>
      </c>
      <c r="B189" s="45">
        <v>1.9978999999999999E-3</v>
      </c>
      <c r="C189" s="45">
        <v>-2.6381999999999998E-3</v>
      </c>
      <c r="D189" s="45">
        <v>5.4533000000000003E-3</v>
      </c>
      <c r="E189" s="45">
        <v>-1.2695E-2</v>
      </c>
      <c r="F189" s="45">
        <v>7.0541000000000006E-2</v>
      </c>
      <c r="G189" s="45">
        <v>-1.7325E-2</v>
      </c>
      <c r="H189" s="45">
        <v>4.2867000000000001E-3</v>
      </c>
      <c r="I189" s="45">
        <v>-1.9147000000000001E-3</v>
      </c>
      <c r="J189" s="45">
        <v>-1.5693E-3</v>
      </c>
      <c r="K189" s="45">
        <v>1.5734000000000001E-4</v>
      </c>
    </row>
    <row r="190" spans="1:11" x14ac:dyDescent="0.3">
      <c r="A190" s="171">
        <v>554</v>
      </c>
      <c r="B190" s="45">
        <v>2.2499999999999998E-3</v>
      </c>
      <c r="C190" s="45">
        <v>-3.0374E-3</v>
      </c>
      <c r="D190" s="45">
        <v>6.2507999999999999E-3</v>
      </c>
      <c r="E190" s="45">
        <v>-1.4111E-2</v>
      </c>
      <c r="F190" s="45">
        <v>7.0218000000000003E-2</v>
      </c>
      <c r="G190" s="45">
        <v>-1.5837E-2</v>
      </c>
      <c r="H190" s="45">
        <v>3.8362000000000001E-3</v>
      </c>
      <c r="I190" s="45">
        <v>-1.7882E-3</v>
      </c>
      <c r="J190" s="45">
        <v>-1.5981999999999999E-3</v>
      </c>
      <c r="K190" s="45">
        <v>1.5477000000000001E-4</v>
      </c>
    </row>
    <row r="191" spans="1:11" x14ac:dyDescent="0.3">
      <c r="A191" s="171">
        <v>555</v>
      </c>
      <c r="B191" s="45">
        <v>2.4803E-3</v>
      </c>
      <c r="C191" s="45">
        <v>-3.3907999999999998E-3</v>
      </c>
      <c r="D191" s="45">
        <v>6.9677000000000003E-3</v>
      </c>
      <c r="E191" s="45">
        <v>-1.5354E-2</v>
      </c>
      <c r="F191" s="45">
        <v>6.9664000000000004E-2</v>
      </c>
      <c r="G191" s="45">
        <v>-1.4194E-2</v>
      </c>
      <c r="H191" s="45">
        <v>3.3489000000000001E-3</v>
      </c>
      <c r="I191" s="45">
        <v>-1.647E-3</v>
      </c>
      <c r="J191" s="45">
        <v>-1.6325000000000001E-3</v>
      </c>
      <c r="K191" s="45">
        <v>1.5049E-4</v>
      </c>
    </row>
    <row r="192" spans="1:11" x14ac:dyDescent="0.3">
      <c r="A192" s="171">
        <v>556</v>
      </c>
      <c r="B192" s="45">
        <v>2.6878000000000002E-3</v>
      </c>
      <c r="C192" s="45">
        <v>-3.6979000000000001E-3</v>
      </c>
      <c r="D192" s="45">
        <v>7.6030999999999998E-3</v>
      </c>
      <c r="E192" s="45">
        <v>-1.6423E-2</v>
      </c>
      <c r="F192" s="45">
        <v>6.8885000000000002E-2</v>
      </c>
      <c r="G192" s="45">
        <v>-1.2401000000000001E-2</v>
      </c>
      <c r="H192" s="45">
        <v>2.8272000000000002E-3</v>
      </c>
      <c r="I192" s="45">
        <v>-1.4920000000000001E-3</v>
      </c>
      <c r="J192" s="45">
        <v>-1.6719E-3</v>
      </c>
      <c r="K192" s="45">
        <v>1.4451000000000001E-4</v>
      </c>
    </row>
    <row r="193" spans="1:11" x14ac:dyDescent="0.3">
      <c r="A193" s="171">
        <v>557</v>
      </c>
      <c r="B193" s="45">
        <v>2.8719000000000001E-3</v>
      </c>
      <c r="C193" s="45">
        <v>-3.9585999999999996E-3</v>
      </c>
      <c r="D193" s="45">
        <v>8.1568000000000005E-3</v>
      </c>
      <c r="E193" s="45">
        <v>-1.7321E-2</v>
      </c>
      <c r="F193" s="45">
        <v>6.7882999999999999E-2</v>
      </c>
      <c r="G193" s="45">
        <v>-1.0465E-2</v>
      </c>
      <c r="H193" s="45">
        <v>2.2737E-3</v>
      </c>
      <c r="I193" s="45">
        <v>-1.3239E-3</v>
      </c>
      <c r="J193" s="45">
        <v>-1.7163E-3</v>
      </c>
      <c r="K193" s="45">
        <v>1.3683E-4</v>
      </c>
    </row>
    <row r="194" spans="1:11" x14ac:dyDescent="0.3">
      <c r="A194" s="171">
        <v>558</v>
      </c>
      <c r="B194" s="45">
        <v>3.0319000000000001E-3</v>
      </c>
      <c r="C194" s="45">
        <v>-4.1729999999999996E-3</v>
      </c>
      <c r="D194" s="45">
        <v>8.6289000000000001E-3</v>
      </c>
      <c r="E194" s="45">
        <v>-1.8048999999999999E-2</v>
      </c>
      <c r="F194" s="45">
        <v>6.6665000000000002E-2</v>
      </c>
      <c r="G194" s="45">
        <v>-8.3925000000000007E-3</v>
      </c>
      <c r="H194" s="45">
        <v>1.6911999999999999E-3</v>
      </c>
      <c r="I194" s="45">
        <v>-1.1439E-3</v>
      </c>
      <c r="J194" s="45">
        <v>-1.7650000000000001E-3</v>
      </c>
      <c r="K194" s="45">
        <v>1.2746E-4</v>
      </c>
    </row>
    <row r="195" spans="1:11" x14ac:dyDescent="0.3">
      <c r="A195" s="171">
        <v>559</v>
      </c>
      <c r="B195" s="45">
        <v>3.1675000000000002E-3</v>
      </c>
      <c r="C195" s="45">
        <v>-4.3413000000000002E-3</v>
      </c>
      <c r="D195" s="45">
        <v>9.0200999999999996E-3</v>
      </c>
      <c r="E195" s="45">
        <v>-1.8610000000000002E-2</v>
      </c>
      <c r="F195" s="45">
        <v>6.5238000000000004E-2</v>
      </c>
      <c r="G195" s="45">
        <v>-6.1900999999999996E-3</v>
      </c>
      <c r="H195" s="45">
        <v>1.0826E-3</v>
      </c>
      <c r="I195" s="45">
        <v>-9.5310000000000002E-4</v>
      </c>
      <c r="J195" s="45">
        <v>-1.8178999999999999E-3</v>
      </c>
      <c r="K195" s="45">
        <v>1.1642999999999999E-4</v>
      </c>
    </row>
    <row r="196" spans="1:11" x14ac:dyDescent="0.3">
      <c r="A196" s="171">
        <v>560</v>
      </c>
      <c r="B196" s="45">
        <v>3.2783999999999999E-3</v>
      </c>
      <c r="C196" s="45">
        <v>-4.4643E-3</v>
      </c>
      <c r="D196" s="45">
        <v>9.3313000000000007E-3</v>
      </c>
      <c r="E196" s="45">
        <v>-1.9008000000000001E-2</v>
      </c>
      <c r="F196" s="45">
        <v>6.3607999999999998E-2</v>
      </c>
      <c r="G196" s="45">
        <v>-3.8662000000000002E-3</v>
      </c>
      <c r="H196" s="45">
        <v>4.5134E-4</v>
      </c>
      <c r="I196" s="45">
        <v>-7.5255000000000005E-4</v>
      </c>
      <c r="J196" s="45">
        <v>-1.8745000000000001E-3</v>
      </c>
      <c r="K196" s="45">
        <v>1.0375E-4</v>
      </c>
    </row>
    <row r="197" spans="1:11" x14ac:dyDescent="0.3">
      <c r="A197" s="171">
        <v>561</v>
      </c>
      <c r="B197" s="45">
        <v>3.3644999999999999E-3</v>
      </c>
      <c r="C197" s="45">
        <v>-4.5427000000000002E-3</v>
      </c>
      <c r="D197" s="45">
        <v>9.5639999999999996E-3</v>
      </c>
      <c r="E197" s="45">
        <v>-1.9247E-2</v>
      </c>
      <c r="F197" s="45">
        <v>6.1782999999999998E-2</v>
      </c>
      <c r="G197" s="45">
        <v>-1.4291E-3</v>
      </c>
      <c r="H197" s="45">
        <v>-1.9921000000000001E-4</v>
      </c>
      <c r="I197" s="45">
        <v>-5.4354000000000002E-4</v>
      </c>
      <c r="J197" s="45">
        <v>-1.9344E-3</v>
      </c>
      <c r="K197" s="45">
        <v>8.9464999999999998E-5</v>
      </c>
    </row>
    <row r="198" spans="1:11" x14ac:dyDescent="0.3">
      <c r="A198" s="171">
        <v>562</v>
      </c>
      <c r="B198" s="45">
        <v>3.4256999999999998E-3</v>
      </c>
      <c r="C198" s="45">
        <v>-4.5776000000000002E-3</v>
      </c>
      <c r="D198" s="45">
        <v>9.7199000000000001E-3</v>
      </c>
      <c r="E198" s="45">
        <v>-1.9331999999999998E-2</v>
      </c>
      <c r="F198" s="45">
        <v>5.9773E-2</v>
      </c>
      <c r="G198" s="45">
        <v>1.1117E-3</v>
      </c>
      <c r="H198" s="45">
        <v>-8.654E-4</v>
      </c>
      <c r="I198" s="45">
        <v>-3.2736000000000001E-4</v>
      </c>
      <c r="J198" s="45">
        <v>-1.9972000000000002E-3</v>
      </c>
      <c r="K198" s="45">
        <v>7.3616999999999997E-5</v>
      </c>
    </row>
    <row r="199" spans="1:11" x14ac:dyDescent="0.3">
      <c r="A199" s="171">
        <v>563</v>
      </c>
      <c r="B199" s="45">
        <v>3.4621000000000001E-3</v>
      </c>
      <c r="C199" s="45">
        <v>-4.5703000000000002E-3</v>
      </c>
      <c r="D199" s="45">
        <v>9.8011999999999995E-3</v>
      </c>
      <c r="E199" s="45">
        <v>-1.9268E-2</v>
      </c>
      <c r="F199" s="45">
        <v>5.7586999999999999E-2</v>
      </c>
      <c r="G199" s="45">
        <v>3.7466000000000001E-3</v>
      </c>
      <c r="H199" s="45">
        <v>-1.5433999999999999E-3</v>
      </c>
      <c r="I199" s="45">
        <v>-1.0535999999999999E-4</v>
      </c>
      <c r="J199" s="45">
        <v>-2.0623999999999998E-3</v>
      </c>
      <c r="K199" s="45">
        <v>5.6252999999999998E-5</v>
      </c>
    </row>
    <row r="200" spans="1:11" x14ac:dyDescent="0.3">
      <c r="A200" s="171">
        <v>564</v>
      </c>
      <c r="B200" s="45">
        <v>3.4740000000000001E-3</v>
      </c>
      <c r="C200" s="45">
        <v>-4.5221000000000003E-3</v>
      </c>
      <c r="D200" s="45">
        <v>9.8104000000000004E-3</v>
      </c>
      <c r="E200" s="45">
        <v>-1.9061999999999999E-2</v>
      </c>
      <c r="F200" s="45">
        <v>5.5234999999999999E-2</v>
      </c>
      <c r="G200" s="45">
        <v>6.4651999999999999E-3</v>
      </c>
      <c r="H200" s="45">
        <v>-2.2292000000000002E-3</v>
      </c>
      <c r="I200" s="45">
        <v>1.2103E-4</v>
      </c>
      <c r="J200" s="45">
        <v>-2.1296000000000002E-3</v>
      </c>
      <c r="K200" s="45">
        <v>3.7429999999999999E-5</v>
      </c>
    </row>
    <row r="201" spans="1:11" x14ac:dyDescent="0.3">
      <c r="A201" s="171">
        <v>565</v>
      </c>
      <c r="B201" s="45">
        <v>3.4619E-3</v>
      </c>
      <c r="C201" s="45">
        <v>-4.4349000000000003E-3</v>
      </c>
      <c r="D201" s="45">
        <v>9.7500999999999994E-3</v>
      </c>
      <c r="E201" s="45">
        <v>-1.8720000000000001E-2</v>
      </c>
      <c r="F201" s="45">
        <v>5.2728999999999998E-2</v>
      </c>
      <c r="G201" s="45">
        <v>9.2566999999999997E-3</v>
      </c>
      <c r="H201" s="45">
        <v>-2.9185999999999999E-3</v>
      </c>
      <c r="I201" s="45">
        <v>3.5037000000000002E-4</v>
      </c>
      <c r="J201" s="45">
        <v>-2.1982E-3</v>
      </c>
      <c r="K201" s="45">
        <v>1.7212000000000001E-5</v>
      </c>
    </row>
    <row r="202" spans="1:11" x14ac:dyDescent="0.3">
      <c r="A202" s="171">
        <v>566</v>
      </c>
      <c r="B202" s="45">
        <v>3.4261999999999999E-3</v>
      </c>
      <c r="C202" s="45">
        <v>-4.3103999999999998E-3</v>
      </c>
      <c r="D202" s="45">
        <v>9.6235000000000001E-3</v>
      </c>
      <c r="E202" s="45">
        <v>-1.8249000000000001E-2</v>
      </c>
      <c r="F202" s="45">
        <v>5.0081000000000001E-2</v>
      </c>
      <c r="G202" s="45">
        <v>1.2109999999999999E-2</v>
      </c>
      <c r="H202" s="45">
        <v>-3.6072999999999999E-3</v>
      </c>
      <c r="I202" s="45">
        <v>5.8111999999999997E-4</v>
      </c>
      <c r="J202" s="45">
        <v>-2.2679000000000002E-3</v>
      </c>
      <c r="K202" s="45">
        <v>-4.3327E-6</v>
      </c>
    </row>
    <row r="203" spans="1:11" x14ac:dyDescent="0.3">
      <c r="A203" s="171">
        <v>567</v>
      </c>
      <c r="B203" s="45">
        <v>3.3676000000000001E-3</v>
      </c>
      <c r="C203" s="45">
        <v>-4.1507000000000002E-3</v>
      </c>
      <c r="D203" s="45">
        <v>9.4339000000000003E-3</v>
      </c>
      <c r="E203" s="45">
        <v>-1.7656000000000002E-2</v>
      </c>
      <c r="F203" s="45">
        <v>4.7301000000000003E-2</v>
      </c>
      <c r="G203" s="45">
        <v>1.5011999999999999E-2</v>
      </c>
      <c r="H203" s="45">
        <v>-4.2908E-3</v>
      </c>
      <c r="I203" s="45">
        <v>8.1174999999999997E-4</v>
      </c>
      <c r="J203" s="45">
        <v>-2.3381999999999999E-3</v>
      </c>
      <c r="K203" s="45">
        <v>-2.7127E-5</v>
      </c>
    </row>
    <row r="204" spans="1:11" x14ac:dyDescent="0.3">
      <c r="A204" s="171">
        <v>568</v>
      </c>
      <c r="B204" s="45">
        <v>3.2869000000000002E-3</v>
      </c>
      <c r="C204" s="45">
        <v>-3.9578E-3</v>
      </c>
      <c r="D204" s="45">
        <v>9.1847999999999999E-3</v>
      </c>
      <c r="E204" s="45">
        <v>-1.695E-2</v>
      </c>
      <c r="F204" s="45">
        <v>4.4403999999999999E-2</v>
      </c>
      <c r="G204" s="45">
        <v>1.7953E-2</v>
      </c>
      <c r="H204" s="45">
        <v>-4.9645999999999996E-3</v>
      </c>
      <c r="I204" s="45">
        <v>1.0406E-3</v>
      </c>
      <c r="J204" s="45">
        <v>-2.4085000000000001E-3</v>
      </c>
      <c r="K204" s="45">
        <v>-5.1088999999999998E-5</v>
      </c>
    </row>
    <row r="205" spans="1:11" x14ac:dyDescent="0.3">
      <c r="A205" s="171">
        <v>569</v>
      </c>
      <c r="B205" s="45">
        <v>3.1849000000000001E-3</v>
      </c>
      <c r="C205" s="45">
        <v>-3.7342E-3</v>
      </c>
      <c r="D205" s="45">
        <v>8.8800000000000007E-3</v>
      </c>
      <c r="E205" s="45">
        <v>-1.6138E-2</v>
      </c>
      <c r="F205" s="45">
        <v>4.1403000000000002E-2</v>
      </c>
      <c r="G205" s="45">
        <v>2.0917999999999999E-2</v>
      </c>
      <c r="H205" s="45">
        <v>-5.6239999999999997E-3</v>
      </c>
      <c r="I205" s="45">
        <v>1.2662000000000001E-3</v>
      </c>
      <c r="J205" s="45">
        <v>-2.4783000000000001E-3</v>
      </c>
      <c r="K205" s="45">
        <v>-7.6130999999999993E-5</v>
      </c>
    </row>
    <row r="206" spans="1:11" x14ac:dyDescent="0.3">
      <c r="A206" s="171">
        <v>570</v>
      </c>
      <c r="B206" s="45">
        <v>3.0626999999999998E-3</v>
      </c>
      <c r="C206" s="45">
        <v>-3.4822E-3</v>
      </c>
      <c r="D206" s="45">
        <v>8.5234999999999998E-3</v>
      </c>
      <c r="E206" s="45">
        <v>-1.523E-2</v>
      </c>
      <c r="F206" s="45">
        <v>3.8310999999999998E-2</v>
      </c>
      <c r="G206" s="45">
        <v>2.3895E-2</v>
      </c>
      <c r="H206" s="45">
        <v>-6.2640999999999999E-3</v>
      </c>
      <c r="I206" s="45">
        <v>1.4867000000000001E-3</v>
      </c>
      <c r="J206" s="45">
        <v>-2.5471999999999999E-3</v>
      </c>
      <c r="K206" s="45">
        <v>-1.0216E-4</v>
      </c>
    </row>
    <row r="207" spans="1:11" x14ac:dyDescent="0.3">
      <c r="A207" s="171">
        <v>571</v>
      </c>
      <c r="B207" s="45">
        <v>2.9215000000000001E-3</v>
      </c>
      <c r="C207" s="45">
        <v>-3.2044999999999999E-3</v>
      </c>
      <c r="D207" s="45">
        <v>8.1192999999999994E-3</v>
      </c>
      <c r="E207" s="45">
        <v>-1.4234E-2</v>
      </c>
      <c r="F207" s="45">
        <v>3.5143000000000001E-2</v>
      </c>
      <c r="G207" s="45">
        <v>2.6870000000000002E-2</v>
      </c>
      <c r="H207" s="45">
        <v>-6.8801000000000001E-3</v>
      </c>
      <c r="I207" s="45">
        <v>1.7006E-3</v>
      </c>
      <c r="J207" s="45">
        <v>-2.6147000000000002E-3</v>
      </c>
      <c r="K207" s="45">
        <v>-1.2907000000000001E-4</v>
      </c>
    </row>
    <row r="208" spans="1:11" x14ac:dyDescent="0.3">
      <c r="A208" s="171">
        <v>572</v>
      </c>
      <c r="B208" s="45">
        <v>2.7623999999999999E-3</v>
      </c>
      <c r="C208" s="45">
        <v>-2.9037999999999998E-3</v>
      </c>
      <c r="D208" s="45">
        <v>7.6718999999999997E-3</v>
      </c>
      <c r="E208" s="45">
        <v>-1.316E-2</v>
      </c>
      <c r="F208" s="45">
        <v>3.1912999999999997E-2</v>
      </c>
      <c r="G208" s="45">
        <v>2.9831E-2</v>
      </c>
      <c r="H208" s="45">
        <v>-7.4671E-3</v>
      </c>
      <c r="I208" s="45">
        <v>1.9061E-3</v>
      </c>
      <c r="J208" s="45">
        <v>-2.6803E-3</v>
      </c>
      <c r="K208" s="45">
        <v>-1.5674999999999999E-4</v>
      </c>
    </row>
    <row r="209" spans="1:11" x14ac:dyDescent="0.3">
      <c r="A209" s="171">
        <v>573</v>
      </c>
      <c r="B209" s="45">
        <v>2.5868000000000002E-3</v>
      </c>
      <c r="C209" s="45">
        <v>-2.5826999999999998E-3</v>
      </c>
      <c r="D209" s="45">
        <v>7.1856000000000003E-3</v>
      </c>
      <c r="E209" s="45">
        <v>-1.2017E-2</v>
      </c>
      <c r="F209" s="45">
        <v>2.8636999999999999E-2</v>
      </c>
      <c r="G209" s="45">
        <v>3.2763E-2</v>
      </c>
      <c r="H209" s="45">
        <v>-8.0198999999999999E-3</v>
      </c>
      <c r="I209" s="45">
        <v>2.1015999999999999E-3</v>
      </c>
      <c r="J209" s="45">
        <v>-2.7434E-3</v>
      </c>
      <c r="K209" s="45">
        <v>-1.8510999999999999E-4</v>
      </c>
    </row>
    <row r="210" spans="1:11" x14ac:dyDescent="0.3">
      <c r="A210" s="171">
        <v>574</v>
      </c>
      <c r="B210" s="45">
        <v>2.3963000000000001E-3</v>
      </c>
      <c r="C210" s="45">
        <v>-2.2442999999999999E-3</v>
      </c>
      <c r="D210" s="45">
        <v>6.6649999999999999E-3</v>
      </c>
      <c r="E210" s="45">
        <v>-1.0814000000000001E-2</v>
      </c>
      <c r="F210" s="45">
        <v>2.5329000000000001E-2</v>
      </c>
      <c r="G210" s="45">
        <v>3.5652999999999997E-2</v>
      </c>
      <c r="H210" s="45">
        <v>-8.5337E-3</v>
      </c>
      <c r="I210" s="45">
        <v>2.2853000000000001E-3</v>
      </c>
      <c r="J210" s="45">
        <v>-2.8035999999999998E-3</v>
      </c>
      <c r="K210" s="45">
        <v>-2.1401999999999999E-4</v>
      </c>
    </row>
    <row r="211" spans="1:11" x14ac:dyDescent="0.3">
      <c r="A211" s="171">
        <v>575</v>
      </c>
      <c r="B211" s="45">
        <v>2.1922000000000001E-3</v>
      </c>
      <c r="C211" s="45">
        <v>-1.8915E-3</v>
      </c>
      <c r="D211" s="45">
        <v>6.1148000000000001E-3</v>
      </c>
      <c r="E211" s="45">
        <v>-9.5624999999999998E-3</v>
      </c>
      <c r="F211" s="45">
        <v>2.2005E-2</v>
      </c>
      <c r="G211" s="45">
        <v>3.8485999999999999E-2</v>
      </c>
      <c r="H211" s="45">
        <v>-9.0031999999999994E-3</v>
      </c>
      <c r="I211" s="45">
        <v>2.4556000000000001E-3</v>
      </c>
      <c r="J211" s="45">
        <v>-2.8603999999999999E-3</v>
      </c>
      <c r="K211" s="45">
        <v>-2.4336E-4</v>
      </c>
    </row>
    <row r="212" spans="1:11" x14ac:dyDescent="0.3">
      <c r="A212" s="171">
        <v>576</v>
      </c>
      <c r="B212" s="45">
        <v>1.9764000000000001E-3</v>
      </c>
      <c r="C212" s="45">
        <v>-1.5272E-3</v>
      </c>
      <c r="D212" s="45">
        <v>5.5396000000000004E-3</v>
      </c>
      <c r="E212" s="45">
        <v>-8.2711999999999994E-3</v>
      </c>
      <c r="F212" s="45">
        <v>1.8679999999999999E-2</v>
      </c>
      <c r="G212" s="45">
        <v>4.1249000000000001E-2</v>
      </c>
      <c r="H212" s="45">
        <v>-9.4236000000000007E-3</v>
      </c>
      <c r="I212" s="45">
        <v>2.6107000000000001E-3</v>
      </c>
      <c r="J212" s="45">
        <v>-2.9133000000000002E-3</v>
      </c>
      <c r="K212" s="45">
        <v>-2.7302000000000001E-4</v>
      </c>
    </row>
    <row r="213" spans="1:11" x14ac:dyDescent="0.3">
      <c r="A213" s="171">
        <v>577</v>
      </c>
      <c r="B213" s="45">
        <v>1.7504E-3</v>
      </c>
      <c r="C213" s="45">
        <v>-1.1546E-3</v>
      </c>
      <c r="D213" s="45">
        <v>4.9443000000000004E-3</v>
      </c>
      <c r="E213" s="45">
        <v>-6.9506000000000004E-3</v>
      </c>
      <c r="F213" s="45">
        <v>1.5370999999999999E-2</v>
      </c>
      <c r="G213" s="45">
        <v>4.3927000000000001E-2</v>
      </c>
      <c r="H213" s="45">
        <v>-9.7896000000000007E-3</v>
      </c>
      <c r="I213" s="45">
        <v>2.7491E-3</v>
      </c>
      <c r="J213" s="45">
        <v>-2.9618999999999999E-3</v>
      </c>
      <c r="K213" s="45">
        <v>-3.0286000000000001E-4</v>
      </c>
    </row>
    <row r="214" spans="1:11" x14ac:dyDescent="0.3">
      <c r="A214" s="171">
        <v>578</v>
      </c>
      <c r="B214" s="45">
        <v>1.5161E-3</v>
      </c>
      <c r="C214" s="45">
        <v>-7.7680999999999996E-4</v>
      </c>
      <c r="D214" s="45">
        <v>4.3337000000000002E-3</v>
      </c>
      <c r="E214" s="45">
        <v>-5.6106999999999997E-3</v>
      </c>
      <c r="F214" s="45">
        <v>1.2093E-2</v>
      </c>
      <c r="G214" s="45">
        <v>4.6504999999999998E-2</v>
      </c>
      <c r="H214" s="45">
        <v>-1.0097E-2</v>
      </c>
      <c r="I214" s="45">
        <v>2.869E-3</v>
      </c>
      <c r="J214" s="45">
        <v>-3.0057999999999999E-3</v>
      </c>
      <c r="K214" s="45">
        <v>-3.3274999999999998E-4</v>
      </c>
    </row>
    <row r="215" spans="1:11" x14ac:dyDescent="0.3">
      <c r="A215" s="171">
        <v>579</v>
      </c>
      <c r="B215" s="45">
        <v>1.2753E-3</v>
      </c>
      <c r="C215" s="45">
        <v>-3.9688000000000001E-4</v>
      </c>
      <c r="D215" s="45">
        <v>3.7125999999999999E-3</v>
      </c>
      <c r="E215" s="45">
        <v>-4.2615999999999999E-3</v>
      </c>
      <c r="F215" s="45">
        <v>8.8613000000000008E-3</v>
      </c>
      <c r="G215" s="45">
        <v>4.8971000000000001E-2</v>
      </c>
      <c r="H215" s="45">
        <v>-1.0338999999999999E-2</v>
      </c>
      <c r="I215" s="45">
        <v>2.9689E-3</v>
      </c>
      <c r="J215" s="45">
        <v>-3.0444000000000001E-3</v>
      </c>
      <c r="K215" s="45">
        <v>-3.6256E-4</v>
      </c>
    </row>
    <row r="216" spans="1:11" x14ac:dyDescent="0.3">
      <c r="A216" s="171">
        <v>580</v>
      </c>
      <c r="B216" s="45">
        <v>1.0300000000000001E-3</v>
      </c>
      <c r="C216" s="45">
        <v>-1.7989E-5</v>
      </c>
      <c r="D216" s="45">
        <v>3.0858000000000001E-3</v>
      </c>
      <c r="E216" s="45">
        <v>-2.9133000000000002E-3</v>
      </c>
      <c r="F216" s="45">
        <v>5.6921000000000003E-3</v>
      </c>
      <c r="G216" s="45">
        <v>5.1310000000000001E-2</v>
      </c>
      <c r="H216" s="45">
        <v>-1.0513E-2</v>
      </c>
      <c r="I216" s="45">
        <v>3.0473000000000002E-3</v>
      </c>
      <c r="J216" s="45">
        <v>-3.0772999999999998E-3</v>
      </c>
      <c r="K216" s="45">
        <v>-3.9216000000000001E-4</v>
      </c>
    </row>
    <row r="217" spans="1:11" x14ac:dyDescent="0.3">
      <c r="A217" s="171">
        <v>581</v>
      </c>
      <c r="B217" s="45">
        <v>7.8193000000000002E-4</v>
      </c>
      <c r="C217" s="45">
        <v>3.5677000000000001E-4</v>
      </c>
      <c r="D217" s="45">
        <v>2.4580000000000001E-3</v>
      </c>
      <c r="E217" s="45">
        <v>-1.5758E-3</v>
      </c>
      <c r="F217" s="45">
        <v>2.6005999999999998E-3</v>
      </c>
      <c r="G217" s="45">
        <v>5.3509000000000001E-2</v>
      </c>
      <c r="H217" s="45">
        <v>-1.0612999999999999E-2</v>
      </c>
      <c r="I217" s="45">
        <v>3.1026000000000001E-3</v>
      </c>
      <c r="J217" s="45">
        <v>-3.1042000000000001E-3</v>
      </c>
      <c r="K217" s="45">
        <v>-4.2140999999999999E-4</v>
      </c>
    </row>
    <row r="218" spans="1:11" x14ac:dyDescent="0.3">
      <c r="A218" s="171">
        <v>582</v>
      </c>
      <c r="B218" s="45">
        <v>5.3319000000000001E-4</v>
      </c>
      <c r="C218" s="45">
        <v>7.2431999999999998E-4</v>
      </c>
      <c r="D218" s="45">
        <v>1.8341E-3</v>
      </c>
      <c r="E218" s="45">
        <v>-2.5891E-4</v>
      </c>
      <c r="F218" s="45">
        <v>-3.9793000000000001E-4</v>
      </c>
      <c r="G218" s="45">
        <v>5.5553999999999999E-2</v>
      </c>
      <c r="H218" s="45">
        <v>-1.0636E-2</v>
      </c>
      <c r="I218" s="45">
        <v>3.1334000000000002E-3</v>
      </c>
      <c r="J218" s="45">
        <v>-3.1248000000000001E-3</v>
      </c>
      <c r="K218" s="45">
        <v>-4.5018E-4</v>
      </c>
    </row>
    <row r="219" spans="1:11" x14ac:dyDescent="0.3">
      <c r="A219" s="171">
        <v>583</v>
      </c>
      <c r="B219" s="45">
        <v>2.8571E-4</v>
      </c>
      <c r="C219" s="45">
        <v>1.0816000000000001E-3</v>
      </c>
      <c r="D219" s="45">
        <v>1.2185E-3</v>
      </c>
      <c r="E219" s="45">
        <v>1.0279E-3</v>
      </c>
      <c r="F219" s="45">
        <v>-3.2889E-3</v>
      </c>
      <c r="G219" s="45">
        <v>5.7432999999999998E-2</v>
      </c>
      <c r="H219" s="45">
        <v>-1.0576E-2</v>
      </c>
      <c r="I219" s="45">
        <v>3.1384999999999998E-3</v>
      </c>
      <c r="J219" s="45">
        <v>-3.1384999999999998E-3</v>
      </c>
      <c r="K219" s="45">
        <v>-4.7833000000000001E-4</v>
      </c>
    </row>
    <row r="220" spans="1:11" x14ac:dyDescent="0.3">
      <c r="A220" s="171">
        <v>584</v>
      </c>
      <c r="B220" s="45">
        <v>4.1412999999999998E-5</v>
      </c>
      <c r="C220" s="45">
        <v>1.4258000000000001E-3</v>
      </c>
      <c r="D220" s="45">
        <v>6.1578000000000002E-4</v>
      </c>
      <c r="E220" s="45">
        <v>2.2753000000000001E-3</v>
      </c>
      <c r="F220" s="45">
        <v>-6.058E-3</v>
      </c>
      <c r="G220" s="45">
        <v>5.9133999999999999E-2</v>
      </c>
      <c r="H220" s="45">
        <v>-1.043E-2</v>
      </c>
      <c r="I220" s="45">
        <v>3.1167E-3</v>
      </c>
      <c r="J220" s="45">
        <v>-3.1453000000000002E-3</v>
      </c>
      <c r="K220" s="45">
        <v>-5.0571999999999998E-4</v>
      </c>
    </row>
    <row r="221" spans="1:11" x14ac:dyDescent="0.3">
      <c r="A221" s="171">
        <v>585</v>
      </c>
      <c r="B221" s="45">
        <v>-1.9778999999999999E-4</v>
      </c>
      <c r="C221" s="45">
        <v>1.7539999999999999E-3</v>
      </c>
      <c r="D221" s="45">
        <v>3.0244E-5</v>
      </c>
      <c r="E221" s="45">
        <v>3.4745000000000002E-3</v>
      </c>
      <c r="F221" s="45">
        <v>-8.6917000000000001E-3</v>
      </c>
      <c r="G221" s="45">
        <v>6.0645999999999999E-2</v>
      </c>
      <c r="H221" s="45">
        <v>-1.0194E-2</v>
      </c>
      <c r="I221" s="45">
        <v>3.0668000000000002E-3</v>
      </c>
      <c r="J221" s="45">
        <v>-3.1446E-3</v>
      </c>
      <c r="K221" s="45">
        <v>-5.3222999999999996E-4</v>
      </c>
    </row>
    <row r="222" spans="1:11" x14ac:dyDescent="0.3">
      <c r="A222" s="171">
        <v>586</v>
      </c>
      <c r="B222" s="45">
        <v>-4.3005000000000002E-4</v>
      </c>
      <c r="C222" s="45">
        <v>2.0636000000000001E-3</v>
      </c>
      <c r="D222" s="45">
        <v>-5.3399999999999997E-4</v>
      </c>
      <c r="E222" s="45">
        <v>4.6169999999999996E-3</v>
      </c>
      <c r="F222" s="45">
        <v>-1.1176999999999999E-2</v>
      </c>
      <c r="G222" s="45">
        <v>6.1956999999999998E-2</v>
      </c>
      <c r="H222" s="45">
        <v>-9.8659999999999998E-3</v>
      </c>
      <c r="I222" s="45">
        <v>2.9880000000000002E-3</v>
      </c>
      <c r="J222" s="45">
        <v>-3.1364000000000001E-3</v>
      </c>
      <c r="K222" s="45">
        <v>-5.5772999999999999E-4</v>
      </c>
    </row>
    <row r="223" spans="1:11" x14ac:dyDescent="0.3">
      <c r="A223" s="171">
        <v>587</v>
      </c>
      <c r="B223" s="45">
        <v>-6.5359999999999995E-4</v>
      </c>
      <c r="C223" s="45">
        <v>2.3519999999999999E-3</v>
      </c>
      <c r="D223" s="45">
        <v>-1.0731E-3</v>
      </c>
      <c r="E223" s="45">
        <v>5.6949000000000001E-3</v>
      </c>
      <c r="F223" s="45">
        <v>-1.3502E-2</v>
      </c>
      <c r="G223" s="45">
        <v>6.3058000000000003E-2</v>
      </c>
      <c r="H223" s="45">
        <v>-9.4417000000000008E-3</v>
      </c>
      <c r="I223" s="45">
        <v>2.8793999999999998E-3</v>
      </c>
      <c r="J223" s="45">
        <v>-3.1204000000000002E-3</v>
      </c>
      <c r="K223" s="45">
        <v>-5.8208999999999995E-4</v>
      </c>
    </row>
    <row r="224" spans="1:11" x14ac:dyDescent="0.3">
      <c r="A224" s="171">
        <v>588</v>
      </c>
      <c r="B224" s="45">
        <v>-8.6678999999999999E-4</v>
      </c>
      <c r="C224" s="45">
        <v>2.617E-3</v>
      </c>
      <c r="D224" s="45">
        <v>-1.5834E-3</v>
      </c>
      <c r="E224" s="45">
        <v>6.7010000000000004E-3</v>
      </c>
      <c r="F224" s="45">
        <v>-1.5657000000000001E-2</v>
      </c>
      <c r="G224" s="45">
        <v>6.3940999999999998E-2</v>
      </c>
      <c r="H224" s="45">
        <v>-8.9195999999999998E-3</v>
      </c>
      <c r="I224" s="45">
        <v>2.7404999999999999E-3</v>
      </c>
      <c r="J224" s="45">
        <v>-3.0964999999999999E-3</v>
      </c>
      <c r="K224" s="45">
        <v>-6.0519999999999997E-4</v>
      </c>
    </row>
    <row r="225" spans="1:11" x14ac:dyDescent="0.3">
      <c r="A225" s="171">
        <v>589</v>
      </c>
      <c r="B225" s="45">
        <v>-1.0681E-3</v>
      </c>
      <c r="C225" s="45">
        <v>2.8565999999999999E-3</v>
      </c>
      <c r="D225" s="45">
        <v>-2.0617999999999999E-3</v>
      </c>
      <c r="E225" s="45">
        <v>7.6287000000000004E-3</v>
      </c>
      <c r="F225" s="45">
        <v>-1.7631000000000001E-2</v>
      </c>
      <c r="G225" s="45">
        <v>6.4598000000000003E-2</v>
      </c>
      <c r="H225" s="45">
        <v>-8.2979000000000004E-3</v>
      </c>
      <c r="I225" s="45">
        <v>2.5711000000000002E-3</v>
      </c>
      <c r="J225" s="45">
        <v>-3.0645999999999998E-3</v>
      </c>
      <c r="K225" s="45">
        <v>-6.2695999999999997E-4</v>
      </c>
    </row>
    <row r="226" spans="1:11" x14ac:dyDescent="0.3">
      <c r="A226" s="171">
        <v>590</v>
      </c>
      <c r="B226" s="45">
        <v>-1.2562000000000001E-3</v>
      </c>
      <c r="C226" s="45">
        <v>3.0690000000000001E-3</v>
      </c>
      <c r="D226" s="45">
        <v>-2.5052E-3</v>
      </c>
      <c r="E226" s="45">
        <v>8.4723999999999997E-3</v>
      </c>
      <c r="F226" s="45">
        <v>-1.9415999999999999E-2</v>
      </c>
      <c r="G226" s="45">
        <v>6.5024999999999999E-2</v>
      </c>
      <c r="H226" s="45">
        <v>-7.5759E-3</v>
      </c>
      <c r="I226" s="45">
        <v>2.3709E-3</v>
      </c>
      <c r="J226" s="45">
        <v>-3.0247E-3</v>
      </c>
      <c r="K226" s="45">
        <v>-6.4725000000000004E-4</v>
      </c>
    </row>
    <row r="227" spans="1:11" x14ac:dyDescent="0.3">
      <c r="A227" s="171">
        <v>591</v>
      </c>
      <c r="B227" s="45">
        <v>-1.4300000000000001E-3</v>
      </c>
      <c r="C227" s="45">
        <v>3.2528000000000001E-3</v>
      </c>
      <c r="D227" s="45">
        <v>-2.9114000000000002E-3</v>
      </c>
      <c r="E227" s="45">
        <v>9.2274999999999996E-3</v>
      </c>
      <c r="F227" s="45">
        <v>-2.1007000000000001E-2</v>
      </c>
      <c r="G227" s="45">
        <v>6.5217999999999998E-2</v>
      </c>
      <c r="H227" s="45">
        <v>-6.7532E-3</v>
      </c>
      <c r="I227" s="45">
        <v>2.1402000000000001E-3</v>
      </c>
      <c r="J227" s="45">
        <v>-2.9767999999999999E-3</v>
      </c>
      <c r="K227" s="45">
        <v>-6.6598999999999998E-4</v>
      </c>
    </row>
    <row r="228" spans="1:11" x14ac:dyDescent="0.3">
      <c r="A228" s="171">
        <v>592</v>
      </c>
      <c r="B228" s="45">
        <v>-1.5885999999999999E-3</v>
      </c>
      <c r="C228" s="45">
        <v>3.4069999999999999E-3</v>
      </c>
      <c r="D228" s="45">
        <v>-3.2783999999999999E-3</v>
      </c>
      <c r="E228" s="45">
        <v>9.8905E-3</v>
      </c>
      <c r="F228" s="45">
        <v>-2.2398000000000001E-2</v>
      </c>
      <c r="G228" s="45">
        <v>6.5174999999999997E-2</v>
      </c>
      <c r="H228" s="45">
        <v>-5.8307999999999997E-3</v>
      </c>
      <c r="I228" s="45">
        <v>1.8795000000000001E-3</v>
      </c>
      <c r="J228" s="45">
        <v>-2.921E-3</v>
      </c>
      <c r="K228" s="45">
        <v>-6.8311999999999995E-4</v>
      </c>
    </row>
    <row r="229" spans="1:11" x14ac:dyDescent="0.3">
      <c r="A229" s="171">
        <v>593</v>
      </c>
      <c r="B229" s="45">
        <v>-1.7313000000000001E-3</v>
      </c>
      <c r="C229" s="45">
        <v>3.5309999999999999E-3</v>
      </c>
      <c r="D229" s="45">
        <v>-3.6048E-3</v>
      </c>
      <c r="E229" s="45">
        <v>1.0459E-2</v>
      </c>
      <c r="F229" s="45">
        <v>-2.3588000000000001E-2</v>
      </c>
      <c r="G229" s="45">
        <v>6.4896999999999996E-2</v>
      </c>
      <c r="H229" s="45">
        <v>-4.8103E-3</v>
      </c>
      <c r="I229" s="45">
        <v>1.5897000000000001E-3</v>
      </c>
      <c r="J229" s="45">
        <v>-2.8574999999999998E-3</v>
      </c>
      <c r="K229" s="45">
        <v>-6.9857000000000003E-4</v>
      </c>
    </row>
    <row r="230" spans="1:11" x14ac:dyDescent="0.3">
      <c r="A230" s="171">
        <v>594</v>
      </c>
      <c r="B230" s="45">
        <v>-1.8579E-3</v>
      </c>
      <c r="C230" s="45">
        <v>3.6246E-3</v>
      </c>
      <c r="D230" s="45">
        <v>-3.8896999999999998E-3</v>
      </c>
      <c r="E230" s="45">
        <v>1.0932000000000001E-2</v>
      </c>
      <c r="F230" s="45">
        <v>-2.4577000000000002E-2</v>
      </c>
      <c r="G230" s="45">
        <v>6.4385999999999999E-2</v>
      </c>
      <c r="H230" s="45">
        <v>-3.6941999999999999E-3</v>
      </c>
      <c r="I230" s="45">
        <v>1.2719000000000001E-3</v>
      </c>
      <c r="J230" s="45">
        <v>-2.7867E-3</v>
      </c>
      <c r="K230" s="45">
        <v>-7.1228999999999997E-4</v>
      </c>
    </row>
    <row r="231" spans="1:11" x14ac:dyDescent="0.3">
      <c r="A231" s="171">
        <v>595</v>
      </c>
      <c r="B231" s="45">
        <v>-1.9683000000000001E-3</v>
      </c>
      <c r="C231" s="45">
        <v>3.6881000000000001E-3</v>
      </c>
      <c r="D231" s="45">
        <v>-4.1326999999999996E-3</v>
      </c>
      <c r="E231" s="45">
        <v>1.1309E-2</v>
      </c>
      <c r="F231" s="45">
        <v>-2.5364999999999999E-2</v>
      </c>
      <c r="G231" s="45">
        <v>6.3646999999999995E-2</v>
      </c>
      <c r="H231" s="45">
        <v>-2.4862999999999999E-3</v>
      </c>
      <c r="I231" s="45">
        <v>9.2772000000000004E-4</v>
      </c>
      <c r="J231" s="45">
        <v>-2.7087999999999999E-3</v>
      </c>
      <c r="K231" s="45">
        <v>-7.2426000000000001E-4</v>
      </c>
    </row>
    <row r="232" spans="1:11" x14ac:dyDescent="0.3">
      <c r="A232" s="171">
        <v>596</v>
      </c>
      <c r="B232" s="45">
        <v>-2.0625999999999999E-3</v>
      </c>
      <c r="C232" s="45">
        <v>3.722E-3</v>
      </c>
      <c r="D232" s="45">
        <v>-4.3341999999999999E-3</v>
      </c>
      <c r="E232" s="45">
        <v>1.1591000000000001E-2</v>
      </c>
      <c r="F232" s="45">
        <v>-2.5957000000000001E-2</v>
      </c>
      <c r="G232" s="45">
        <v>6.2687000000000007E-2</v>
      </c>
      <c r="H232" s="45">
        <v>-1.191E-3</v>
      </c>
      <c r="I232" s="45">
        <v>5.5898000000000005E-4</v>
      </c>
      <c r="J232" s="45">
        <v>-2.6243E-3</v>
      </c>
      <c r="K232" s="45">
        <v>-7.3446000000000004E-4</v>
      </c>
    </row>
    <row r="233" spans="1:11" x14ac:dyDescent="0.3">
      <c r="A233" s="171">
        <v>597</v>
      </c>
      <c r="B233" s="45">
        <v>-2.1413999999999999E-3</v>
      </c>
      <c r="C233" s="45">
        <v>3.7272999999999998E-3</v>
      </c>
      <c r="D233" s="45">
        <v>-4.4946999999999999E-3</v>
      </c>
      <c r="E233" s="45">
        <v>1.1781E-2</v>
      </c>
      <c r="F233" s="45">
        <v>-2.6359E-2</v>
      </c>
      <c r="G233" s="45">
        <v>6.1515E-2</v>
      </c>
      <c r="H233" s="45">
        <v>1.8647E-4</v>
      </c>
      <c r="I233" s="45">
        <v>1.6780000000000001E-4</v>
      </c>
      <c r="J233" s="45">
        <v>-2.5338000000000001E-3</v>
      </c>
      <c r="K233" s="45">
        <v>-7.4288999999999996E-4</v>
      </c>
    </row>
    <row r="234" spans="1:11" x14ac:dyDescent="0.3">
      <c r="A234" s="171">
        <v>598</v>
      </c>
      <c r="B234" s="45">
        <v>-2.2051000000000002E-3</v>
      </c>
      <c r="C234" s="45">
        <v>3.7054000000000002E-3</v>
      </c>
      <c r="D234" s="45">
        <v>-4.6153000000000001E-3</v>
      </c>
      <c r="E234" s="45">
        <v>1.1882999999999999E-2</v>
      </c>
      <c r="F234" s="45">
        <v>-2.6577E-2</v>
      </c>
      <c r="G234" s="45">
        <v>6.0141E-2</v>
      </c>
      <c r="H234" s="45">
        <v>1.6401E-3</v>
      </c>
      <c r="I234" s="45">
        <v>-2.4342E-4</v>
      </c>
      <c r="J234" s="45">
        <v>-2.4377000000000001E-3</v>
      </c>
      <c r="K234" s="45">
        <v>-7.4954999999999998E-4</v>
      </c>
    </row>
    <row r="235" spans="1:11" x14ac:dyDescent="0.3">
      <c r="A235" s="171">
        <v>599</v>
      </c>
      <c r="B235" s="45">
        <v>-2.2545E-3</v>
      </c>
      <c r="C235" s="45">
        <v>3.6576999999999998E-3</v>
      </c>
      <c r="D235" s="45">
        <v>-4.6974E-3</v>
      </c>
      <c r="E235" s="45">
        <v>1.1898000000000001E-2</v>
      </c>
      <c r="F235" s="45">
        <v>-2.6619E-2</v>
      </c>
      <c r="G235" s="45">
        <v>5.8576999999999997E-2</v>
      </c>
      <c r="H235" s="45">
        <v>3.1635000000000001E-3</v>
      </c>
      <c r="I235" s="45">
        <v>-6.7210999999999996E-4</v>
      </c>
      <c r="J235" s="45">
        <v>-2.3368E-3</v>
      </c>
      <c r="K235" s="45">
        <v>-7.5445999999999998E-4</v>
      </c>
    </row>
    <row r="236" spans="1:11" x14ac:dyDescent="0.3">
      <c r="A236" s="171">
        <v>600</v>
      </c>
      <c r="B236" s="45">
        <v>-2.2904000000000002E-3</v>
      </c>
      <c r="C236" s="45">
        <v>3.5858999999999999E-3</v>
      </c>
      <c r="D236" s="45">
        <v>-4.7425000000000002E-3</v>
      </c>
      <c r="E236" s="45">
        <v>1.1833E-2</v>
      </c>
      <c r="F236" s="45">
        <v>-2.6495000000000001E-2</v>
      </c>
      <c r="G236" s="45">
        <v>5.6834999999999997E-2</v>
      </c>
      <c r="H236" s="45">
        <v>4.7495999999999997E-3</v>
      </c>
      <c r="I236" s="45">
        <v>-1.1155E-3</v>
      </c>
      <c r="J236" s="45">
        <v>-2.2315E-3</v>
      </c>
      <c r="K236" s="45">
        <v>-7.5763999999999996E-4</v>
      </c>
    </row>
    <row r="237" spans="1:11" x14ac:dyDescent="0.3">
      <c r="A237" s="171">
        <v>601</v>
      </c>
      <c r="B237" s="45">
        <v>-2.3138E-3</v>
      </c>
      <c r="C237" s="45">
        <v>3.4919E-3</v>
      </c>
      <c r="D237" s="45">
        <v>-4.7524999999999998E-3</v>
      </c>
      <c r="E237" s="45">
        <v>1.1691E-2</v>
      </c>
      <c r="F237" s="45">
        <v>-2.6214999999999999E-2</v>
      </c>
      <c r="G237" s="45">
        <v>5.4926999999999997E-2</v>
      </c>
      <c r="H237" s="45">
        <v>6.3912999999999999E-3</v>
      </c>
      <c r="I237" s="45">
        <v>-1.5709000000000001E-3</v>
      </c>
      <c r="J237" s="45">
        <v>-2.1226999999999999E-3</v>
      </c>
      <c r="K237" s="45">
        <v>-7.5911999999999996E-4</v>
      </c>
    </row>
    <row r="238" spans="1:11" x14ac:dyDescent="0.3">
      <c r="A238" s="171">
        <v>602</v>
      </c>
      <c r="B238" s="45">
        <v>-2.3254E-3</v>
      </c>
      <c r="C238" s="45">
        <v>3.3774E-3</v>
      </c>
      <c r="D238" s="45">
        <v>-4.7293999999999999E-3</v>
      </c>
      <c r="E238" s="45">
        <v>1.1478E-2</v>
      </c>
      <c r="F238" s="45">
        <v>-2.5787999999999998E-2</v>
      </c>
      <c r="G238" s="45">
        <v>5.2868999999999999E-2</v>
      </c>
      <c r="H238" s="45">
        <v>8.0811000000000008E-3</v>
      </c>
      <c r="I238" s="45">
        <v>-2.0352E-3</v>
      </c>
      <c r="J238" s="45">
        <v>-2.0111E-3</v>
      </c>
      <c r="K238" s="45">
        <v>-7.5891999999999995E-4</v>
      </c>
    </row>
    <row r="239" spans="1:11" x14ac:dyDescent="0.3">
      <c r="A239" s="171">
        <v>603</v>
      </c>
      <c r="B239" s="45">
        <v>-2.3262000000000001E-3</v>
      </c>
      <c r="C239" s="45">
        <v>3.2445E-3</v>
      </c>
      <c r="D239" s="45">
        <v>-4.6750999999999997E-3</v>
      </c>
      <c r="E239" s="45">
        <v>1.1199000000000001E-2</v>
      </c>
      <c r="F239" s="45">
        <v>-2.5225000000000001E-2</v>
      </c>
      <c r="G239" s="45">
        <v>5.0673000000000003E-2</v>
      </c>
      <c r="H239" s="45">
        <v>9.8115000000000008E-3</v>
      </c>
      <c r="I239" s="45">
        <v>-2.5054000000000001E-3</v>
      </c>
      <c r="J239" s="45">
        <v>-1.8971999999999999E-3</v>
      </c>
      <c r="K239" s="45">
        <v>-7.5708000000000004E-4</v>
      </c>
    </row>
    <row r="240" spans="1:11" x14ac:dyDescent="0.3">
      <c r="A240" s="171">
        <v>604</v>
      </c>
      <c r="B240" s="45">
        <v>-2.3170999999999999E-3</v>
      </c>
      <c r="C240" s="45">
        <v>3.0952000000000002E-3</v>
      </c>
      <c r="D240" s="45">
        <v>-4.5919000000000003E-3</v>
      </c>
      <c r="E240" s="45">
        <v>1.0859000000000001E-2</v>
      </c>
      <c r="F240" s="45">
        <v>-2.4538000000000001E-2</v>
      </c>
      <c r="G240" s="45">
        <v>4.8355000000000002E-2</v>
      </c>
      <c r="H240" s="45">
        <v>1.1575E-2</v>
      </c>
      <c r="I240" s="45">
        <v>-2.9786999999999999E-3</v>
      </c>
      <c r="J240" s="45">
        <v>-1.7819999999999999E-3</v>
      </c>
      <c r="K240" s="45">
        <v>-7.5361999999999998E-4</v>
      </c>
    </row>
    <row r="241" spans="1:11" x14ac:dyDescent="0.3">
      <c r="A241" s="171">
        <v>605</v>
      </c>
      <c r="B241" s="45">
        <v>-2.2989E-3</v>
      </c>
      <c r="C241" s="45">
        <v>2.9313E-3</v>
      </c>
      <c r="D241" s="45">
        <v>-4.4818999999999996E-3</v>
      </c>
      <c r="E241" s="45">
        <v>1.0465E-2</v>
      </c>
      <c r="F241" s="45">
        <v>-2.3736E-2</v>
      </c>
      <c r="G241" s="45">
        <v>4.5927000000000003E-2</v>
      </c>
      <c r="H241" s="45">
        <v>1.3363E-2</v>
      </c>
      <c r="I241" s="45">
        <v>-3.4518999999999999E-3</v>
      </c>
      <c r="J241" s="45">
        <v>-1.6659999999999999E-3</v>
      </c>
      <c r="K241" s="45">
        <v>-7.4857000000000005E-4</v>
      </c>
    </row>
    <row r="242" spans="1:11" x14ac:dyDescent="0.3">
      <c r="A242" s="171">
        <v>606</v>
      </c>
      <c r="B242" s="45">
        <v>-2.2721999999999998E-3</v>
      </c>
      <c r="C242" s="45">
        <v>2.7548999999999998E-3</v>
      </c>
      <c r="D242" s="45">
        <v>-4.3474000000000004E-3</v>
      </c>
      <c r="E242" s="45">
        <v>1.0019999999999999E-2</v>
      </c>
      <c r="F242" s="45">
        <v>-2.2831000000000001E-2</v>
      </c>
      <c r="G242" s="45">
        <v>4.3404999999999999E-2</v>
      </c>
      <c r="H242" s="45">
        <v>1.5169E-2</v>
      </c>
      <c r="I242" s="45">
        <v>-3.9220000000000001E-3</v>
      </c>
      <c r="J242" s="45">
        <v>-1.5501E-3</v>
      </c>
      <c r="K242" s="45">
        <v>-7.4197E-4</v>
      </c>
    </row>
    <row r="243" spans="1:11" x14ac:dyDescent="0.3">
      <c r="A243" s="171">
        <v>607</v>
      </c>
      <c r="B243" s="45">
        <v>-2.238E-3</v>
      </c>
      <c r="C243" s="45">
        <v>2.5677999999999999E-3</v>
      </c>
      <c r="D243" s="45">
        <v>-4.1906000000000001E-3</v>
      </c>
      <c r="E243" s="45">
        <v>9.5312000000000001E-3</v>
      </c>
      <c r="F243" s="45">
        <v>-2.1833999999999999E-2</v>
      </c>
      <c r="G243" s="45">
        <v>4.0802999999999999E-2</v>
      </c>
      <c r="H243" s="45">
        <v>1.6983999999999999E-2</v>
      </c>
      <c r="I243" s="45">
        <v>-4.3860000000000001E-3</v>
      </c>
      <c r="J243" s="45">
        <v>-1.4349E-3</v>
      </c>
      <c r="K243" s="45">
        <v>-7.3384000000000003E-4</v>
      </c>
    </row>
    <row r="244" spans="1:11" x14ac:dyDescent="0.3">
      <c r="A244" s="171">
        <v>608</v>
      </c>
      <c r="B244" s="45">
        <v>-2.1968999999999999E-3</v>
      </c>
      <c r="C244" s="45">
        <v>2.372E-3</v>
      </c>
      <c r="D244" s="45">
        <v>-4.0136E-3</v>
      </c>
      <c r="E244" s="45">
        <v>9.0037999999999993E-3</v>
      </c>
      <c r="F244" s="45">
        <v>-2.0754000000000002E-2</v>
      </c>
      <c r="G244" s="45">
        <v>3.8134000000000001E-2</v>
      </c>
      <c r="H244" s="45">
        <v>1.8801999999999999E-2</v>
      </c>
      <c r="I244" s="45">
        <v>-4.8409000000000004E-3</v>
      </c>
      <c r="J244" s="45">
        <v>-1.3213000000000001E-3</v>
      </c>
      <c r="K244" s="45">
        <v>-7.2422000000000003E-4</v>
      </c>
    </row>
    <row r="245" spans="1:11" x14ac:dyDescent="0.3">
      <c r="A245" s="171">
        <v>609</v>
      </c>
      <c r="B245" s="45">
        <v>-2.1492999999999998E-3</v>
      </c>
      <c r="C245" s="45">
        <v>2.1694000000000001E-3</v>
      </c>
      <c r="D245" s="45">
        <v>-3.8187999999999998E-3</v>
      </c>
      <c r="E245" s="45">
        <v>8.4430000000000009E-3</v>
      </c>
      <c r="F245" s="45">
        <v>-1.9604E-2</v>
      </c>
      <c r="G245" s="45">
        <v>3.5413E-2</v>
      </c>
      <c r="H245" s="45">
        <v>2.0614E-2</v>
      </c>
      <c r="I245" s="45">
        <v>-5.2838E-3</v>
      </c>
      <c r="J245" s="45">
        <v>-1.2098E-3</v>
      </c>
      <c r="K245" s="45">
        <v>-7.1312999999999997E-4</v>
      </c>
    </row>
    <row r="246" spans="1:11" x14ac:dyDescent="0.3">
      <c r="A246" s="171">
        <v>610</v>
      </c>
      <c r="B246" s="45">
        <v>-2.0960000000000002E-3</v>
      </c>
      <c r="C246" s="45">
        <v>1.9616E-3</v>
      </c>
      <c r="D246" s="45">
        <v>-3.6082000000000002E-3</v>
      </c>
      <c r="E246" s="45">
        <v>7.8542000000000004E-3</v>
      </c>
      <c r="F246" s="45">
        <v>-1.8391999999999999E-2</v>
      </c>
      <c r="G246" s="45">
        <v>3.2652E-2</v>
      </c>
      <c r="H246" s="45">
        <v>2.2414E-2</v>
      </c>
      <c r="I246" s="45">
        <v>-5.7118000000000004E-3</v>
      </c>
      <c r="J246" s="45">
        <v>-1.1012999999999999E-3</v>
      </c>
      <c r="K246" s="45">
        <v>-7.0060000000000001E-4</v>
      </c>
    </row>
    <row r="247" spans="1:11" x14ac:dyDescent="0.3">
      <c r="A247" s="171">
        <v>611</v>
      </c>
      <c r="B247" s="45">
        <v>-2.0373000000000001E-3</v>
      </c>
      <c r="C247" s="45">
        <v>1.7503E-3</v>
      </c>
      <c r="D247" s="45">
        <v>-3.3839999999999999E-3</v>
      </c>
      <c r="E247" s="45">
        <v>7.2424999999999998E-3</v>
      </c>
      <c r="F247" s="45">
        <v>-1.7128999999999998E-2</v>
      </c>
      <c r="G247" s="45">
        <v>2.9864999999999999E-2</v>
      </c>
      <c r="H247" s="45">
        <v>2.4192999999999999E-2</v>
      </c>
      <c r="I247" s="45">
        <v>-6.1219999999999998E-3</v>
      </c>
      <c r="J247" s="45">
        <v>-9.9628E-4</v>
      </c>
      <c r="K247" s="45">
        <v>-6.8665999999999996E-4</v>
      </c>
    </row>
    <row r="248" spans="1:11" x14ac:dyDescent="0.3">
      <c r="A248" s="171">
        <v>612</v>
      </c>
      <c r="B248" s="45">
        <v>-1.9735999999999998E-3</v>
      </c>
      <c r="C248" s="45">
        <v>1.5372000000000001E-3</v>
      </c>
      <c r="D248" s="45">
        <v>-3.1483000000000001E-3</v>
      </c>
      <c r="E248" s="45">
        <v>6.613E-3</v>
      </c>
      <c r="F248" s="45">
        <v>-1.5824999999999999E-2</v>
      </c>
      <c r="G248" s="45">
        <v>2.7066E-2</v>
      </c>
      <c r="H248" s="45">
        <v>2.5946E-2</v>
      </c>
      <c r="I248" s="45">
        <v>-6.5116000000000002E-3</v>
      </c>
      <c r="J248" s="45">
        <v>-8.9554999999999995E-4</v>
      </c>
      <c r="K248" s="45">
        <v>-6.7135000000000003E-4</v>
      </c>
    </row>
    <row r="249" spans="1:11" x14ac:dyDescent="0.3">
      <c r="A249" s="171">
        <v>613</v>
      </c>
      <c r="B249" s="45">
        <v>-1.9053E-3</v>
      </c>
      <c r="C249" s="45">
        <v>1.3238E-3</v>
      </c>
      <c r="D249" s="45">
        <v>-2.9030000000000002E-3</v>
      </c>
      <c r="E249" s="45">
        <v>5.9703999999999998E-3</v>
      </c>
      <c r="F249" s="45">
        <v>-1.4489E-2</v>
      </c>
      <c r="G249" s="45">
        <v>2.4264999999999998E-2</v>
      </c>
      <c r="H249" s="45">
        <v>2.7664999999999999E-2</v>
      </c>
      <c r="I249" s="45">
        <v>-6.8780000000000004E-3</v>
      </c>
      <c r="J249" s="45">
        <v>-7.9971000000000003E-4</v>
      </c>
      <c r="K249" s="45">
        <v>-6.5468000000000004E-4</v>
      </c>
    </row>
    <row r="250" spans="1:11" x14ac:dyDescent="0.3">
      <c r="A250" s="171">
        <v>614</v>
      </c>
      <c r="B250" s="45">
        <v>-1.8324999999999999E-3</v>
      </c>
      <c r="C250" s="45">
        <v>1.1115000000000001E-3</v>
      </c>
      <c r="D250" s="45">
        <v>-2.6500999999999999E-3</v>
      </c>
      <c r="E250" s="45">
        <v>5.3194999999999996E-3</v>
      </c>
      <c r="F250" s="45">
        <v>-1.3129999999999999E-2</v>
      </c>
      <c r="G250" s="45">
        <v>2.1475999999999999E-2</v>
      </c>
      <c r="H250" s="45">
        <v>2.9343000000000001E-2</v>
      </c>
      <c r="I250" s="45">
        <v>-7.2186000000000004E-3</v>
      </c>
      <c r="J250" s="45">
        <v>-7.0934999999999998E-4</v>
      </c>
      <c r="K250" s="45">
        <v>-6.3670000000000003E-4</v>
      </c>
    </row>
    <row r="251" spans="1:11" x14ac:dyDescent="0.3">
      <c r="A251" s="171">
        <v>615</v>
      </c>
      <c r="B251" s="45">
        <v>-1.7554999999999999E-3</v>
      </c>
      <c r="C251" s="45">
        <v>9.0165000000000004E-4</v>
      </c>
      <c r="D251" s="45">
        <v>-2.3914000000000001E-3</v>
      </c>
      <c r="E251" s="45">
        <v>4.6646999999999999E-3</v>
      </c>
      <c r="F251" s="45">
        <v>-1.1757E-2</v>
      </c>
      <c r="G251" s="45">
        <v>1.8710000000000001E-2</v>
      </c>
      <c r="H251" s="45">
        <v>3.0974000000000002E-2</v>
      </c>
      <c r="I251" s="45">
        <v>-7.5309000000000001E-3</v>
      </c>
      <c r="J251" s="45">
        <v>-6.2503999999999999E-4</v>
      </c>
      <c r="K251" s="45">
        <v>-6.1742000000000003E-4</v>
      </c>
    </row>
    <row r="252" spans="1:11" x14ac:dyDescent="0.3">
      <c r="A252" s="171">
        <v>616</v>
      </c>
      <c r="B252" s="45">
        <v>-1.6743000000000001E-3</v>
      </c>
      <c r="C252" s="45">
        <v>6.9539000000000005E-4</v>
      </c>
      <c r="D252" s="45">
        <v>-2.1286999999999999E-3</v>
      </c>
      <c r="E252" s="45">
        <v>4.0100999999999999E-3</v>
      </c>
      <c r="F252" s="45">
        <v>-1.0378E-2</v>
      </c>
      <c r="G252" s="45">
        <v>1.5977000000000002E-2</v>
      </c>
      <c r="H252" s="45">
        <v>3.2551999999999998E-2</v>
      </c>
      <c r="I252" s="45">
        <v>-7.8125E-3</v>
      </c>
      <c r="J252" s="45">
        <v>-5.4732999999999995E-4</v>
      </c>
      <c r="K252" s="45">
        <v>-5.9688999999999999E-4</v>
      </c>
    </row>
    <row r="253" spans="1:11" x14ac:dyDescent="0.3">
      <c r="A253" s="171">
        <v>617</v>
      </c>
      <c r="B253" s="45">
        <v>-1.5889999999999999E-3</v>
      </c>
      <c r="C253" s="45">
        <v>4.9379999999999997E-4</v>
      </c>
      <c r="D253" s="45">
        <v>-1.8636E-3</v>
      </c>
      <c r="E253" s="45">
        <v>3.3597000000000002E-3</v>
      </c>
      <c r="F253" s="45">
        <v>-9.0001999999999999E-3</v>
      </c>
      <c r="G253" s="45">
        <v>1.3289E-2</v>
      </c>
      <c r="H253" s="45">
        <v>3.4071999999999998E-2</v>
      </c>
      <c r="I253" s="45">
        <v>-8.0611999999999993E-3</v>
      </c>
      <c r="J253" s="45">
        <v>-4.7669999999999999E-4</v>
      </c>
      <c r="K253" s="45">
        <v>-5.7512999999999998E-4</v>
      </c>
    </row>
    <row r="254" spans="1:11" x14ac:dyDescent="0.3">
      <c r="A254" s="171">
        <v>618</v>
      </c>
      <c r="B254" s="45">
        <v>-1.4996E-3</v>
      </c>
      <c r="C254" s="45">
        <v>2.9785E-4</v>
      </c>
      <c r="D254" s="45">
        <v>-1.5975E-3</v>
      </c>
      <c r="E254" s="45">
        <v>2.7171999999999999E-3</v>
      </c>
      <c r="F254" s="45">
        <v>-7.6309999999999998E-3</v>
      </c>
      <c r="G254" s="45">
        <v>1.0652999999999999E-2</v>
      </c>
      <c r="H254" s="45">
        <v>3.5527000000000003E-2</v>
      </c>
      <c r="I254" s="45">
        <v>-8.2749E-3</v>
      </c>
      <c r="J254" s="45">
        <v>-4.1361000000000002E-4</v>
      </c>
      <c r="K254" s="45">
        <v>-5.5219000000000004E-4</v>
      </c>
    </row>
    <row r="255" spans="1:11" x14ac:dyDescent="0.3">
      <c r="A255" s="171">
        <v>619</v>
      </c>
      <c r="B255" s="45">
        <v>-1.4059999999999999E-3</v>
      </c>
      <c r="C255" s="45">
        <v>1.0836E-4</v>
      </c>
      <c r="D255" s="45">
        <v>-1.3320000000000001E-3</v>
      </c>
      <c r="E255" s="45">
        <v>2.0858999999999999E-3</v>
      </c>
      <c r="F255" s="45">
        <v>-6.2773000000000004E-3</v>
      </c>
      <c r="G255" s="45">
        <v>8.0803000000000003E-3</v>
      </c>
      <c r="H255" s="45">
        <v>3.6913000000000001E-2</v>
      </c>
      <c r="I255" s="45">
        <v>-8.4516000000000001E-3</v>
      </c>
      <c r="J255" s="45">
        <v>-3.5844000000000002E-4</v>
      </c>
      <c r="K255" s="45">
        <v>-5.2809999999999999E-4</v>
      </c>
    </row>
    <row r="256" spans="1:11" x14ac:dyDescent="0.3">
      <c r="A256" s="171">
        <v>620</v>
      </c>
      <c r="B256" s="45">
        <v>-1.3081E-3</v>
      </c>
      <c r="C256" s="45">
        <v>-7.3972000000000003E-5</v>
      </c>
      <c r="D256" s="45">
        <v>-1.0681E-3</v>
      </c>
      <c r="E256" s="45">
        <v>1.4687999999999999E-3</v>
      </c>
      <c r="F256" s="45">
        <v>-4.9449000000000003E-3</v>
      </c>
      <c r="G256" s="45">
        <v>5.5779999999999996E-3</v>
      </c>
      <c r="H256" s="45">
        <v>3.8224000000000001E-2</v>
      </c>
      <c r="I256" s="45">
        <v>-8.5895999999999993E-3</v>
      </c>
      <c r="J256" s="45">
        <v>-3.1155000000000001E-4</v>
      </c>
      <c r="K256" s="45">
        <v>-5.0288999999999998E-4</v>
      </c>
    </row>
    <row r="257" spans="1:11" x14ac:dyDescent="0.3">
      <c r="A257" s="171">
        <v>621</v>
      </c>
      <c r="B257" s="45">
        <v>-1.2057000000000001E-3</v>
      </c>
      <c r="C257" s="45">
        <v>-2.4854E-4</v>
      </c>
      <c r="D257" s="45">
        <v>-8.072E-4</v>
      </c>
      <c r="E257" s="45">
        <v>8.6883000000000001E-4</v>
      </c>
      <c r="F257" s="45">
        <v>-3.6396000000000002E-3</v>
      </c>
      <c r="G257" s="45">
        <v>3.1538E-3</v>
      </c>
      <c r="H257" s="45">
        <v>3.9458E-2</v>
      </c>
      <c r="I257" s="45">
        <v>-8.6872000000000008E-3</v>
      </c>
      <c r="J257" s="45">
        <v>-2.7324000000000001E-4</v>
      </c>
      <c r="K257" s="45">
        <v>-4.7661999999999997E-4</v>
      </c>
    </row>
    <row r="258" spans="1:11" x14ac:dyDescent="0.3">
      <c r="A258" s="171">
        <v>622</v>
      </c>
      <c r="B258" s="45">
        <v>-1.0988E-3</v>
      </c>
      <c r="C258" s="45">
        <v>-4.1483999999999998E-4</v>
      </c>
      <c r="D258" s="45">
        <v>-5.5013999999999996E-4</v>
      </c>
      <c r="E258" s="45">
        <v>2.8837999999999997E-4</v>
      </c>
      <c r="F258" s="45">
        <v>-2.3663E-3</v>
      </c>
      <c r="G258" s="45">
        <v>8.1455999999999998E-4</v>
      </c>
      <c r="H258" s="45">
        <v>4.0608999999999999E-2</v>
      </c>
      <c r="I258" s="45">
        <v>-8.7430000000000008E-3</v>
      </c>
      <c r="J258" s="45">
        <v>-2.4377000000000001E-4</v>
      </c>
      <c r="K258" s="45">
        <v>-4.4931000000000002E-4</v>
      </c>
    </row>
    <row r="259" spans="1:11" x14ac:dyDescent="0.3">
      <c r="A259" s="171">
        <v>623</v>
      </c>
      <c r="B259" s="45">
        <v>-9.8722999999999997E-4</v>
      </c>
      <c r="C259" s="45">
        <v>-5.7246E-4</v>
      </c>
      <c r="D259" s="45">
        <v>-2.9788999999999998E-4</v>
      </c>
      <c r="E259" s="45">
        <v>-2.7032E-4</v>
      </c>
      <c r="F259" s="45">
        <v>-1.1295999999999999E-3</v>
      </c>
      <c r="G259" s="45">
        <v>-1.4337E-3</v>
      </c>
      <c r="H259" s="45">
        <v>4.1673000000000002E-2</v>
      </c>
      <c r="I259" s="45">
        <v>-8.7556000000000005E-3</v>
      </c>
      <c r="J259" s="45">
        <v>-2.2335000000000001E-4</v>
      </c>
      <c r="K259" s="45">
        <v>-4.2101999999999998E-4</v>
      </c>
    </row>
    <row r="260" spans="1:11" x14ac:dyDescent="0.3">
      <c r="A260" s="171">
        <v>624</v>
      </c>
      <c r="B260" s="45">
        <v>-8.7096000000000005E-4</v>
      </c>
      <c r="C260" s="45">
        <v>-7.2101000000000001E-4</v>
      </c>
      <c r="D260" s="45">
        <v>-5.1242999999999997E-5</v>
      </c>
      <c r="E260" s="45">
        <v>-8.0531999999999999E-4</v>
      </c>
      <c r="F260" s="45">
        <v>6.6495999999999995E-5</v>
      </c>
      <c r="G260" s="45">
        <v>-3.5855000000000001E-3</v>
      </c>
      <c r="H260" s="45">
        <v>4.2648999999999999E-2</v>
      </c>
      <c r="I260" s="45">
        <v>-8.7238999999999997E-3</v>
      </c>
      <c r="J260" s="45">
        <v>-2.1215000000000001E-4</v>
      </c>
      <c r="K260" s="45">
        <v>-3.9177999999999999E-4</v>
      </c>
    </row>
    <row r="261" spans="1:11" x14ac:dyDescent="0.3">
      <c r="A261" s="171">
        <v>625</v>
      </c>
      <c r="B261" s="45">
        <v>-7.5002000000000001E-4</v>
      </c>
      <c r="C261" s="45">
        <v>-8.6014999999999996E-4</v>
      </c>
      <c r="D261" s="45">
        <v>1.8906000000000001E-4</v>
      </c>
      <c r="E261" s="45">
        <v>-1.3148999999999999E-3</v>
      </c>
      <c r="F261" s="45">
        <v>1.2183999999999999E-3</v>
      </c>
      <c r="G261" s="45">
        <v>-5.6360000000000004E-3</v>
      </c>
      <c r="H261" s="45">
        <v>4.3533000000000002E-2</v>
      </c>
      <c r="I261" s="45">
        <v>-8.6469000000000008E-3</v>
      </c>
      <c r="J261" s="45">
        <v>-2.1031000000000001E-4</v>
      </c>
      <c r="K261" s="45">
        <v>-3.6163999999999999E-4</v>
      </c>
    </row>
    <row r="262" spans="1:11" x14ac:dyDescent="0.3">
      <c r="A262" s="171">
        <v>626</v>
      </c>
      <c r="B262" s="45">
        <v>-6.2456000000000002E-4</v>
      </c>
      <c r="C262" s="45">
        <v>-9.8949999999999993E-4</v>
      </c>
      <c r="D262" s="45">
        <v>4.2237999999999998E-4</v>
      </c>
      <c r="E262" s="45">
        <v>-1.7975000000000001E-3</v>
      </c>
      <c r="F262" s="45">
        <v>2.3230999999999998E-3</v>
      </c>
      <c r="G262" s="45">
        <v>-7.5811000000000003E-3</v>
      </c>
      <c r="H262" s="45">
        <v>4.4322E-2</v>
      </c>
      <c r="I262" s="45">
        <v>-8.5237000000000004E-3</v>
      </c>
      <c r="J262" s="45">
        <v>-2.1793999999999999E-4</v>
      </c>
      <c r="K262" s="45">
        <v>-3.3062E-4</v>
      </c>
    </row>
    <row r="263" spans="1:11" x14ac:dyDescent="0.3">
      <c r="A263" s="171">
        <v>627</v>
      </c>
      <c r="B263" s="45">
        <v>-4.9489E-4</v>
      </c>
      <c r="C263" s="45">
        <v>-1.1087E-3</v>
      </c>
      <c r="D263" s="45">
        <v>6.4807999999999999E-4</v>
      </c>
      <c r="E263" s="45">
        <v>-2.2518E-3</v>
      </c>
      <c r="F263" s="45">
        <v>3.3774999999999999E-3</v>
      </c>
      <c r="G263" s="45">
        <v>-9.4170999999999994E-3</v>
      </c>
      <c r="H263" s="45">
        <v>4.5013999999999998E-2</v>
      </c>
      <c r="I263" s="45">
        <v>-8.3535999999999992E-3</v>
      </c>
      <c r="J263" s="45">
        <v>-2.3514E-4</v>
      </c>
      <c r="K263" s="45">
        <v>-2.9877000000000001E-4</v>
      </c>
    </row>
    <row r="264" spans="1:11" x14ac:dyDescent="0.3">
      <c r="A264" s="171">
        <v>628</v>
      </c>
      <c r="B264" s="45">
        <v>-3.6151E-4</v>
      </c>
      <c r="C264" s="45">
        <v>-1.2171E-3</v>
      </c>
      <c r="D264" s="45">
        <v>8.6563000000000005E-4</v>
      </c>
      <c r="E264" s="45">
        <v>-2.6765000000000001E-3</v>
      </c>
      <c r="F264" s="45">
        <v>4.3794999999999997E-3</v>
      </c>
      <c r="G264" s="45">
        <v>-1.1141E-2</v>
      </c>
      <c r="H264" s="45">
        <v>4.5608999999999997E-2</v>
      </c>
      <c r="I264" s="45">
        <v>-8.1361000000000003E-3</v>
      </c>
      <c r="J264" s="45">
        <v>-2.6197999999999998E-4</v>
      </c>
      <c r="K264" s="45">
        <v>-2.6610000000000002E-4</v>
      </c>
    </row>
    <row r="265" spans="1:11" x14ac:dyDescent="0.3">
      <c r="A265" s="171">
        <v>629</v>
      </c>
      <c r="B265" s="45">
        <v>-2.251E-4</v>
      </c>
      <c r="C265" s="45">
        <v>-1.3144000000000001E-3</v>
      </c>
      <c r="D265" s="45">
        <v>1.0744999999999999E-3</v>
      </c>
      <c r="E265" s="45">
        <v>-3.0707E-3</v>
      </c>
      <c r="F265" s="45">
        <v>5.3267999999999996E-3</v>
      </c>
      <c r="G265" s="45">
        <v>-1.2749999999999999E-2</v>
      </c>
      <c r="H265" s="45">
        <v>4.6102999999999998E-2</v>
      </c>
      <c r="I265" s="45">
        <v>-7.8706000000000002E-3</v>
      </c>
      <c r="J265" s="45">
        <v>-2.9850999999999999E-4</v>
      </c>
      <c r="K265" s="45">
        <v>-2.3264E-4</v>
      </c>
    </row>
    <row r="266" spans="1:11" x14ac:dyDescent="0.3">
      <c r="A266" s="171">
        <v>630</v>
      </c>
      <c r="B266" s="45">
        <v>-8.6562000000000002E-5</v>
      </c>
      <c r="C266" s="45">
        <v>-1.3997E-3</v>
      </c>
      <c r="D266" s="45">
        <v>1.2741E-3</v>
      </c>
      <c r="E266" s="45">
        <v>-3.4334000000000001E-3</v>
      </c>
      <c r="F266" s="45">
        <v>6.2176999999999996E-3</v>
      </c>
      <c r="G266" s="45">
        <v>-1.4241999999999999E-2</v>
      </c>
      <c r="H266" s="45">
        <v>4.6497999999999998E-2</v>
      </c>
      <c r="I266" s="45">
        <v>-7.5570000000000003E-3</v>
      </c>
      <c r="J266" s="45">
        <v>-3.4477999999999999E-4</v>
      </c>
      <c r="K266" s="45">
        <v>-1.9840999999999999E-4</v>
      </c>
    </row>
    <row r="267" spans="1:11" x14ac:dyDescent="0.3">
      <c r="A267" s="171">
        <v>631</v>
      </c>
      <c r="B267" s="45">
        <v>5.3075000000000003E-5</v>
      </c>
      <c r="C267" s="45">
        <v>-1.4725000000000001E-3</v>
      </c>
      <c r="D267" s="45">
        <v>1.4641000000000001E-3</v>
      </c>
      <c r="E267" s="45">
        <v>-3.7639000000000001E-3</v>
      </c>
      <c r="F267" s="45">
        <v>7.0508000000000003E-3</v>
      </c>
      <c r="G267" s="45">
        <v>-1.5617000000000001E-2</v>
      </c>
      <c r="H267" s="45">
        <v>4.6790999999999999E-2</v>
      </c>
      <c r="I267" s="45">
        <v>-7.195E-3</v>
      </c>
      <c r="J267" s="45">
        <v>-4.0079999999999998E-4</v>
      </c>
      <c r="K267" s="45">
        <v>-1.6343E-4</v>
      </c>
    </row>
    <row r="268" spans="1:11" x14ac:dyDescent="0.3">
      <c r="A268" s="171">
        <v>632</v>
      </c>
      <c r="B268" s="45">
        <v>1.9265999999999999E-4</v>
      </c>
      <c r="C268" s="45">
        <v>-1.5319999999999999E-3</v>
      </c>
      <c r="D268" s="45">
        <v>1.6440000000000001E-3</v>
      </c>
      <c r="E268" s="45">
        <v>-4.0615E-3</v>
      </c>
      <c r="F268" s="45">
        <v>7.8247999999999998E-3</v>
      </c>
      <c r="G268" s="45">
        <v>-1.6871000000000001E-2</v>
      </c>
      <c r="H268" s="45">
        <v>4.6982999999999997E-2</v>
      </c>
      <c r="I268" s="45">
        <v>-6.7849E-3</v>
      </c>
      <c r="J268" s="45">
        <v>-4.6654999999999998E-4</v>
      </c>
      <c r="K268" s="45">
        <v>-1.2769999999999999E-4</v>
      </c>
    </row>
    <row r="269" spans="1:11" x14ac:dyDescent="0.3">
      <c r="A269" s="171">
        <v>633</v>
      </c>
      <c r="B269" s="45">
        <v>3.3100000000000002E-4</v>
      </c>
      <c r="C269" s="45">
        <v>-1.5776E-3</v>
      </c>
      <c r="D269" s="45">
        <v>1.8134E-3</v>
      </c>
      <c r="E269" s="45">
        <v>-4.3257E-3</v>
      </c>
      <c r="F269" s="45">
        <v>8.5391000000000009E-3</v>
      </c>
      <c r="G269" s="45">
        <v>-1.8006000000000001E-2</v>
      </c>
      <c r="H269" s="45">
        <v>4.7074999999999999E-2</v>
      </c>
      <c r="I269" s="45">
        <v>-6.3267999999999996E-3</v>
      </c>
      <c r="J269" s="45">
        <v>-5.4195000000000003E-4</v>
      </c>
      <c r="K269" s="45">
        <v>-9.1240000000000001E-5</v>
      </c>
    </row>
    <row r="270" spans="1:11" x14ac:dyDescent="0.3">
      <c r="A270" s="171">
        <v>634</v>
      </c>
      <c r="B270" s="45">
        <v>4.6694E-4</v>
      </c>
      <c r="C270" s="45">
        <v>-1.6086E-3</v>
      </c>
      <c r="D270" s="45">
        <v>1.9719999999999998E-3</v>
      </c>
      <c r="E270" s="45">
        <v>-4.5563000000000001E-3</v>
      </c>
      <c r="F270" s="45">
        <v>9.1930999999999992E-3</v>
      </c>
      <c r="G270" s="45">
        <v>-1.9022000000000001E-2</v>
      </c>
      <c r="H270" s="45">
        <v>4.7065999999999997E-2</v>
      </c>
      <c r="I270" s="45">
        <v>-5.8214E-3</v>
      </c>
      <c r="J270" s="45">
        <v>-6.2688999999999996E-4</v>
      </c>
      <c r="K270" s="45">
        <v>-5.4082999999999997E-5</v>
      </c>
    </row>
    <row r="271" spans="1:11" x14ac:dyDescent="0.3">
      <c r="A271" s="171">
        <v>635</v>
      </c>
      <c r="B271" s="45">
        <v>5.9942999999999997E-4</v>
      </c>
      <c r="C271" s="45">
        <v>-1.6245999999999999E-3</v>
      </c>
      <c r="D271" s="45">
        <v>2.1194999999999999E-3</v>
      </c>
      <c r="E271" s="45">
        <v>-4.7532E-3</v>
      </c>
      <c r="F271" s="45">
        <v>9.7865000000000001E-3</v>
      </c>
      <c r="G271" s="45">
        <v>-1.9918999999999999E-2</v>
      </c>
      <c r="H271" s="45">
        <v>4.6959000000000001E-2</v>
      </c>
      <c r="I271" s="45">
        <v>-5.2691999999999999E-3</v>
      </c>
      <c r="J271" s="45">
        <v>-7.2115000000000005E-4</v>
      </c>
      <c r="K271" s="45">
        <v>-1.626E-5</v>
      </c>
    </row>
    <row r="272" spans="1:11" x14ac:dyDescent="0.3">
      <c r="A272" s="171">
        <v>636</v>
      </c>
      <c r="B272" s="45">
        <v>7.2753E-4</v>
      </c>
      <c r="C272" s="45">
        <v>-1.6253999999999999E-3</v>
      </c>
      <c r="D272" s="45">
        <v>2.2558000000000001E-3</v>
      </c>
      <c r="E272" s="45">
        <v>-4.9166000000000001E-3</v>
      </c>
      <c r="F272" s="45">
        <v>1.0319E-2</v>
      </c>
      <c r="G272" s="45">
        <v>-2.0697E-2</v>
      </c>
      <c r="H272" s="45">
        <v>4.6753999999999997E-2</v>
      </c>
      <c r="I272" s="45">
        <v>-4.6715000000000003E-3</v>
      </c>
      <c r="J272" s="45">
        <v>-8.2448000000000005E-4</v>
      </c>
      <c r="K272" s="45">
        <v>2.2184E-5</v>
      </c>
    </row>
    <row r="273" spans="1:11" x14ac:dyDescent="0.3">
      <c r="A273" s="171">
        <v>637</v>
      </c>
      <c r="B273" s="45">
        <v>8.5048999999999997E-4</v>
      </c>
      <c r="C273" s="45">
        <v>-1.6107999999999999E-3</v>
      </c>
      <c r="D273" s="45">
        <v>2.3806000000000001E-3</v>
      </c>
      <c r="E273" s="45">
        <v>-5.0467000000000003E-3</v>
      </c>
      <c r="F273" s="45">
        <v>1.0792E-2</v>
      </c>
      <c r="G273" s="45">
        <v>-2.1360000000000001E-2</v>
      </c>
      <c r="H273" s="45">
        <v>4.6453000000000001E-2</v>
      </c>
      <c r="I273" s="45">
        <v>-4.0293000000000004E-3</v>
      </c>
      <c r="J273" s="45">
        <v>-9.3652000000000004E-4</v>
      </c>
      <c r="K273" s="45">
        <v>6.1191000000000004E-5</v>
      </c>
    </row>
    <row r="274" spans="1:11" x14ac:dyDescent="0.3">
      <c r="A274" s="171">
        <v>638</v>
      </c>
      <c r="B274" s="45">
        <v>9.6770999999999999E-4</v>
      </c>
      <c r="C274" s="45">
        <v>-1.5809000000000001E-3</v>
      </c>
      <c r="D274" s="45">
        <v>2.4938999999999998E-3</v>
      </c>
      <c r="E274" s="45">
        <v>-5.1438999999999999E-3</v>
      </c>
      <c r="F274" s="45">
        <v>1.1206000000000001E-2</v>
      </c>
      <c r="G274" s="45">
        <v>-2.1908E-2</v>
      </c>
      <c r="H274" s="45">
        <v>4.6059999999999997E-2</v>
      </c>
      <c r="I274" s="45">
        <v>-3.3441999999999999E-3</v>
      </c>
      <c r="J274" s="45">
        <v>-1.0568999999999999E-3</v>
      </c>
      <c r="K274" s="45">
        <v>1.0069E-4</v>
      </c>
    </row>
    <row r="275" spans="1:11" x14ac:dyDescent="0.3">
      <c r="A275" s="171">
        <v>639</v>
      </c>
      <c r="B275" s="45">
        <v>1.0788E-3</v>
      </c>
      <c r="C275" s="45">
        <v>-1.536E-3</v>
      </c>
      <c r="D275" s="45">
        <v>2.5956999999999998E-3</v>
      </c>
      <c r="E275" s="45">
        <v>-5.2090000000000001E-3</v>
      </c>
      <c r="F275" s="45">
        <v>1.1560000000000001E-2</v>
      </c>
      <c r="G275" s="45">
        <v>-2.2343999999999999E-2</v>
      </c>
      <c r="H275" s="45">
        <v>4.5574999999999997E-2</v>
      </c>
      <c r="I275" s="45">
        <v>-2.6177000000000001E-3</v>
      </c>
      <c r="J275" s="45">
        <v>-1.1850999999999999E-3</v>
      </c>
      <c r="K275" s="45">
        <v>1.4061E-4</v>
      </c>
    </row>
    <row r="276" spans="1:11" x14ac:dyDescent="0.3">
      <c r="A276" s="171">
        <v>640</v>
      </c>
      <c r="B276" s="45">
        <v>1.1834E-3</v>
      </c>
      <c r="C276" s="45">
        <v>-1.4763000000000001E-3</v>
      </c>
      <c r="D276" s="45">
        <v>2.686E-3</v>
      </c>
      <c r="E276" s="45">
        <v>-5.2427000000000003E-3</v>
      </c>
      <c r="F276" s="45">
        <v>1.1856999999999999E-2</v>
      </c>
      <c r="G276" s="45">
        <v>-2.2671E-2</v>
      </c>
      <c r="H276" s="45">
        <v>4.5003000000000001E-2</v>
      </c>
      <c r="I276" s="45">
        <v>-1.8518E-3</v>
      </c>
      <c r="J276" s="45">
        <v>-1.3205000000000001E-3</v>
      </c>
      <c r="K276" s="45">
        <v>1.8084000000000001E-4</v>
      </c>
    </row>
    <row r="277" spans="1:11" x14ac:dyDescent="0.3">
      <c r="A277" s="171">
        <v>641</v>
      </c>
      <c r="B277" s="45">
        <v>1.2814E-3</v>
      </c>
      <c r="C277" s="45">
        <v>-1.4024E-3</v>
      </c>
      <c r="D277" s="45">
        <v>2.7648999999999998E-3</v>
      </c>
      <c r="E277" s="45">
        <v>-5.2459000000000004E-3</v>
      </c>
      <c r="F277" s="45">
        <v>1.2097E-2</v>
      </c>
      <c r="G277" s="45">
        <v>-2.2893E-2</v>
      </c>
      <c r="H277" s="45">
        <v>4.4345000000000002E-2</v>
      </c>
      <c r="I277" s="45">
        <v>-1.0483999999999999E-3</v>
      </c>
      <c r="J277" s="45">
        <v>-1.4626999999999999E-3</v>
      </c>
      <c r="K277" s="45">
        <v>2.2131000000000001E-4</v>
      </c>
    </row>
    <row r="278" spans="1:11" x14ac:dyDescent="0.3">
      <c r="A278" s="171">
        <v>642</v>
      </c>
      <c r="B278" s="45">
        <v>1.3726999999999999E-3</v>
      </c>
      <c r="C278" s="45">
        <v>-1.3148999999999999E-3</v>
      </c>
      <c r="D278" s="45">
        <v>2.8324999999999999E-3</v>
      </c>
      <c r="E278" s="45">
        <v>-5.2195999999999996E-3</v>
      </c>
      <c r="F278" s="45">
        <v>1.2283000000000001E-2</v>
      </c>
      <c r="G278" s="45">
        <v>-2.3011E-2</v>
      </c>
      <c r="H278" s="45">
        <v>4.3604999999999998E-2</v>
      </c>
      <c r="I278" s="45">
        <v>-2.0959E-4</v>
      </c>
      <c r="J278" s="45">
        <v>-1.611E-3</v>
      </c>
      <c r="K278" s="45">
        <v>2.6188999999999997E-4</v>
      </c>
    </row>
    <row r="279" spans="1:11" x14ac:dyDescent="0.3">
      <c r="A279" s="171">
        <v>643</v>
      </c>
      <c r="B279" s="45">
        <v>1.4572999999999999E-3</v>
      </c>
      <c r="C279" s="45">
        <v>-1.2145000000000001E-3</v>
      </c>
      <c r="D279" s="45">
        <v>2.8888999999999998E-3</v>
      </c>
      <c r="E279" s="45">
        <v>-5.1647999999999998E-3</v>
      </c>
      <c r="F279" s="45">
        <v>1.2414E-2</v>
      </c>
      <c r="G279" s="45">
        <v>-2.3030999999999999E-2</v>
      </c>
      <c r="H279" s="45">
        <v>4.2786999999999999E-2</v>
      </c>
      <c r="I279" s="45">
        <v>6.6251000000000005E-4</v>
      </c>
      <c r="J279" s="45">
        <v>-1.7646999999999999E-3</v>
      </c>
      <c r="K279" s="45">
        <v>3.0248999999999999E-4</v>
      </c>
    </row>
    <row r="280" spans="1:11" x14ac:dyDescent="0.3">
      <c r="A280" s="171">
        <v>644</v>
      </c>
      <c r="B280" s="45">
        <v>1.5353000000000001E-3</v>
      </c>
      <c r="C280" s="45">
        <v>-1.1019999999999999E-3</v>
      </c>
      <c r="D280" s="45">
        <v>2.9342000000000001E-3</v>
      </c>
      <c r="E280" s="45">
        <v>-5.0826999999999999E-3</v>
      </c>
      <c r="F280" s="45">
        <v>1.2494E-2</v>
      </c>
      <c r="G280" s="45">
        <v>-2.2953999999999999E-2</v>
      </c>
      <c r="H280" s="45">
        <v>4.1893E-2</v>
      </c>
      <c r="I280" s="45">
        <v>1.5656000000000001E-3</v>
      </c>
      <c r="J280" s="45">
        <v>-1.9233E-3</v>
      </c>
      <c r="K280" s="45">
        <v>3.4299999999999999E-4</v>
      </c>
    </row>
    <row r="281" spans="1:11" x14ac:dyDescent="0.3">
      <c r="A281" s="171">
        <v>645</v>
      </c>
      <c r="B281" s="45">
        <v>1.6069999999999999E-3</v>
      </c>
      <c r="C281" s="45">
        <v>-9.7799999999999992E-4</v>
      </c>
      <c r="D281" s="45">
        <v>2.9686999999999999E-3</v>
      </c>
      <c r="E281" s="45">
        <v>-4.9746E-3</v>
      </c>
      <c r="F281" s="45">
        <v>1.2522E-2</v>
      </c>
      <c r="G281" s="45">
        <v>-2.2786000000000001E-2</v>
      </c>
      <c r="H281" s="45">
        <v>4.0927999999999999E-2</v>
      </c>
      <c r="I281" s="45">
        <v>2.4973999999999999E-3</v>
      </c>
      <c r="J281" s="45">
        <v>-2.0858999999999999E-3</v>
      </c>
      <c r="K281" s="45">
        <v>3.8329E-4</v>
      </c>
    </row>
    <row r="282" spans="1:11" x14ac:dyDescent="0.3">
      <c r="A282" s="171">
        <v>646</v>
      </c>
      <c r="B282" s="45">
        <v>1.6723E-3</v>
      </c>
      <c r="C282" s="45">
        <v>-8.4354999999999999E-4</v>
      </c>
      <c r="D282" s="45">
        <v>2.9926000000000002E-3</v>
      </c>
      <c r="E282" s="45">
        <v>-4.8415000000000003E-3</v>
      </c>
      <c r="F282" s="45">
        <v>1.2503E-2</v>
      </c>
      <c r="G282" s="45">
        <v>-2.2530999999999999E-2</v>
      </c>
      <c r="H282" s="45">
        <v>3.9893999999999999E-2</v>
      </c>
      <c r="I282" s="45">
        <v>3.4554999999999998E-3</v>
      </c>
      <c r="J282" s="45">
        <v>-2.2518999999999998E-3</v>
      </c>
      <c r="K282" s="45">
        <v>4.2325000000000002E-4</v>
      </c>
    </row>
    <row r="283" spans="1:11" x14ac:dyDescent="0.3">
      <c r="A283" s="171">
        <v>647</v>
      </c>
      <c r="B283" s="45">
        <v>1.7317000000000001E-3</v>
      </c>
      <c r="C283" s="45">
        <v>-6.9950999999999998E-4</v>
      </c>
      <c r="D283" s="45">
        <v>3.0059000000000002E-3</v>
      </c>
      <c r="E283" s="45">
        <v>-4.6849999999999999E-3</v>
      </c>
      <c r="F283" s="45">
        <v>1.2435999999999999E-2</v>
      </c>
      <c r="G283" s="45">
        <v>-2.2190999999999999E-2</v>
      </c>
      <c r="H283" s="45">
        <v>3.8795999999999997E-2</v>
      </c>
      <c r="I283" s="45">
        <v>4.4374999999999996E-3</v>
      </c>
      <c r="J283" s="45">
        <v>-2.4204999999999999E-3</v>
      </c>
      <c r="K283" s="45">
        <v>4.6275E-4</v>
      </c>
    </row>
    <row r="284" spans="1:11" x14ac:dyDescent="0.3">
      <c r="A284" s="171">
        <v>648</v>
      </c>
      <c r="B284" s="45">
        <v>1.7853000000000001E-3</v>
      </c>
      <c r="C284" s="45">
        <v>-5.4682999999999999E-4</v>
      </c>
      <c r="D284" s="45">
        <v>3.0090999999999998E-3</v>
      </c>
      <c r="E284" s="45">
        <v>-4.5062000000000001E-3</v>
      </c>
      <c r="F284" s="45">
        <v>1.2324E-2</v>
      </c>
      <c r="G284" s="45">
        <v>-2.1772E-2</v>
      </c>
      <c r="H284" s="45">
        <v>3.7636999999999997E-2</v>
      </c>
      <c r="I284" s="45">
        <v>5.4408E-3</v>
      </c>
      <c r="J284" s="45">
        <v>-2.591E-3</v>
      </c>
      <c r="K284" s="45">
        <v>5.0166999999999996E-4</v>
      </c>
    </row>
    <row r="285" spans="1:11" x14ac:dyDescent="0.3">
      <c r="A285" s="171">
        <v>649</v>
      </c>
      <c r="B285" s="45">
        <v>1.8335000000000001E-3</v>
      </c>
      <c r="C285" s="45">
        <v>-3.8650000000000002E-4</v>
      </c>
      <c r="D285" s="45">
        <v>3.0022E-3</v>
      </c>
      <c r="E285" s="45">
        <v>-4.3067000000000001E-3</v>
      </c>
      <c r="F285" s="45">
        <v>1.2168999999999999E-2</v>
      </c>
      <c r="G285" s="45">
        <v>-2.1277000000000001E-2</v>
      </c>
      <c r="H285" s="45">
        <v>3.6421000000000002E-2</v>
      </c>
      <c r="I285" s="45">
        <v>6.4628999999999997E-3</v>
      </c>
      <c r="J285" s="45">
        <v>-2.7626999999999999E-3</v>
      </c>
      <c r="K285" s="45">
        <v>5.3989000000000001E-4</v>
      </c>
    </row>
    <row r="286" spans="1:11" x14ac:dyDescent="0.3">
      <c r="A286" s="171">
        <v>650</v>
      </c>
      <c r="B286" s="45">
        <v>1.8766E-3</v>
      </c>
      <c r="C286" s="45">
        <v>-2.1955999999999999E-4</v>
      </c>
      <c r="D286" s="45">
        <v>2.9857E-3</v>
      </c>
      <c r="E286" s="45">
        <v>-4.0879000000000002E-3</v>
      </c>
      <c r="F286" s="45">
        <v>1.1972999999999999E-2</v>
      </c>
      <c r="G286" s="45">
        <v>-2.0712000000000001E-2</v>
      </c>
      <c r="H286" s="45">
        <v>3.5152000000000003E-2</v>
      </c>
      <c r="I286" s="45">
        <v>7.5012999999999998E-3</v>
      </c>
      <c r="J286" s="45">
        <v>-2.9347000000000002E-3</v>
      </c>
      <c r="K286" s="45">
        <v>5.7726999999999995E-4</v>
      </c>
    </row>
    <row r="287" spans="1:11" x14ac:dyDescent="0.3">
      <c r="A287" s="171">
        <v>651</v>
      </c>
      <c r="B287" s="45">
        <v>1.9149E-3</v>
      </c>
      <c r="C287" s="45">
        <v>-4.7079000000000001E-5</v>
      </c>
      <c r="D287" s="45">
        <v>2.9597E-3</v>
      </c>
      <c r="E287" s="45">
        <v>-3.8511999999999999E-3</v>
      </c>
      <c r="F287" s="45">
        <v>1.1738999999999999E-2</v>
      </c>
      <c r="G287" s="45">
        <v>-2.0079E-2</v>
      </c>
      <c r="H287" s="45">
        <v>3.3834000000000003E-2</v>
      </c>
      <c r="I287" s="45">
        <v>8.5532999999999998E-3</v>
      </c>
      <c r="J287" s="45">
        <v>-3.1063000000000002E-3</v>
      </c>
      <c r="K287" s="45">
        <v>6.1368000000000002E-4</v>
      </c>
    </row>
    <row r="288" spans="1:11" x14ac:dyDescent="0.3">
      <c r="A288" s="171">
        <v>652</v>
      </c>
      <c r="B288" s="45">
        <v>1.9487E-3</v>
      </c>
      <c r="C288" s="45">
        <v>1.2983999999999999E-4</v>
      </c>
      <c r="D288" s="45">
        <v>2.9245999999999999E-3</v>
      </c>
      <c r="E288" s="45">
        <v>-3.5983999999999999E-3</v>
      </c>
      <c r="F288" s="45">
        <v>1.1468000000000001E-2</v>
      </c>
      <c r="G288" s="45">
        <v>-1.9384999999999999E-2</v>
      </c>
      <c r="H288" s="45">
        <v>3.2469999999999999E-2</v>
      </c>
      <c r="I288" s="45">
        <v>9.6162000000000001E-3</v>
      </c>
      <c r="J288" s="45">
        <v>-3.2766000000000002E-3</v>
      </c>
      <c r="K288" s="45">
        <v>6.4899000000000001E-4</v>
      </c>
    </row>
    <row r="289" spans="1:11" x14ac:dyDescent="0.3">
      <c r="A289" s="171">
        <v>653</v>
      </c>
      <c r="B289" s="45">
        <v>1.9784E-3</v>
      </c>
      <c r="C289" s="45">
        <v>3.1004999999999997E-4</v>
      </c>
      <c r="D289" s="45">
        <v>2.8806999999999999E-3</v>
      </c>
      <c r="E289" s="45">
        <v>-3.3308999999999999E-3</v>
      </c>
      <c r="F289" s="45">
        <v>1.1162E-2</v>
      </c>
      <c r="G289" s="45">
        <v>-1.8634000000000001E-2</v>
      </c>
      <c r="H289" s="45">
        <v>3.1066E-2</v>
      </c>
      <c r="I289" s="45">
        <v>1.0687E-2</v>
      </c>
      <c r="J289" s="45">
        <v>-3.4447000000000002E-3</v>
      </c>
      <c r="K289" s="45">
        <v>6.8303999999999999E-4</v>
      </c>
    </row>
    <row r="290" spans="1:11" x14ac:dyDescent="0.3">
      <c r="A290" s="171">
        <v>654</v>
      </c>
      <c r="B290" s="45">
        <v>2.0043000000000001E-3</v>
      </c>
      <c r="C290" s="45">
        <v>4.9238999999999999E-4</v>
      </c>
      <c r="D290" s="45">
        <v>2.8284999999999999E-3</v>
      </c>
      <c r="E290" s="45">
        <v>-3.0506000000000001E-3</v>
      </c>
      <c r="F290" s="45">
        <v>1.0824E-2</v>
      </c>
      <c r="G290" s="45">
        <v>-1.7829999999999999E-2</v>
      </c>
      <c r="H290" s="45">
        <v>2.9624999999999999E-2</v>
      </c>
      <c r="I290" s="45">
        <v>1.1762999999999999E-2</v>
      </c>
      <c r="J290" s="45">
        <v>-3.6099000000000001E-3</v>
      </c>
      <c r="K290" s="45">
        <v>7.1571000000000004E-4</v>
      </c>
    </row>
    <row r="291" spans="1:11" x14ac:dyDescent="0.3">
      <c r="A291" s="171">
        <v>655</v>
      </c>
      <c r="B291" s="45">
        <v>2.0267000000000002E-3</v>
      </c>
      <c r="C291" s="45">
        <v>6.7564000000000003E-4</v>
      </c>
      <c r="D291" s="45">
        <v>2.7682000000000002E-3</v>
      </c>
      <c r="E291" s="45">
        <v>-2.7590000000000002E-3</v>
      </c>
      <c r="F291" s="45">
        <v>1.0456999999999999E-2</v>
      </c>
      <c r="G291" s="45">
        <v>-1.6979000000000001E-2</v>
      </c>
      <c r="H291" s="45">
        <v>2.8150999999999999E-2</v>
      </c>
      <c r="I291" s="45">
        <v>1.2841999999999999E-2</v>
      </c>
      <c r="J291" s="45">
        <v>-3.7710999999999999E-3</v>
      </c>
      <c r="K291" s="45">
        <v>7.4682999999999998E-4</v>
      </c>
    </row>
    <row r="292" spans="1:11" x14ac:dyDescent="0.3">
      <c r="A292" s="171">
        <v>656</v>
      </c>
      <c r="B292" s="45">
        <v>2.0460000000000001E-3</v>
      </c>
      <c r="C292" s="45">
        <v>8.5855999999999997E-4</v>
      </c>
      <c r="D292" s="45">
        <v>2.7003999999999999E-3</v>
      </c>
      <c r="E292" s="45">
        <v>-2.4581E-3</v>
      </c>
      <c r="F292" s="45">
        <v>1.0063000000000001E-2</v>
      </c>
      <c r="G292" s="45">
        <v>-1.6084999999999999E-2</v>
      </c>
      <c r="H292" s="45">
        <v>2.6648999999999999E-2</v>
      </c>
      <c r="I292" s="45">
        <v>1.392E-2</v>
      </c>
      <c r="J292" s="45">
        <v>-3.9275999999999998E-3</v>
      </c>
      <c r="K292" s="45">
        <v>7.7625999999999997E-4</v>
      </c>
    </row>
    <row r="293" spans="1:11" x14ac:dyDescent="0.3">
      <c r="A293" s="171">
        <v>657</v>
      </c>
      <c r="B293" s="45">
        <v>2.0623999999999998E-3</v>
      </c>
      <c r="C293" s="45">
        <v>1.0399000000000001E-3</v>
      </c>
      <c r="D293" s="45">
        <v>2.6254999999999998E-3</v>
      </c>
      <c r="E293" s="45">
        <v>-2.1496000000000002E-3</v>
      </c>
      <c r="F293" s="45">
        <v>9.6433999999999999E-3</v>
      </c>
      <c r="G293" s="45">
        <v>-1.5154000000000001E-2</v>
      </c>
      <c r="H293" s="45">
        <v>2.5124E-2</v>
      </c>
      <c r="I293" s="45">
        <v>1.4995E-2</v>
      </c>
      <c r="J293" s="45">
        <v>-4.0783E-3</v>
      </c>
      <c r="K293" s="45">
        <v>8.0385000000000005E-4</v>
      </c>
    </row>
    <row r="294" spans="1:11" x14ac:dyDescent="0.3">
      <c r="A294" s="171">
        <v>658</v>
      </c>
      <c r="B294" s="45">
        <v>2.0761E-3</v>
      </c>
      <c r="C294" s="45">
        <v>1.2183000000000001E-3</v>
      </c>
      <c r="D294" s="45">
        <v>2.5439999999999998E-3</v>
      </c>
      <c r="E294" s="45">
        <v>-1.8355999999999999E-3</v>
      </c>
      <c r="F294" s="45">
        <v>9.2023000000000001E-3</v>
      </c>
      <c r="G294" s="45">
        <v>-1.4189999999999999E-2</v>
      </c>
      <c r="H294" s="45">
        <v>2.3578999999999999E-2</v>
      </c>
      <c r="I294" s="45">
        <v>1.6062E-2</v>
      </c>
      <c r="J294" s="45">
        <v>-4.2223E-3</v>
      </c>
      <c r="K294" s="45">
        <v>8.2941000000000004E-4</v>
      </c>
    </row>
    <row r="295" spans="1:11" x14ac:dyDescent="0.3">
      <c r="A295" s="171">
        <v>659</v>
      </c>
      <c r="B295" s="45">
        <v>2.0874000000000001E-3</v>
      </c>
      <c r="C295" s="45">
        <v>1.3925000000000001E-3</v>
      </c>
      <c r="D295" s="45">
        <v>2.4564000000000001E-3</v>
      </c>
      <c r="E295" s="45">
        <v>-1.5181000000000001E-3</v>
      </c>
      <c r="F295" s="45">
        <v>8.7416999999999998E-3</v>
      </c>
      <c r="G295" s="45">
        <v>-1.32E-2</v>
      </c>
      <c r="H295" s="45">
        <v>2.2020000000000001E-2</v>
      </c>
      <c r="I295" s="45">
        <v>1.712E-2</v>
      </c>
      <c r="J295" s="45">
        <v>-4.3585999999999998E-3</v>
      </c>
      <c r="K295" s="45">
        <v>8.5280000000000002E-4</v>
      </c>
    </row>
    <row r="296" spans="1:11" x14ac:dyDescent="0.3">
      <c r="A296" s="171">
        <v>660</v>
      </c>
      <c r="B296" s="45">
        <v>2.0964E-3</v>
      </c>
      <c r="C296" s="45">
        <v>1.5610000000000001E-3</v>
      </c>
      <c r="D296" s="45">
        <v>2.3633999999999999E-3</v>
      </c>
      <c r="E296" s="45">
        <v>-1.1992000000000001E-3</v>
      </c>
      <c r="F296" s="45">
        <v>8.2646000000000004E-3</v>
      </c>
      <c r="G296" s="45">
        <v>-1.2189E-2</v>
      </c>
      <c r="H296" s="45">
        <v>2.0451E-2</v>
      </c>
      <c r="I296" s="45">
        <v>1.8165000000000001E-2</v>
      </c>
      <c r="J296" s="45">
        <v>-4.4862000000000001E-3</v>
      </c>
      <c r="K296" s="45">
        <v>8.7383000000000003E-4</v>
      </c>
    </row>
    <row r="297" spans="1:11" x14ac:dyDescent="0.3">
      <c r="A297" s="171">
        <v>661</v>
      </c>
      <c r="B297" s="45">
        <v>2.1032999999999998E-3</v>
      </c>
      <c r="C297" s="45">
        <v>1.7225000000000001E-3</v>
      </c>
      <c r="D297" s="45">
        <v>2.2656999999999998E-3</v>
      </c>
      <c r="E297" s="45">
        <v>-8.8101E-4</v>
      </c>
      <c r="F297" s="45">
        <v>7.7736000000000003E-3</v>
      </c>
      <c r="G297" s="45">
        <v>-1.1162E-2</v>
      </c>
      <c r="H297" s="45">
        <v>1.8877000000000001E-2</v>
      </c>
      <c r="I297" s="45">
        <v>1.9193000000000002E-2</v>
      </c>
      <c r="J297" s="45">
        <v>-4.6039000000000002E-3</v>
      </c>
      <c r="K297" s="45">
        <v>8.9232000000000005E-4</v>
      </c>
    </row>
    <row r="298" spans="1:11" x14ac:dyDescent="0.3">
      <c r="A298" s="171">
        <v>662</v>
      </c>
      <c r="B298" s="45">
        <v>2.1080999999999999E-3</v>
      </c>
      <c r="C298" s="45">
        <v>1.8756000000000001E-3</v>
      </c>
      <c r="D298" s="45">
        <v>2.1638E-3</v>
      </c>
      <c r="E298" s="45">
        <v>-5.6581000000000003E-4</v>
      </c>
      <c r="F298" s="45">
        <v>7.2715999999999996E-3</v>
      </c>
      <c r="G298" s="45">
        <v>-1.0125E-2</v>
      </c>
      <c r="H298" s="45">
        <v>1.7302999999999999E-2</v>
      </c>
      <c r="I298" s="45">
        <v>2.0201E-2</v>
      </c>
      <c r="J298" s="45">
        <v>-4.7107E-3</v>
      </c>
      <c r="K298" s="45">
        <v>9.0808999999999996E-4</v>
      </c>
    </row>
    <row r="299" spans="1:11" x14ac:dyDescent="0.3">
      <c r="A299" s="171">
        <v>663</v>
      </c>
      <c r="B299" s="45">
        <v>2.1107999999999999E-3</v>
      </c>
      <c r="C299" s="45">
        <v>2.0189000000000001E-3</v>
      </c>
      <c r="D299" s="45">
        <v>2.0585E-3</v>
      </c>
      <c r="E299" s="45">
        <v>-2.5580999999999998E-4</v>
      </c>
      <c r="F299" s="45">
        <v>6.7613999999999999E-3</v>
      </c>
      <c r="G299" s="45">
        <v>-9.0843E-3</v>
      </c>
      <c r="H299" s="45">
        <v>1.5734999999999999E-2</v>
      </c>
      <c r="I299" s="45">
        <v>2.1186E-2</v>
      </c>
      <c r="J299" s="45">
        <v>-4.8056000000000001E-3</v>
      </c>
      <c r="K299" s="45">
        <v>9.2095000000000002E-4</v>
      </c>
    </row>
    <row r="300" spans="1:11" x14ac:dyDescent="0.3">
      <c r="A300" s="171">
        <v>664</v>
      </c>
      <c r="B300" s="45">
        <v>2.1112000000000001E-3</v>
      </c>
      <c r="C300" s="45">
        <v>2.1508999999999999E-3</v>
      </c>
      <c r="D300" s="45">
        <v>1.9505E-3</v>
      </c>
      <c r="E300" s="45">
        <v>4.6808000000000003E-5</v>
      </c>
      <c r="F300" s="45">
        <v>6.2456999999999999E-3</v>
      </c>
      <c r="G300" s="45">
        <v>-8.0444999999999996E-3</v>
      </c>
      <c r="H300" s="45">
        <v>1.4175999999999999E-2</v>
      </c>
      <c r="I300" s="45">
        <v>2.2145000000000001E-2</v>
      </c>
      <c r="J300" s="45">
        <v>-4.8872999999999998E-3</v>
      </c>
      <c r="K300" s="45">
        <v>9.3072999999999995E-4</v>
      </c>
    </row>
    <row r="301" spans="1:11" x14ac:dyDescent="0.3">
      <c r="A301" s="171">
        <v>665</v>
      </c>
      <c r="B301" s="45">
        <v>2.1094E-3</v>
      </c>
      <c r="C301" s="45">
        <v>2.2705999999999998E-3</v>
      </c>
      <c r="D301" s="45">
        <v>1.8403E-3</v>
      </c>
      <c r="E301" s="45">
        <v>3.3998999999999998E-4</v>
      </c>
      <c r="F301" s="45">
        <v>5.7270999999999997E-3</v>
      </c>
      <c r="G301" s="45">
        <v>-7.0111000000000001E-3</v>
      </c>
      <c r="H301" s="45">
        <v>1.2631E-2</v>
      </c>
      <c r="I301" s="45">
        <v>2.3074000000000001E-2</v>
      </c>
      <c r="J301" s="45">
        <v>-4.9550999999999996E-3</v>
      </c>
      <c r="K301" s="45">
        <v>9.3725000000000004E-4</v>
      </c>
    </row>
    <row r="302" spans="1:11" x14ac:dyDescent="0.3">
      <c r="A302" s="171">
        <v>666</v>
      </c>
      <c r="B302" s="45">
        <v>2.1048999999999998E-3</v>
      </c>
      <c r="C302" s="45">
        <v>2.3768999999999999E-3</v>
      </c>
      <c r="D302" s="45">
        <v>1.7286999999999999E-3</v>
      </c>
      <c r="E302" s="45">
        <v>6.2186999999999995E-4</v>
      </c>
      <c r="F302" s="45">
        <v>5.208E-3</v>
      </c>
      <c r="G302" s="45">
        <v>-5.9890000000000004E-3</v>
      </c>
      <c r="H302" s="45">
        <v>1.1105E-2</v>
      </c>
      <c r="I302" s="45">
        <v>2.3970000000000002E-2</v>
      </c>
      <c r="J302" s="45">
        <v>-5.0077999999999998E-3</v>
      </c>
      <c r="K302" s="45">
        <v>9.4034999999999995E-4</v>
      </c>
    </row>
    <row r="303" spans="1:11" x14ac:dyDescent="0.3">
      <c r="A303" s="171">
        <v>667</v>
      </c>
      <c r="B303" s="45">
        <v>2.0975E-3</v>
      </c>
      <c r="C303" s="45">
        <v>2.4688000000000002E-3</v>
      </c>
      <c r="D303" s="45">
        <v>1.616E-3</v>
      </c>
      <c r="E303" s="45">
        <v>8.9079999999999997E-4</v>
      </c>
      <c r="F303" s="45">
        <v>4.6902999999999997E-3</v>
      </c>
      <c r="G303" s="45">
        <v>-4.9823999999999997E-3</v>
      </c>
      <c r="H303" s="45">
        <v>9.6010000000000002E-3</v>
      </c>
      <c r="I303" s="45">
        <v>2.4830999999999999E-2</v>
      </c>
      <c r="J303" s="45">
        <v>-5.0447000000000001E-3</v>
      </c>
      <c r="K303" s="45">
        <v>9.3990000000000002E-4</v>
      </c>
    </row>
    <row r="304" spans="1:11" x14ac:dyDescent="0.3">
      <c r="A304" s="171">
        <v>668</v>
      </c>
      <c r="B304" s="45">
        <v>2.0866999999999999E-3</v>
      </c>
      <c r="C304" s="45">
        <v>2.5457000000000001E-3</v>
      </c>
      <c r="D304" s="45">
        <v>1.5027E-3</v>
      </c>
      <c r="E304" s="45">
        <v>1.1454E-3</v>
      </c>
      <c r="F304" s="45">
        <v>4.1758999999999998E-3</v>
      </c>
      <c r="G304" s="45">
        <v>-3.9952E-3</v>
      </c>
      <c r="H304" s="45">
        <v>8.1227000000000001E-3</v>
      </c>
      <c r="I304" s="45">
        <v>2.5654E-2</v>
      </c>
      <c r="J304" s="45">
        <v>-5.0650000000000001E-3</v>
      </c>
      <c r="K304" s="45">
        <v>9.3574999999999995E-4</v>
      </c>
    </row>
    <row r="305" spans="1:11" x14ac:dyDescent="0.3">
      <c r="A305" s="171">
        <v>669</v>
      </c>
      <c r="B305" s="45">
        <v>2.0720000000000001E-3</v>
      </c>
      <c r="C305" s="45">
        <v>2.6071000000000002E-3</v>
      </c>
      <c r="D305" s="45">
        <v>1.3891000000000001E-3</v>
      </c>
      <c r="E305" s="45">
        <v>1.3844E-3</v>
      </c>
      <c r="F305" s="45">
        <v>3.6660999999999998E-3</v>
      </c>
      <c r="G305" s="45">
        <v>-3.0305000000000002E-3</v>
      </c>
      <c r="H305" s="45">
        <v>6.6728999999999998E-3</v>
      </c>
      <c r="I305" s="45">
        <v>2.6438E-2</v>
      </c>
      <c r="J305" s="45">
        <v>-5.0682000000000001E-3</v>
      </c>
      <c r="K305" s="45">
        <v>9.2781999999999999E-4</v>
      </c>
    </row>
    <row r="306" spans="1:11" x14ac:dyDescent="0.3">
      <c r="A306" s="171">
        <v>670</v>
      </c>
      <c r="B306" s="45">
        <v>2.0528E-3</v>
      </c>
      <c r="C306" s="45">
        <v>2.6526000000000002E-3</v>
      </c>
      <c r="D306" s="45">
        <v>1.2753E-3</v>
      </c>
      <c r="E306" s="45">
        <v>1.6069999999999999E-3</v>
      </c>
      <c r="F306" s="45">
        <v>3.1622999999999998E-3</v>
      </c>
      <c r="G306" s="45">
        <v>-2.0910999999999998E-3</v>
      </c>
      <c r="H306" s="45">
        <v>5.2541000000000003E-3</v>
      </c>
      <c r="I306" s="45">
        <v>2.7181E-2</v>
      </c>
      <c r="J306" s="45">
        <v>-5.0536000000000001E-3</v>
      </c>
      <c r="K306" s="45">
        <v>9.1600999999999998E-4</v>
      </c>
    </row>
    <row r="307" spans="1:11" x14ac:dyDescent="0.3">
      <c r="A307" s="171">
        <v>671</v>
      </c>
      <c r="B307" s="45">
        <v>2.0286000000000002E-3</v>
      </c>
      <c r="C307" s="45">
        <v>2.6819999999999999E-3</v>
      </c>
      <c r="D307" s="45">
        <v>1.1613999999999999E-3</v>
      </c>
      <c r="E307" s="45">
        <v>1.8125000000000001E-3</v>
      </c>
      <c r="F307" s="45">
        <v>2.6654000000000001E-3</v>
      </c>
      <c r="G307" s="45">
        <v>-1.1793000000000001E-3</v>
      </c>
      <c r="H307" s="45">
        <v>3.8682E-3</v>
      </c>
      <c r="I307" s="45">
        <v>2.7881E-2</v>
      </c>
      <c r="J307" s="45">
        <v>-5.0209E-3</v>
      </c>
      <c r="K307" s="45">
        <v>9.0025999999999995E-4</v>
      </c>
    </row>
    <row r="308" spans="1:11" x14ac:dyDescent="0.3">
      <c r="A308" s="171">
        <v>672</v>
      </c>
      <c r="B308" s="45">
        <v>1.9987E-3</v>
      </c>
      <c r="C308" s="45">
        <v>2.6952999999999999E-3</v>
      </c>
      <c r="D308" s="45">
        <v>1.0476000000000001E-3</v>
      </c>
      <c r="E308" s="45">
        <v>2.0002000000000002E-3</v>
      </c>
      <c r="F308" s="45">
        <v>2.176E-3</v>
      </c>
      <c r="G308" s="45">
        <v>-2.9701E-4</v>
      </c>
      <c r="H308" s="45">
        <v>2.5171999999999998E-3</v>
      </c>
      <c r="I308" s="45">
        <v>2.8538000000000001E-2</v>
      </c>
      <c r="J308" s="45">
        <v>-4.9696999999999996E-3</v>
      </c>
      <c r="K308" s="45">
        <v>8.8049000000000005E-4</v>
      </c>
    </row>
    <row r="309" spans="1:11" x14ac:dyDescent="0.3">
      <c r="A309" s="171">
        <v>673</v>
      </c>
      <c r="B309" s="45">
        <v>1.9624999999999998E-3</v>
      </c>
      <c r="C309" s="45">
        <v>2.6925E-3</v>
      </c>
      <c r="D309" s="45">
        <v>9.3386000000000001E-4</v>
      </c>
      <c r="E309" s="45">
        <v>2.1699000000000002E-3</v>
      </c>
      <c r="F309" s="45">
        <v>1.6949000000000001E-3</v>
      </c>
      <c r="G309" s="45">
        <v>5.5422000000000002E-4</v>
      </c>
      <c r="H309" s="45">
        <v>1.2025E-3</v>
      </c>
      <c r="I309" s="45">
        <v>2.9151E-2</v>
      </c>
      <c r="J309" s="45">
        <v>-4.8996999999999999E-3</v>
      </c>
      <c r="K309" s="45">
        <v>8.5667999999999996E-4</v>
      </c>
    </row>
    <row r="310" spans="1:11" x14ac:dyDescent="0.3">
      <c r="A310" s="171">
        <v>674</v>
      </c>
      <c r="B310" s="45">
        <v>1.9193999999999999E-3</v>
      </c>
      <c r="C310" s="45">
        <v>2.6737000000000002E-3</v>
      </c>
      <c r="D310" s="45">
        <v>8.2010000000000004E-4</v>
      </c>
      <c r="E310" s="45">
        <v>2.3211999999999998E-3</v>
      </c>
      <c r="F310" s="45">
        <v>1.2225000000000001E-3</v>
      </c>
      <c r="G310" s="45">
        <v>1.3730000000000001E-3</v>
      </c>
      <c r="H310" s="45">
        <v>-7.4599999999999997E-5</v>
      </c>
      <c r="I310" s="45">
        <v>2.9718000000000001E-2</v>
      </c>
      <c r="J310" s="45">
        <v>-4.8107999999999996E-3</v>
      </c>
      <c r="K310" s="45">
        <v>8.2879000000000004E-4</v>
      </c>
    </row>
    <row r="311" spans="1:11" x14ac:dyDescent="0.3">
      <c r="A311" s="171">
        <v>675</v>
      </c>
      <c r="B311" s="45">
        <v>1.8687E-3</v>
      </c>
      <c r="C311" s="45">
        <v>2.6389999999999999E-3</v>
      </c>
      <c r="D311" s="45">
        <v>7.0629000000000004E-4</v>
      </c>
      <c r="E311" s="45">
        <v>2.4539000000000002E-3</v>
      </c>
      <c r="F311" s="45">
        <v>7.5924E-4</v>
      </c>
      <c r="G311" s="45">
        <v>2.1581999999999999E-3</v>
      </c>
      <c r="H311" s="45">
        <v>-1.3129999999999999E-3</v>
      </c>
      <c r="I311" s="45">
        <v>3.0238999999999999E-2</v>
      </c>
      <c r="J311" s="45">
        <v>-4.7026999999999998E-3</v>
      </c>
      <c r="K311" s="45">
        <v>7.9679000000000002E-4</v>
      </c>
    </row>
    <row r="312" spans="1:11" x14ac:dyDescent="0.3">
      <c r="A312" s="171">
        <v>676</v>
      </c>
      <c r="B312" s="45">
        <v>1.8098999999999999E-3</v>
      </c>
      <c r="C312" s="45">
        <v>2.5885999999999999E-3</v>
      </c>
      <c r="D312" s="45">
        <v>5.9234999999999995E-4</v>
      </c>
      <c r="E312" s="45">
        <v>2.5677999999999999E-3</v>
      </c>
      <c r="F312" s="45">
        <v>3.054E-4</v>
      </c>
      <c r="G312" s="45">
        <v>2.9087000000000002E-3</v>
      </c>
      <c r="H312" s="45">
        <v>-2.5117E-3</v>
      </c>
      <c r="I312" s="45">
        <v>3.0714000000000002E-2</v>
      </c>
      <c r="J312" s="45">
        <v>-4.5751999999999998E-3</v>
      </c>
      <c r="K312" s="45">
        <v>7.6066000000000003E-4</v>
      </c>
    </row>
    <row r="313" spans="1:11" x14ac:dyDescent="0.3">
      <c r="A313" s="171">
        <v>677</v>
      </c>
      <c r="B313" s="45">
        <v>1.7424999999999999E-3</v>
      </c>
      <c r="C313" s="45">
        <v>2.5228E-3</v>
      </c>
      <c r="D313" s="45">
        <v>4.7817999999999998E-4</v>
      </c>
      <c r="E313" s="45">
        <v>2.663E-3</v>
      </c>
      <c r="F313" s="45">
        <v>-1.3872999999999999E-4</v>
      </c>
      <c r="G313" s="45">
        <v>3.6239000000000002E-3</v>
      </c>
      <c r="H313" s="45">
        <v>-3.6698999999999998E-3</v>
      </c>
      <c r="I313" s="45">
        <v>3.1142E-2</v>
      </c>
      <c r="J313" s="45">
        <v>-4.4283999999999999E-3</v>
      </c>
      <c r="K313" s="45">
        <v>7.2041E-4</v>
      </c>
    </row>
    <row r="314" spans="1:11" x14ac:dyDescent="0.3">
      <c r="A314" s="171">
        <v>678</v>
      </c>
      <c r="B314" s="45">
        <v>1.6661E-3</v>
      </c>
      <c r="C314" s="45">
        <v>2.4417000000000002E-3</v>
      </c>
      <c r="D314" s="45">
        <v>3.6369000000000001E-4</v>
      </c>
      <c r="E314" s="45">
        <v>2.7393999999999999E-3</v>
      </c>
      <c r="F314" s="45">
        <v>-5.7293999999999997E-4</v>
      </c>
      <c r="G314" s="45">
        <v>4.3027999999999999E-3</v>
      </c>
      <c r="H314" s="45">
        <v>-4.7869000000000002E-3</v>
      </c>
      <c r="I314" s="45">
        <v>3.1523000000000002E-2</v>
      </c>
      <c r="J314" s="45">
        <v>-4.2621999999999998E-3</v>
      </c>
      <c r="K314" s="45">
        <v>6.7604000000000004E-4</v>
      </c>
    </row>
    <row r="315" spans="1:11" x14ac:dyDescent="0.3">
      <c r="A315" s="171">
        <v>679</v>
      </c>
      <c r="B315" s="45">
        <v>1.5801999999999999E-3</v>
      </c>
      <c r="C315" s="45">
        <v>2.3454999999999999E-3</v>
      </c>
      <c r="D315" s="45">
        <v>2.4876E-4</v>
      </c>
      <c r="E315" s="45">
        <v>2.797E-3</v>
      </c>
      <c r="F315" s="45">
        <v>-9.9707000000000007E-4</v>
      </c>
      <c r="G315" s="45">
        <v>4.9449999999999997E-3</v>
      </c>
      <c r="H315" s="45">
        <v>-5.8621000000000003E-3</v>
      </c>
      <c r="I315" s="45">
        <v>3.1857000000000003E-2</v>
      </c>
      <c r="J315" s="45">
        <v>-4.0765999999999997E-3</v>
      </c>
      <c r="K315" s="45">
        <v>6.2754E-4</v>
      </c>
    </row>
    <row r="316" spans="1:11" x14ac:dyDescent="0.3">
      <c r="A316" s="171">
        <v>680</v>
      </c>
      <c r="B316" s="45">
        <v>1.4844999999999999E-3</v>
      </c>
      <c r="C316" s="45">
        <v>2.2346000000000002E-3</v>
      </c>
      <c r="D316" s="45">
        <v>1.3328999999999999E-4</v>
      </c>
      <c r="E316" s="45">
        <v>2.8359000000000001E-3</v>
      </c>
      <c r="F316" s="45">
        <v>-1.4109999999999999E-3</v>
      </c>
      <c r="G316" s="45">
        <v>5.5499E-3</v>
      </c>
      <c r="H316" s="45">
        <v>-6.8950000000000001E-3</v>
      </c>
      <c r="I316" s="45">
        <v>3.2142999999999998E-2</v>
      </c>
      <c r="J316" s="45">
        <v>-3.8716000000000002E-3</v>
      </c>
      <c r="K316" s="45">
        <v>5.7494999999999996E-4</v>
      </c>
    </row>
    <row r="317" spans="1:11" x14ac:dyDescent="0.3">
      <c r="A317" s="171">
        <v>681</v>
      </c>
      <c r="B317" s="45">
        <v>1.3789E-3</v>
      </c>
      <c r="C317" s="45">
        <v>2.1091E-3</v>
      </c>
      <c r="D317" s="45">
        <v>1.7173999999999999E-5</v>
      </c>
      <c r="E317" s="45">
        <v>2.8563E-3</v>
      </c>
      <c r="F317" s="45">
        <v>-1.8144999999999999E-3</v>
      </c>
      <c r="G317" s="45">
        <v>6.1171999999999997E-3</v>
      </c>
      <c r="H317" s="45">
        <v>-7.8851000000000008E-3</v>
      </c>
      <c r="I317" s="45">
        <v>3.2382000000000001E-2</v>
      </c>
      <c r="J317" s="45">
        <v>-3.6472000000000002E-3</v>
      </c>
      <c r="K317" s="45">
        <v>5.1827999999999998E-4</v>
      </c>
    </row>
    <row r="318" spans="1:11" x14ac:dyDescent="0.3">
      <c r="A318" s="171">
        <v>682</v>
      </c>
      <c r="B318" s="45">
        <v>1.2631000000000001E-3</v>
      </c>
      <c r="C318" s="45">
        <v>1.9691999999999999E-3</v>
      </c>
      <c r="D318" s="45">
        <v>-9.9687999999999998E-5</v>
      </c>
      <c r="E318" s="45">
        <v>2.8582999999999998E-3</v>
      </c>
      <c r="F318" s="45">
        <v>-2.2076000000000001E-3</v>
      </c>
      <c r="G318" s="45">
        <v>6.6464000000000002E-3</v>
      </c>
      <c r="H318" s="45">
        <v>-8.8322999999999995E-3</v>
      </c>
      <c r="I318" s="45">
        <v>3.2572999999999998E-2</v>
      </c>
      <c r="J318" s="45">
        <v>-3.4036000000000001E-3</v>
      </c>
      <c r="K318" s="45">
        <v>4.5757000000000003E-4</v>
      </c>
    </row>
    <row r="319" spans="1:11" x14ac:dyDescent="0.3">
      <c r="A319" s="171">
        <v>683</v>
      </c>
      <c r="B319" s="45">
        <v>1.137E-3</v>
      </c>
      <c r="C319" s="45">
        <v>1.8152000000000001E-3</v>
      </c>
      <c r="D319" s="45">
        <v>-2.1739E-4</v>
      </c>
      <c r="E319" s="45">
        <v>2.8421000000000002E-3</v>
      </c>
      <c r="F319" s="45">
        <v>-2.5902E-3</v>
      </c>
      <c r="G319" s="45">
        <v>7.1374000000000003E-3</v>
      </c>
      <c r="H319" s="45">
        <v>-9.7360999999999993E-3</v>
      </c>
      <c r="I319" s="45">
        <v>3.2717000000000003E-2</v>
      </c>
      <c r="J319" s="45">
        <v>-3.1410000000000001E-3</v>
      </c>
      <c r="K319" s="45">
        <v>3.9284999999999998E-4</v>
      </c>
    </row>
    <row r="320" spans="1:11" x14ac:dyDescent="0.3">
      <c r="A320" s="171">
        <v>684</v>
      </c>
      <c r="B320" s="45">
        <v>1.0007E-3</v>
      </c>
      <c r="C320" s="45">
        <v>1.6473E-3</v>
      </c>
      <c r="D320" s="45">
        <v>-3.3600999999999998E-4</v>
      </c>
      <c r="E320" s="45">
        <v>2.8078999999999999E-3</v>
      </c>
      <c r="F320" s="45">
        <v>-2.9621999999999999E-3</v>
      </c>
      <c r="G320" s="45">
        <v>7.5900999999999998E-3</v>
      </c>
      <c r="H320" s="45">
        <v>-1.0597000000000001E-2</v>
      </c>
      <c r="I320" s="45">
        <v>3.2814000000000003E-2</v>
      </c>
      <c r="J320" s="45">
        <v>-2.8595000000000001E-3</v>
      </c>
      <c r="K320" s="45">
        <v>3.2419000000000003E-4</v>
      </c>
    </row>
    <row r="321" spans="1:11" x14ac:dyDescent="0.3">
      <c r="A321" s="171">
        <v>685</v>
      </c>
      <c r="B321" s="45">
        <v>8.5444000000000004E-4</v>
      </c>
      <c r="C321" s="45">
        <v>1.4656000000000001E-3</v>
      </c>
      <c r="D321" s="45">
        <v>-4.5560000000000002E-4</v>
      </c>
      <c r="E321" s="45">
        <v>2.7558999999999999E-3</v>
      </c>
      <c r="F321" s="45">
        <v>-3.3235999999999999E-3</v>
      </c>
      <c r="G321" s="45">
        <v>8.0044000000000001E-3</v>
      </c>
      <c r="H321" s="45">
        <v>-1.1414000000000001E-2</v>
      </c>
      <c r="I321" s="45">
        <v>3.2864999999999998E-2</v>
      </c>
      <c r="J321" s="45">
        <v>-2.5593E-3</v>
      </c>
      <c r="K321" s="45">
        <v>2.5164000000000002E-4</v>
      </c>
    </row>
    <row r="322" spans="1:11" x14ac:dyDescent="0.3">
      <c r="A322" s="171">
        <v>686</v>
      </c>
      <c r="B322" s="45">
        <v>6.9842999999999999E-4</v>
      </c>
      <c r="C322" s="45">
        <v>1.2702E-3</v>
      </c>
      <c r="D322" s="45">
        <v>-5.7622000000000001E-4</v>
      </c>
      <c r="E322" s="45">
        <v>2.6865999999999999E-3</v>
      </c>
      <c r="F322" s="45">
        <v>-3.6743000000000001E-3</v>
      </c>
      <c r="G322" s="45">
        <v>8.3803999999999997E-3</v>
      </c>
      <c r="H322" s="45">
        <v>-1.2187999999999999E-2</v>
      </c>
      <c r="I322" s="45">
        <v>3.2869000000000002E-2</v>
      </c>
      <c r="J322" s="45">
        <v>-2.2407999999999998E-3</v>
      </c>
      <c r="K322" s="45">
        <v>1.7527999999999999E-4</v>
      </c>
    </row>
    <row r="323" spans="1:11" x14ac:dyDescent="0.3">
      <c r="A323" s="171">
        <v>687</v>
      </c>
      <c r="B323" s="45">
        <v>5.3311999999999999E-4</v>
      </c>
      <c r="C323" s="45">
        <v>1.0614000000000001E-3</v>
      </c>
      <c r="D323" s="45">
        <v>-6.9788000000000001E-4</v>
      </c>
      <c r="E323" s="45">
        <v>2.6001000000000002E-3</v>
      </c>
      <c r="F323" s="45">
        <v>-4.0144000000000004E-3</v>
      </c>
      <c r="G323" s="45">
        <v>8.7183E-3</v>
      </c>
      <c r="H323" s="45">
        <v>-1.2918000000000001E-2</v>
      </c>
      <c r="I323" s="45">
        <v>3.2828000000000003E-2</v>
      </c>
      <c r="J323" s="45">
        <v>-1.9042E-3</v>
      </c>
      <c r="K323" s="45">
        <v>9.5174999999999996E-5</v>
      </c>
    </row>
    <row r="324" spans="1:11" x14ac:dyDescent="0.3">
      <c r="A324" s="171">
        <v>688</v>
      </c>
      <c r="B324" s="45">
        <v>3.5912999999999999E-4</v>
      </c>
      <c r="C324" s="45">
        <v>8.3914000000000005E-4</v>
      </c>
      <c r="D324" s="45">
        <v>-8.2058000000000001E-4</v>
      </c>
      <c r="E324" s="45">
        <v>2.4968E-3</v>
      </c>
      <c r="F324" s="45">
        <v>-4.3438000000000001E-3</v>
      </c>
      <c r="G324" s="45">
        <v>9.0182000000000005E-3</v>
      </c>
      <c r="H324" s="45">
        <v>-1.3606E-2</v>
      </c>
      <c r="I324" s="45">
        <v>3.2740999999999999E-2</v>
      </c>
      <c r="J324" s="45">
        <v>-1.5501E-3</v>
      </c>
      <c r="K324" s="45">
        <v>1.1433999999999999E-5</v>
      </c>
    </row>
    <row r="325" spans="1:11" x14ac:dyDescent="0.3">
      <c r="A325" s="171">
        <v>689</v>
      </c>
      <c r="B325" s="45">
        <v>1.7717000000000001E-4</v>
      </c>
      <c r="C325" s="45">
        <v>6.0351999999999997E-4</v>
      </c>
      <c r="D325" s="45">
        <v>-9.4428999999999997E-4</v>
      </c>
      <c r="E325" s="45">
        <v>2.3771E-3</v>
      </c>
      <c r="F325" s="45">
        <v>-4.6626000000000003E-3</v>
      </c>
      <c r="G325" s="45">
        <v>9.2806E-3</v>
      </c>
      <c r="H325" s="45">
        <v>-1.4251E-2</v>
      </c>
      <c r="I325" s="45">
        <v>3.2611000000000001E-2</v>
      </c>
      <c r="J325" s="45">
        <v>-1.1787E-3</v>
      </c>
      <c r="K325" s="45">
        <v>-7.5840999999999994E-5</v>
      </c>
    </row>
    <row r="326" spans="1:11" x14ac:dyDescent="0.3">
      <c r="A326" s="171">
        <v>690</v>
      </c>
      <c r="B326" s="45">
        <v>-1.1868000000000001E-5</v>
      </c>
      <c r="C326" s="45">
        <v>3.5456000000000002E-4</v>
      </c>
      <c r="D326" s="45">
        <v>-1.0690000000000001E-3</v>
      </c>
      <c r="E326" s="45">
        <v>2.2415999999999998E-3</v>
      </c>
      <c r="F326" s="45">
        <v>-4.9709000000000003E-3</v>
      </c>
      <c r="G326" s="45">
        <v>9.5060000000000006E-3</v>
      </c>
      <c r="H326" s="45">
        <v>-1.4855E-2</v>
      </c>
      <c r="I326" s="45">
        <v>3.2437000000000001E-2</v>
      </c>
      <c r="J326" s="45">
        <v>-7.9067000000000004E-4</v>
      </c>
      <c r="K326" s="45">
        <v>-1.6652999999999999E-4</v>
      </c>
    </row>
    <row r="327" spans="1:11" x14ac:dyDescent="0.3">
      <c r="A327" s="171">
        <v>691</v>
      </c>
      <c r="B327" s="45">
        <v>-2.0701000000000001E-4</v>
      </c>
      <c r="C327" s="45">
        <v>9.2288999999999997E-5</v>
      </c>
      <c r="D327" s="45">
        <v>-1.1945E-3</v>
      </c>
      <c r="E327" s="45">
        <v>2.0904999999999999E-3</v>
      </c>
      <c r="F327" s="45">
        <v>-5.2684999999999997E-3</v>
      </c>
      <c r="G327" s="45">
        <v>9.6950000000000005E-3</v>
      </c>
      <c r="H327" s="45">
        <v>-1.5417E-2</v>
      </c>
      <c r="I327" s="45">
        <v>3.2221E-2</v>
      </c>
      <c r="J327" s="45">
        <v>-3.8650000000000002E-4</v>
      </c>
      <c r="K327" s="45">
        <v>-2.6050999999999998E-4</v>
      </c>
    </row>
    <row r="328" spans="1:11" x14ac:dyDescent="0.3">
      <c r="A328" s="171">
        <v>692</v>
      </c>
      <c r="B328" s="45">
        <v>-4.0718999999999998E-4</v>
      </c>
      <c r="C328" s="45">
        <v>-1.8327999999999999E-4</v>
      </c>
      <c r="D328" s="45">
        <v>-1.3209000000000001E-3</v>
      </c>
      <c r="E328" s="45">
        <v>1.9243999999999999E-3</v>
      </c>
      <c r="F328" s="45">
        <v>-5.5557000000000002E-3</v>
      </c>
      <c r="G328" s="45">
        <v>9.8481999999999997E-3</v>
      </c>
      <c r="H328" s="45">
        <v>-1.5938999999999998E-2</v>
      </c>
      <c r="I328" s="45">
        <v>3.1963999999999999E-2</v>
      </c>
      <c r="J328" s="45">
        <v>3.3219999999999997E-5</v>
      </c>
      <c r="K328" s="45">
        <v>-3.5763E-4</v>
      </c>
    </row>
    <row r="329" spans="1:11" x14ac:dyDescent="0.3">
      <c r="A329" s="171">
        <v>693</v>
      </c>
      <c r="B329" s="45">
        <v>-6.1125999999999997E-4</v>
      </c>
      <c r="C329" s="45">
        <v>-4.7209999999999998E-4</v>
      </c>
      <c r="D329" s="45">
        <v>-1.4480000000000001E-3</v>
      </c>
      <c r="E329" s="45">
        <v>1.7438E-3</v>
      </c>
      <c r="F329" s="45">
        <v>-5.8325E-3</v>
      </c>
      <c r="G329" s="45">
        <v>9.9663000000000009E-3</v>
      </c>
      <c r="H329" s="45">
        <v>-1.6421000000000002E-2</v>
      </c>
      <c r="I329" s="45">
        <v>3.1666E-2</v>
      </c>
      <c r="J329" s="45">
        <v>4.6784000000000002E-4</v>
      </c>
      <c r="K329" s="45">
        <v>-4.5774999999999999E-4</v>
      </c>
    </row>
    <row r="330" spans="1:11" x14ac:dyDescent="0.3">
      <c r="A330" s="171">
        <v>694</v>
      </c>
      <c r="B330" s="45">
        <v>-8.1806999999999995E-4</v>
      </c>
      <c r="C330" s="45">
        <v>-7.7413000000000004E-4</v>
      </c>
      <c r="D330" s="45">
        <v>-1.5757E-3</v>
      </c>
      <c r="E330" s="45">
        <v>1.5493E-3</v>
      </c>
      <c r="F330" s="45">
        <v>-6.0990000000000003E-3</v>
      </c>
      <c r="G330" s="45">
        <v>1.005E-2</v>
      </c>
      <c r="H330" s="45">
        <v>-1.6864000000000001E-2</v>
      </c>
      <c r="I330" s="45">
        <v>3.1330999999999998E-2</v>
      </c>
      <c r="J330" s="45">
        <v>9.1668000000000001E-4</v>
      </c>
      <c r="K330" s="45">
        <v>-5.6072000000000001E-4</v>
      </c>
    </row>
    <row r="331" spans="1:11" x14ac:dyDescent="0.3">
      <c r="A331" s="171">
        <v>695</v>
      </c>
      <c r="B331" s="45">
        <v>-1.0264E-3</v>
      </c>
      <c r="C331" s="45">
        <v>-1.0893000000000001E-3</v>
      </c>
      <c r="D331" s="45">
        <v>-1.7038999999999999E-3</v>
      </c>
      <c r="E331" s="45">
        <v>1.3414E-3</v>
      </c>
      <c r="F331" s="45">
        <v>-6.3553000000000004E-3</v>
      </c>
      <c r="G331" s="45">
        <v>1.0101000000000001E-2</v>
      </c>
      <c r="H331" s="45">
        <v>-1.7269E-2</v>
      </c>
      <c r="I331" s="45">
        <v>3.0957999999999999E-2</v>
      </c>
      <c r="J331" s="45">
        <v>1.3791000000000001E-3</v>
      </c>
      <c r="K331" s="45">
        <v>-6.6635999999999996E-4</v>
      </c>
    </row>
    <row r="332" spans="1:11" x14ac:dyDescent="0.3">
      <c r="A332" s="171">
        <v>696</v>
      </c>
      <c r="B332" s="45">
        <v>-1.2352999999999999E-3</v>
      </c>
      <c r="C332" s="45">
        <v>-1.4173E-3</v>
      </c>
      <c r="D332" s="45">
        <v>-1.8324999999999999E-3</v>
      </c>
      <c r="E332" s="45">
        <v>1.1207999999999999E-3</v>
      </c>
      <c r="F332" s="45">
        <v>-6.6014000000000003E-3</v>
      </c>
      <c r="G332" s="45">
        <v>1.0119E-2</v>
      </c>
      <c r="H332" s="45">
        <v>-1.7637E-2</v>
      </c>
      <c r="I332" s="45">
        <v>3.0549E-2</v>
      </c>
      <c r="J332" s="45">
        <v>1.8542000000000001E-3</v>
      </c>
      <c r="K332" s="45">
        <v>-7.7450999999999996E-4</v>
      </c>
    </row>
    <row r="333" spans="1:11" x14ac:dyDescent="0.3">
      <c r="A333" s="171">
        <v>697</v>
      </c>
      <c r="B333" s="45">
        <v>-1.4434000000000001E-3</v>
      </c>
      <c r="C333" s="45">
        <v>-1.7581999999999999E-3</v>
      </c>
      <c r="D333" s="45">
        <v>-1.9615000000000001E-3</v>
      </c>
      <c r="E333" s="45">
        <v>8.8796999999999997E-4</v>
      </c>
      <c r="F333" s="45">
        <v>-6.8376000000000001E-3</v>
      </c>
      <c r="G333" s="45">
        <v>1.0106E-2</v>
      </c>
      <c r="H333" s="45">
        <v>-1.797E-2</v>
      </c>
      <c r="I333" s="45">
        <v>3.0105E-2</v>
      </c>
      <c r="J333" s="45">
        <v>2.3414E-3</v>
      </c>
      <c r="K333" s="45">
        <v>-8.8499E-4</v>
      </c>
    </row>
    <row r="334" spans="1:11" x14ac:dyDescent="0.3">
      <c r="A334" s="171">
        <v>698</v>
      </c>
      <c r="B334" s="45">
        <v>-1.6498999999999999E-3</v>
      </c>
      <c r="C334" s="45">
        <v>-2.1115000000000001E-3</v>
      </c>
      <c r="D334" s="45">
        <v>-2.0907999999999999E-3</v>
      </c>
      <c r="E334" s="45">
        <v>6.4367999999999999E-4</v>
      </c>
      <c r="F334" s="45">
        <v>-7.064E-3</v>
      </c>
      <c r="G334" s="45">
        <v>1.0063000000000001E-2</v>
      </c>
      <c r="H334" s="45">
        <v>-1.8266999999999999E-2</v>
      </c>
      <c r="I334" s="45">
        <v>2.9628999999999999E-2</v>
      </c>
      <c r="J334" s="45">
        <v>2.8398E-3</v>
      </c>
      <c r="K334" s="45">
        <v>-9.9762000000000006E-4</v>
      </c>
    </row>
    <row r="335" spans="1:11" x14ac:dyDescent="0.3">
      <c r="A335" s="171">
        <v>699</v>
      </c>
      <c r="B335" s="45">
        <v>-1.8538000000000001E-3</v>
      </c>
      <c r="C335" s="45">
        <v>-2.4767999999999999E-3</v>
      </c>
      <c r="D335" s="45">
        <v>-2.2204E-3</v>
      </c>
      <c r="E335" s="45">
        <v>3.8859000000000002E-4</v>
      </c>
      <c r="F335" s="45">
        <v>-7.2807000000000002E-3</v>
      </c>
      <c r="G335" s="45">
        <v>9.9904E-3</v>
      </c>
      <c r="H335" s="45">
        <v>-1.8532E-2</v>
      </c>
      <c r="I335" s="45">
        <v>2.9121999999999999E-2</v>
      </c>
      <c r="J335" s="45">
        <v>3.3487E-3</v>
      </c>
      <c r="K335" s="45">
        <v>-1.1122E-3</v>
      </c>
    </row>
    <row r="336" spans="1:11" x14ac:dyDescent="0.3">
      <c r="A336" s="171">
        <v>700</v>
      </c>
      <c r="B336" s="45">
        <v>-2.0542999999999998E-3</v>
      </c>
      <c r="C336" s="45">
        <v>-2.8538000000000001E-3</v>
      </c>
      <c r="D336" s="45">
        <v>-2.3500999999999999E-3</v>
      </c>
      <c r="E336" s="45">
        <v>1.2338E-4</v>
      </c>
      <c r="F336" s="45">
        <v>-7.4878000000000002E-3</v>
      </c>
      <c r="G336" s="45">
        <v>9.8899999999999995E-3</v>
      </c>
      <c r="H336" s="45">
        <v>-1.8763999999999999E-2</v>
      </c>
      <c r="I336" s="45">
        <v>2.8586E-2</v>
      </c>
      <c r="J336" s="45">
        <v>3.8671000000000001E-3</v>
      </c>
      <c r="K336" s="45">
        <v>-1.2286E-3</v>
      </c>
    </row>
    <row r="337" spans="1:11" x14ac:dyDescent="0.3">
      <c r="A337" s="171">
        <v>701</v>
      </c>
      <c r="B337" s="45">
        <v>-2.2504999999999999E-3</v>
      </c>
      <c r="C337" s="45">
        <v>-3.2418999999999998E-3</v>
      </c>
      <c r="D337" s="45">
        <v>-2.4800999999999998E-3</v>
      </c>
      <c r="E337" s="45">
        <v>-1.5118999999999999E-4</v>
      </c>
      <c r="F337" s="45">
        <v>-7.6857000000000002E-3</v>
      </c>
      <c r="G337" s="45">
        <v>9.7628000000000003E-3</v>
      </c>
      <c r="H337" s="45">
        <v>-1.8964999999999999E-2</v>
      </c>
      <c r="I337" s="45">
        <v>2.8021000000000001E-2</v>
      </c>
      <c r="J337" s="45">
        <v>4.3943000000000003E-3</v>
      </c>
      <c r="K337" s="45">
        <v>-1.3465E-3</v>
      </c>
    </row>
    <row r="338" spans="1:11" x14ac:dyDescent="0.3">
      <c r="A338" s="171">
        <v>702</v>
      </c>
      <c r="B338" s="45">
        <v>-2.4420000000000002E-3</v>
      </c>
      <c r="C338" s="45">
        <v>-3.6403E-3</v>
      </c>
      <c r="D338" s="45">
        <v>-2.6102999999999999E-3</v>
      </c>
      <c r="E338" s="45">
        <v>-4.3437E-4</v>
      </c>
      <c r="F338" s="45">
        <v>-7.8744000000000001E-3</v>
      </c>
      <c r="G338" s="45">
        <v>9.6100999999999999E-3</v>
      </c>
      <c r="H338" s="45">
        <v>-1.9137000000000001E-2</v>
      </c>
      <c r="I338" s="45">
        <v>2.7431000000000001E-2</v>
      </c>
      <c r="J338" s="45">
        <v>4.9293999999999996E-3</v>
      </c>
      <c r="K338" s="45">
        <v>-1.4658E-3</v>
      </c>
    </row>
    <row r="339" spans="1:11" x14ac:dyDescent="0.3">
      <c r="A339" s="171">
        <v>703</v>
      </c>
      <c r="B339" s="45">
        <v>-2.6281999999999998E-3</v>
      </c>
      <c r="C339" s="45">
        <v>-4.0485E-3</v>
      </c>
      <c r="D339" s="45">
        <v>-2.7407E-3</v>
      </c>
      <c r="E339" s="45">
        <v>-7.2537999999999997E-4</v>
      </c>
      <c r="F339" s="45">
        <v>-8.0541999999999992E-3</v>
      </c>
      <c r="G339" s="45">
        <v>9.4333000000000004E-3</v>
      </c>
      <c r="H339" s="45">
        <v>-1.9281E-2</v>
      </c>
      <c r="I339" s="45">
        <v>2.6817000000000001E-2</v>
      </c>
      <c r="J339" s="45">
        <v>5.4714000000000004E-3</v>
      </c>
      <c r="K339" s="45">
        <v>-1.5862999999999999E-3</v>
      </c>
    </row>
    <row r="340" spans="1:11" x14ac:dyDescent="0.3">
      <c r="A340" s="171">
        <v>704</v>
      </c>
      <c r="B340" s="45">
        <v>-2.8086999999999999E-3</v>
      </c>
      <c r="C340" s="45">
        <v>-4.4653999999999996E-3</v>
      </c>
      <c r="D340" s="45">
        <v>-2.8714000000000001E-3</v>
      </c>
      <c r="E340" s="45">
        <v>-1.0234E-3</v>
      </c>
      <c r="F340" s="45">
        <v>-8.2252999999999996E-3</v>
      </c>
      <c r="G340" s="45">
        <v>9.2336999999999992E-3</v>
      </c>
      <c r="H340" s="45">
        <v>-1.9397999999999999E-2</v>
      </c>
      <c r="I340" s="45">
        <v>2.6179999999999998E-2</v>
      </c>
      <c r="J340" s="45">
        <v>6.0196E-3</v>
      </c>
      <c r="K340" s="45">
        <v>-1.7078E-3</v>
      </c>
    </row>
    <row r="341" spans="1:11" x14ac:dyDescent="0.3">
      <c r="A341" s="171">
        <v>705</v>
      </c>
      <c r="B341" s="45">
        <v>-2.9832999999999999E-3</v>
      </c>
      <c r="C341" s="45">
        <v>-4.8901999999999999E-3</v>
      </c>
      <c r="D341" s="45">
        <v>-3.0025999999999998E-3</v>
      </c>
      <c r="E341" s="45">
        <v>-1.3277E-3</v>
      </c>
      <c r="F341" s="45">
        <v>-8.3879999999999996E-3</v>
      </c>
      <c r="G341" s="45">
        <v>9.0127000000000002E-3</v>
      </c>
      <c r="H341" s="45">
        <v>-1.949E-2</v>
      </c>
      <c r="I341" s="45">
        <v>2.5523000000000001E-2</v>
      </c>
      <c r="J341" s="45">
        <v>6.5728999999999996E-3</v>
      </c>
      <c r="K341" s="45">
        <v>-1.83E-3</v>
      </c>
    </row>
    <row r="342" spans="1:11" x14ac:dyDescent="0.3">
      <c r="A342" s="171">
        <v>706</v>
      </c>
      <c r="B342" s="45">
        <v>-3.1518000000000002E-3</v>
      </c>
      <c r="C342" s="45">
        <v>-5.3220000000000003E-3</v>
      </c>
      <c r="D342" s="45">
        <v>-3.1342000000000002E-3</v>
      </c>
      <c r="E342" s="45">
        <v>-1.6373E-3</v>
      </c>
      <c r="F342" s="45">
        <v>-8.5425999999999992E-3</v>
      </c>
      <c r="G342" s="45">
        <v>8.7715999999999992E-3</v>
      </c>
      <c r="H342" s="45">
        <v>-1.9557999999999999E-2</v>
      </c>
      <c r="I342" s="45">
        <v>2.4847000000000001E-2</v>
      </c>
      <c r="J342" s="45">
        <v>7.1306E-3</v>
      </c>
      <c r="K342" s="45">
        <v>-1.9528E-3</v>
      </c>
    </row>
    <row r="343" spans="1:11" x14ac:dyDescent="0.3">
      <c r="A343" s="171">
        <v>707</v>
      </c>
      <c r="B343" s="45">
        <v>-3.3140999999999999E-3</v>
      </c>
      <c r="C343" s="45">
        <v>-5.7597000000000004E-3</v>
      </c>
      <c r="D343" s="45">
        <v>-3.2663000000000002E-3</v>
      </c>
      <c r="E343" s="45">
        <v>-1.9515999999999999E-3</v>
      </c>
      <c r="F343" s="45">
        <v>-8.6891999999999994E-3</v>
      </c>
      <c r="G343" s="45">
        <v>8.5118999999999993E-3</v>
      </c>
      <c r="H343" s="45">
        <v>-1.9604E-2</v>
      </c>
      <c r="I343" s="45">
        <v>2.4154999999999999E-2</v>
      </c>
      <c r="J343" s="45">
        <v>7.6917000000000001E-3</v>
      </c>
      <c r="K343" s="45">
        <v>-2.0758999999999999E-3</v>
      </c>
    </row>
    <row r="344" spans="1:11" x14ac:dyDescent="0.3">
      <c r="A344" s="171">
        <v>708</v>
      </c>
      <c r="B344" s="45">
        <v>-3.4702000000000001E-3</v>
      </c>
      <c r="C344" s="45">
        <v>-6.2021999999999997E-3</v>
      </c>
      <c r="D344" s="45">
        <v>-3.3991E-3</v>
      </c>
      <c r="E344" s="45">
        <v>-2.2694999999999998E-3</v>
      </c>
      <c r="F344" s="45">
        <v>-8.8283000000000007E-3</v>
      </c>
      <c r="G344" s="45">
        <v>8.2349999999999993E-3</v>
      </c>
      <c r="H344" s="45">
        <v>-1.9629000000000001E-2</v>
      </c>
      <c r="I344" s="45">
        <v>2.3448E-2</v>
      </c>
      <c r="J344" s="45">
        <v>8.2553000000000001E-3</v>
      </c>
      <c r="K344" s="45">
        <v>-2.1990999999999998E-3</v>
      </c>
    </row>
    <row r="345" spans="1:11" x14ac:dyDescent="0.3">
      <c r="A345" s="171">
        <v>709</v>
      </c>
      <c r="B345" s="45">
        <v>-3.6202000000000001E-3</v>
      </c>
      <c r="C345" s="45">
        <v>-6.6486000000000002E-3</v>
      </c>
      <c r="D345" s="45">
        <v>-3.5328E-3</v>
      </c>
      <c r="E345" s="45">
        <v>-2.5904000000000001E-3</v>
      </c>
      <c r="F345" s="45">
        <v>-8.9601000000000004E-3</v>
      </c>
      <c r="G345" s="45">
        <v>7.9422999999999994E-3</v>
      </c>
      <c r="H345" s="45">
        <v>-1.9633999999999999E-2</v>
      </c>
      <c r="I345" s="45">
        <v>2.2728000000000002E-2</v>
      </c>
      <c r="J345" s="45">
        <v>8.8207000000000008E-3</v>
      </c>
      <c r="K345" s="45">
        <v>-2.3222999999999998E-3</v>
      </c>
    </row>
    <row r="346" spans="1:11" x14ac:dyDescent="0.3">
      <c r="A346" s="171">
        <v>710</v>
      </c>
      <c r="B346" s="45">
        <v>-3.7642999999999999E-3</v>
      </c>
      <c r="C346" s="45">
        <v>-7.0975999999999999E-3</v>
      </c>
      <c r="D346" s="45">
        <v>-3.6673000000000001E-3</v>
      </c>
      <c r="E346" s="45">
        <v>-2.9134E-3</v>
      </c>
      <c r="F346" s="45">
        <v>-9.0848999999999999E-3</v>
      </c>
      <c r="G346" s="45">
        <v>7.6352E-3</v>
      </c>
      <c r="H346" s="45">
        <v>-1.9622000000000001E-2</v>
      </c>
      <c r="I346" s="45">
        <v>2.1996999999999999E-2</v>
      </c>
      <c r="J346" s="45">
        <v>9.3868000000000007E-3</v>
      </c>
      <c r="K346" s="45">
        <v>-2.4453000000000001E-3</v>
      </c>
    </row>
    <row r="347" spans="1:11" x14ac:dyDescent="0.3">
      <c r="A347" s="171">
        <v>711</v>
      </c>
      <c r="B347" s="45">
        <v>-3.9026E-3</v>
      </c>
      <c r="C347" s="45">
        <v>-7.5483E-3</v>
      </c>
      <c r="D347" s="45">
        <v>-3.8029000000000001E-3</v>
      </c>
      <c r="E347" s="45">
        <v>-3.2377E-3</v>
      </c>
      <c r="F347" s="45">
        <v>-9.2031000000000005E-3</v>
      </c>
      <c r="G347" s="45">
        <v>7.3150999999999997E-3</v>
      </c>
      <c r="H347" s="45">
        <v>-1.9592999999999999E-2</v>
      </c>
      <c r="I347" s="45">
        <v>2.1257000000000002E-2</v>
      </c>
      <c r="J347" s="45">
        <v>9.953E-3</v>
      </c>
      <c r="K347" s="45">
        <v>-2.5679000000000001E-3</v>
      </c>
    </row>
    <row r="348" spans="1:11" x14ac:dyDescent="0.3">
      <c r="A348" s="171">
        <v>712</v>
      </c>
      <c r="B348" s="45">
        <v>-4.0353999999999998E-3</v>
      </c>
      <c r="C348" s="45">
        <v>-7.9994000000000003E-3</v>
      </c>
      <c r="D348" s="45">
        <v>-3.9395999999999997E-3</v>
      </c>
      <c r="E348" s="45">
        <v>-3.5626E-3</v>
      </c>
      <c r="F348" s="45">
        <v>-9.3150000000000004E-3</v>
      </c>
      <c r="G348" s="45">
        <v>6.9832000000000002E-3</v>
      </c>
      <c r="H348" s="45">
        <v>-1.9549E-2</v>
      </c>
      <c r="I348" s="45">
        <v>2.0508999999999999E-2</v>
      </c>
      <c r="J348" s="45">
        <v>1.0519000000000001E-2</v>
      </c>
      <c r="K348" s="45">
        <v>-2.6898E-3</v>
      </c>
    </row>
    <row r="349" spans="1:11" x14ac:dyDescent="0.3">
      <c r="A349" s="171">
        <v>713</v>
      </c>
      <c r="B349" s="45">
        <v>-4.1631000000000003E-3</v>
      </c>
      <c r="C349" s="45">
        <v>-8.4498999999999998E-3</v>
      </c>
      <c r="D349" s="45">
        <v>-4.0775999999999998E-3</v>
      </c>
      <c r="E349" s="45">
        <v>-3.8871999999999999E-3</v>
      </c>
      <c r="F349" s="45">
        <v>-9.4210000000000006E-3</v>
      </c>
      <c r="G349" s="45">
        <v>6.6408999999999999E-3</v>
      </c>
      <c r="H349" s="45">
        <v>-1.9491999999999999E-2</v>
      </c>
      <c r="I349" s="45">
        <v>1.9755000000000002E-2</v>
      </c>
      <c r="J349" s="45">
        <v>1.1083000000000001E-2</v>
      </c>
      <c r="K349" s="45">
        <v>-2.8110000000000001E-3</v>
      </c>
    </row>
    <row r="350" spans="1:11" x14ac:dyDescent="0.3">
      <c r="A350" s="171">
        <v>714</v>
      </c>
      <c r="B350" s="45">
        <v>-4.2861000000000002E-3</v>
      </c>
      <c r="C350" s="45">
        <v>-8.8988000000000001E-3</v>
      </c>
      <c r="D350" s="45">
        <v>-4.2170999999999997E-3</v>
      </c>
      <c r="E350" s="45">
        <v>-4.2107999999999998E-3</v>
      </c>
      <c r="F350" s="45">
        <v>-9.5215000000000004E-3</v>
      </c>
      <c r="G350" s="45">
        <v>6.2896000000000002E-3</v>
      </c>
      <c r="H350" s="45">
        <v>-1.9421000000000001E-2</v>
      </c>
      <c r="I350" s="45">
        <v>1.8995000000000001E-2</v>
      </c>
      <c r="J350" s="45">
        <v>1.1644E-2</v>
      </c>
      <c r="K350" s="45">
        <v>-2.9312000000000001E-3</v>
      </c>
    </row>
    <row r="351" spans="1:11" x14ac:dyDescent="0.3">
      <c r="A351" s="171">
        <v>715</v>
      </c>
      <c r="B351" s="45">
        <v>-4.4048999999999998E-3</v>
      </c>
      <c r="C351" s="45">
        <v>-9.3448999999999997E-3</v>
      </c>
      <c r="D351" s="45">
        <v>-4.3581000000000002E-3</v>
      </c>
      <c r="E351" s="45">
        <v>-4.5328E-3</v>
      </c>
      <c r="F351" s="45">
        <v>-9.6168E-3</v>
      </c>
      <c r="G351" s="45">
        <v>5.9303999999999997E-3</v>
      </c>
      <c r="H351" s="45">
        <v>-1.9338999999999999E-2</v>
      </c>
      <c r="I351" s="45">
        <v>1.8232999999999999E-2</v>
      </c>
      <c r="J351" s="45">
        <v>1.2203E-2</v>
      </c>
      <c r="K351" s="45">
        <v>-3.0504E-3</v>
      </c>
    </row>
    <row r="352" spans="1:11" x14ac:dyDescent="0.3">
      <c r="A352" s="171">
        <v>716</v>
      </c>
      <c r="B352" s="45">
        <v>-4.5199999999999997E-3</v>
      </c>
      <c r="C352" s="45">
        <v>-9.7873000000000005E-3</v>
      </c>
      <c r="D352" s="45">
        <v>-4.5009000000000004E-3</v>
      </c>
      <c r="E352" s="45">
        <v>-4.8525E-3</v>
      </c>
      <c r="F352" s="45">
        <v>-9.7075000000000009E-3</v>
      </c>
      <c r="G352" s="45">
        <v>5.5645E-3</v>
      </c>
      <c r="H352" s="45">
        <v>-1.9247E-2</v>
      </c>
      <c r="I352" s="45">
        <v>1.7468999999999998E-2</v>
      </c>
      <c r="J352" s="45">
        <v>1.2759E-2</v>
      </c>
      <c r="K352" s="45">
        <v>-3.1683000000000002E-3</v>
      </c>
    </row>
    <row r="353" spans="1:11" x14ac:dyDescent="0.3">
      <c r="A353" s="171">
        <v>717</v>
      </c>
      <c r="B353" s="45">
        <v>-4.6321000000000001E-3</v>
      </c>
      <c r="C353" s="45">
        <v>-1.0225E-2</v>
      </c>
      <c r="D353" s="45">
        <v>-4.6454000000000001E-3</v>
      </c>
      <c r="E353" s="45">
        <v>-5.1691000000000003E-3</v>
      </c>
      <c r="F353" s="45">
        <v>-9.7938999999999995E-3</v>
      </c>
      <c r="G353" s="45">
        <v>5.1931E-3</v>
      </c>
      <c r="H353" s="45">
        <v>-1.9144999999999999E-2</v>
      </c>
      <c r="I353" s="45">
        <v>1.6704E-2</v>
      </c>
      <c r="J353" s="45">
        <v>1.3311E-2</v>
      </c>
      <c r="K353" s="45">
        <v>-3.2848999999999999E-3</v>
      </c>
    </row>
    <row r="354" spans="1:11" x14ac:dyDescent="0.3">
      <c r="A354" s="171">
        <v>718</v>
      </c>
      <c r="B354" s="45">
        <v>-4.7418E-3</v>
      </c>
      <c r="C354" s="45">
        <v>-1.0656000000000001E-2</v>
      </c>
      <c r="D354" s="45">
        <v>-4.7919E-3</v>
      </c>
      <c r="E354" s="45">
        <v>-5.4821000000000002E-3</v>
      </c>
      <c r="F354" s="45">
        <v>-9.8764999999999999E-3</v>
      </c>
      <c r="G354" s="45">
        <v>4.8174000000000003E-3</v>
      </c>
      <c r="H354" s="45">
        <v>-1.9035E-2</v>
      </c>
      <c r="I354" s="45">
        <v>1.5938999999999998E-2</v>
      </c>
      <c r="J354" s="45">
        <v>1.3858000000000001E-2</v>
      </c>
      <c r="K354" s="45">
        <v>-3.3999999999999998E-3</v>
      </c>
    </row>
    <row r="355" spans="1:11" x14ac:dyDescent="0.3">
      <c r="A355" s="171">
        <v>719</v>
      </c>
      <c r="B355" s="45">
        <v>-4.8497999999999996E-3</v>
      </c>
      <c r="C355" s="45">
        <v>-1.1081000000000001E-2</v>
      </c>
      <c r="D355" s="45">
        <v>-4.9404999999999996E-3</v>
      </c>
      <c r="E355" s="45">
        <v>-5.7908999999999999E-3</v>
      </c>
      <c r="F355" s="45">
        <v>-9.9556999999999996E-3</v>
      </c>
      <c r="G355" s="45">
        <v>4.4384000000000003E-3</v>
      </c>
      <c r="H355" s="45">
        <v>-1.8917E-2</v>
      </c>
      <c r="I355" s="45">
        <v>1.5177E-2</v>
      </c>
      <c r="J355" s="45">
        <v>1.44E-2</v>
      </c>
      <c r="K355" s="45">
        <v>-3.5135000000000001E-3</v>
      </c>
    </row>
    <row r="356" spans="1:11" x14ac:dyDescent="0.3">
      <c r="A356" s="171">
        <v>720</v>
      </c>
      <c r="B356" s="45">
        <v>-4.9569000000000002E-3</v>
      </c>
      <c r="C356" s="45">
        <v>-1.1499000000000001E-2</v>
      </c>
      <c r="D356" s="45">
        <v>-5.0913E-3</v>
      </c>
      <c r="E356" s="45">
        <v>-6.0948E-3</v>
      </c>
      <c r="F356" s="45">
        <v>-1.0031999999999999E-2</v>
      </c>
      <c r="G356" s="45">
        <v>4.0571000000000001E-3</v>
      </c>
      <c r="H356" s="45">
        <v>-1.8793000000000001E-2</v>
      </c>
      <c r="I356" s="45">
        <v>1.4416E-2</v>
      </c>
      <c r="J356" s="45">
        <v>1.4937000000000001E-2</v>
      </c>
      <c r="K356" s="45">
        <v>-3.6254E-3</v>
      </c>
    </row>
    <row r="357" spans="1:11" x14ac:dyDescent="0.3">
      <c r="A357" s="171">
        <v>721</v>
      </c>
      <c r="B357" s="45">
        <v>-5.0638000000000002E-3</v>
      </c>
      <c r="C357" s="45">
        <v>-1.1906999999999999E-2</v>
      </c>
      <c r="D357" s="45">
        <v>-5.2443999999999998E-3</v>
      </c>
      <c r="E357" s="45">
        <v>-6.3933999999999996E-3</v>
      </c>
      <c r="F357" s="45">
        <v>-1.0106E-2</v>
      </c>
      <c r="G357" s="45">
        <v>3.6746000000000001E-3</v>
      </c>
      <c r="H357" s="45">
        <v>-1.8662999999999999E-2</v>
      </c>
      <c r="I357" s="45">
        <v>1.3658999999999999E-2</v>
      </c>
      <c r="J357" s="45">
        <v>1.5468000000000001E-2</v>
      </c>
      <c r="K357" s="45">
        <v>-3.7355000000000001E-3</v>
      </c>
    </row>
    <row r="358" spans="1:11" x14ac:dyDescent="0.3">
      <c r="A358" s="171">
        <v>722</v>
      </c>
      <c r="B358" s="45">
        <v>-5.1713000000000002E-3</v>
      </c>
      <c r="C358" s="45">
        <v>-1.2305999999999999E-2</v>
      </c>
      <c r="D358" s="45">
        <v>-5.3999E-3</v>
      </c>
      <c r="E358" s="45">
        <v>-6.6861999999999998E-3</v>
      </c>
      <c r="F358" s="45">
        <v>-1.0178E-2</v>
      </c>
      <c r="G358" s="45">
        <v>3.2916999999999998E-3</v>
      </c>
      <c r="H358" s="45">
        <v>-1.8527999999999999E-2</v>
      </c>
      <c r="I358" s="45">
        <v>1.2906000000000001E-2</v>
      </c>
      <c r="J358" s="45">
        <v>1.5991999999999999E-2</v>
      </c>
      <c r="K358" s="45">
        <v>-3.8438000000000001E-3</v>
      </c>
    </row>
    <row r="359" spans="1:11" x14ac:dyDescent="0.3">
      <c r="A359" s="171">
        <v>723</v>
      </c>
      <c r="B359" s="45">
        <v>-5.2802999999999999E-3</v>
      </c>
      <c r="C359" s="45">
        <v>-1.2695E-2</v>
      </c>
      <c r="D359" s="45">
        <v>-5.5579000000000002E-3</v>
      </c>
      <c r="E359" s="45">
        <v>-6.9727000000000001E-3</v>
      </c>
      <c r="F359" s="45">
        <v>-1.0248999999999999E-2</v>
      </c>
      <c r="G359" s="45">
        <v>2.9093999999999999E-3</v>
      </c>
      <c r="H359" s="45">
        <v>-1.8388999999999999E-2</v>
      </c>
      <c r="I359" s="45">
        <v>1.2158E-2</v>
      </c>
      <c r="J359" s="45">
        <v>1.6511000000000001E-2</v>
      </c>
      <c r="K359" s="45">
        <v>-3.9500999999999998E-3</v>
      </c>
    </row>
    <row r="360" spans="1:11" x14ac:dyDescent="0.3">
      <c r="A360" s="171">
        <v>724</v>
      </c>
      <c r="B360" s="45">
        <v>-5.3914999999999996E-3</v>
      </c>
      <c r="C360" s="45">
        <v>-1.3073E-2</v>
      </c>
      <c r="D360" s="45">
        <v>-5.7185999999999999E-3</v>
      </c>
      <c r="E360" s="45">
        <v>-7.2524E-3</v>
      </c>
      <c r="F360" s="45">
        <v>-1.0318000000000001E-2</v>
      </c>
      <c r="G360" s="45">
        <v>2.5284000000000001E-3</v>
      </c>
      <c r="H360" s="45">
        <v>-1.8245999999999998E-2</v>
      </c>
      <c r="I360" s="45">
        <v>1.1415E-2</v>
      </c>
      <c r="J360" s="45">
        <v>1.7021999999999999E-2</v>
      </c>
      <c r="K360" s="45">
        <v>-4.0544999999999999E-3</v>
      </c>
    </row>
    <row r="361" spans="1:11" x14ac:dyDescent="0.3">
      <c r="A361" s="171">
        <v>725</v>
      </c>
      <c r="B361" s="45">
        <v>-5.5057999999999999E-3</v>
      </c>
      <c r="C361" s="45">
        <v>-1.3439E-2</v>
      </c>
      <c r="D361" s="45">
        <v>-5.8820000000000001E-3</v>
      </c>
      <c r="E361" s="45">
        <v>-7.5249000000000002E-3</v>
      </c>
      <c r="F361" s="45">
        <v>-1.0387E-2</v>
      </c>
      <c r="G361" s="45">
        <v>2.1497E-3</v>
      </c>
      <c r="H361" s="45">
        <v>-1.8100000000000002E-2</v>
      </c>
      <c r="I361" s="45">
        <v>1.0678999999999999E-2</v>
      </c>
      <c r="J361" s="45">
        <v>1.7526E-2</v>
      </c>
      <c r="K361" s="45">
        <v>-4.1568999999999998E-3</v>
      </c>
    </row>
    <row r="362" spans="1:11" x14ac:dyDescent="0.3">
      <c r="A362" s="171">
        <v>726</v>
      </c>
      <c r="B362" s="45">
        <v>-5.6239000000000003E-3</v>
      </c>
      <c r="C362" s="45">
        <v>-1.3792E-2</v>
      </c>
      <c r="D362" s="45">
        <v>-6.0480999999999998E-3</v>
      </c>
      <c r="E362" s="45">
        <v>-7.7898999999999998E-3</v>
      </c>
      <c r="F362" s="45">
        <v>-1.0456999999999999E-2</v>
      </c>
      <c r="G362" s="45">
        <v>1.7738999999999999E-3</v>
      </c>
      <c r="H362" s="45">
        <v>-1.7951000000000002E-2</v>
      </c>
      <c r="I362" s="45">
        <v>9.9491000000000007E-3</v>
      </c>
      <c r="J362" s="45">
        <v>1.8023999999999998E-2</v>
      </c>
      <c r="K362" s="45">
        <v>-4.2570999999999998E-3</v>
      </c>
    </row>
    <row r="363" spans="1:11" x14ac:dyDescent="0.3">
      <c r="A363" s="171">
        <v>727</v>
      </c>
      <c r="B363" s="45">
        <v>-5.7463999999999996E-3</v>
      </c>
      <c r="C363" s="45">
        <v>-1.4133E-2</v>
      </c>
      <c r="D363" s="45">
        <v>-6.2172E-3</v>
      </c>
      <c r="E363" s="45">
        <v>-8.0468999999999992E-3</v>
      </c>
      <c r="F363" s="45">
        <v>-1.0526000000000001E-2</v>
      </c>
      <c r="G363" s="45">
        <v>1.4017000000000001E-3</v>
      </c>
      <c r="H363" s="45">
        <v>-1.78E-2</v>
      </c>
      <c r="I363" s="45">
        <v>9.2263999999999992E-3</v>
      </c>
      <c r="J363" s="45">
        <v>1.8513999999999999E-2</v>
      </c>
      <c r="K363" s="45">
        <v>-4.3553000000000003E-3</v>
      </c>
    </row>
    <row r="364" spans="1:11" x14ac:dyDescent="0.3">
      <c r="A364" s="171">
        <v>728</v>
      </c>
      <c r="B364" s="45">
        <v>-5.8741000000000002E-3</v>
      </c>
      <c r="C364" s="45">
        <v>-1.4460000000000001E-2</v>
      </c>
      <c r="D364" s="45">
        <v>-6.3891E-3</v>
      </c>
      <c r="E364" s="45">
        <v>-8.2956999999999996E-3</v>
      </c>
      <c r="F364" s="45">
        <v>-1.0596E-2</v>
      </c>
      <c r="G364" s="45">
        <v>1.0337E-3</v>
      </c>
      <c r="H364" s="45">
        <v>-1.7646999999999999E-2</v>
      </c>
      <c r="I364" s="45">
        <v>8.5111000000000006E-3</v>
      </c>
      <c r="J364" s="45">
        <v>1.8995999999999999E-2</v>
      </c>
      <c r="K364" s="45">
        <v>-4.4513E-3</v>
      </c>
    </row>
    <row r="365" spans="1:11" x14ac:dyDescent="0.3">
      <c r="A365" s="171">
        <v>729</v>
      </c>
      <c r="B365" s="45">
        <v>-6.0076000000000001E-3</v>
      </c>
      <c r="C365" s="45">
        <v>-1.4773E-2</v>
      </c>
      <c r="D365" s="45">
        <v>-6.5640000000000004E-3</v>
      </c>
      <c r="E365" s="45">
        <v>-8.5360999999999996E-3</v>
      </c>
      <c r="F365" s="45">
        <v>-1.0668E-2</v>
      </c>
      <c r="G365" s="45">
        <v>6.7062999999999997E-4</v>
      </c>
      <c r="H365" s="45">
        <v>-1.7493000000000002E-2</v>
      </c>
      <c r="I365" s="45">
        <v>7.8037000000000002E-3</v>
      </c>
      <c r="J365" s="45">
        <v>1.9470000000000001E-2</v>
      </c>
      <c r="K365" s="45">
        <v>-4.5450999999999998E-3</v>
      </c>
    </row>
    <row r="366" spans="1:11" x14ac:dyDescent="0.3">
      <c r="A366" s="171">
        <v>730</v>
      </c>
      <c r="B366" s="45">
        <v>-6.1473999999999999E-3</v>
      </c>
      <c r="C366" s="45">
        <v>-1.5070999999999999E-2</v>
      </c>
      <c r="D366" s="45">
        <v>-6.7419000000000003E-3</v>
      </c>
      <c r="E366" s="45">
        <v>-8.7676000000000004E-3</v>
      </c>
      <c r="F366" s="45">
        <v>-1.0741000000000001E-2</v>
      </c>
      <c r="G366" s="45">
        <v>3.1290000000000002E-4</v>
      </c>
      <c r="H366" s="45">
        <v>-1.7337999999999999E-2</v>
      </c>
      <c r="I366" s="45">
        <v>7.1044000000000003E-3</v>
      </c>
      <c r="J366" s="45">
        <v>1.9937E-2</v>
      </c>
      <c r="K366" s="45">
        <v>-4.6366999999999997E-3</v>
      </c>
    </row>
    <row r="367" spans="1:11" x14ac:dyDescent="0.3">
      <c r="A367" s="171">
        <v>731</v>
      </c>
      <c r="B367" s="45">
        <v>-6.2938999999999998E-3</v>
      </c>
      <c r="C367" s="45">
        <v>-1.5355000000000001E-2</v>
      </c>
      <c r="D367" s="45">
        <v>-6.9227999999999998E-3</v>
      </c>
      <c r="E367" s="45">
        <v>-8.9902000000000003E-3</v>
      </c>
      <c r="F367" s="45">
        <v>-1.0815999999999999E-2</v>
      </c>
      <c r="G367" s="45">
        <v>-3.8994E-5</v>
      </c>
      <c r="H367" s="45">
        <v>-1.7183E-2</v>
      </c>
      <c r="I367" s="45">
        <v>6.4134999999999999E-3</v>
      </c>
      <c r="J367" s="45">
        <v>2.0396000000000001E-2</v>
      </c>
      <c r="K367" s="45">
        <v>-4.7260999999999996E-3</v>
      </c>
    </row>
    <row r="368" spans="1:11" x14ac:dyDescent="0.3">
      <c r="A368" s="171">
        <v>732</v>
      </c>
      <c r="B368" s="45">
        <v>-6.4475000000000001E-3</v>
      </c>
      <c r="C368" s="45">
        <v>-1.5624000000000001E-2</v>
      </c>
      <c r="D368" s="45">
        <v>-7.1066000000000002E-3</v>
      </c>
      <c r="E368" s="45">
        <v>-9.2035999999999993E-3</v>
      </c>
      <c r="F368" s="45">
        <v>-1.0893E-2</v>
      </c>
      <c r="G368" s="45">
        <v>-3.8463000000000001E-4</v>
      </c>
      <c r="H368" s="45">
        <v>-1.7027E-2</v>
      </c>
      <c r="I368" s="45">
        <v>5.7314000000000002E-3</v>
      </c>
      <c r="J368" s="45">
        <v>2.0846E-2</v>
      </c>
      <c r="K368" s="45">
        <v>-4.8132000000000001E-3</v>
      </c>
    </row>
    <row r="369" spans="1:11" x14ac:dyDescent="0.3">
      <c r="A369" s="171">
        <v>733</v>
      </c>
      <c r="B369" s="45">
        <v>-6.6083000000000001E-3</v>
      </c>
      <c r="C369" s="45">
        <v>-1.5878E-2</v>
      </c>
      <c r="D369" s="45">
        <v>-7.2934999999999996E-3</v>
      </c>
      <c r="E369" s="45">
        <v>-9.4076000000000003E-3</v>
      </c>
      <c r="F369" s="45">
        <v>-1.0972000000000001E-2</v>
      </c>
      <c r="G369" s="45">
        <v>-7.2365999999999999E-4</v>
      </c>
      <c r="H369" s="45">
        <v>-1.687E-2</v>
      </c>
      <c r="I369" s="45">
        <v>5.0581000000000003E-3</v>
      </c>
      <c r="J369" s="45">
        <v>2.1288999999999999E-2</v>
      </c>
      <c r="K369" s="45">
        <v>-4.8979999999999996E-3</v>
      </c>
    </row>
    <row r="370" spans="1:11" x14ac:dyDescent="0.3">
      <c r="A370" s="171">
        <v>734</v>
      </c>
      <c r="B370" s="45">
        <v>-6.7765000000000004E-3</v>
      </c>
      <c r="C370" s="45">
        <v>-1.6116999999999999E-2</v>
      </c>
      <c r="D370" s="45">
        <v>-7.4834000000000003E-3</v>
      </c>
      <c r="E370" s="45">
        <v>-9.6022E-3</v>
      </c>
      <c r="F370" s="45">
        <v>-1.1054E-2</v>
      </c>
      <c r="G370" s="45">
        <v>-1.0558E-3</v>
      </c>
      <c r="H370" s="45">
        <v>-1.6714E-2</v>
      </c>
      <c r="I370" s="45">
        <v>4.3939000000000001E-3</v>
      </c>
      <c r="J370" s="45">
        <v>2.1722999999999999E-2</v>
      </c>
      <c r="K370" s="45">
        <v>-4.9804999999999997E-3</v>
      </c>
    </row>
    <row r="371" spans="1:11" x14ac:dyDescent="0.3">
      <c r="A371" s="171">
        <v>735</v>
      </c>
      <c r="B371" s="45">
        <v>-6.9519999999999998E-3</v>
      </c>
      <c r="C371" s="45">
        <v>-1.6341000000000001E-2</v>
      </c>
      <c r="D371" s="45">
        <v>-7.6760999999999999E-3</v>
      </c>
      <c r="E371" s="45">
        <v>-9.7873000000000005E-3</v>
      </c>
      <c r="F371" s="45">
        <v>-1.1139E-2</v>
      </c>
      <c r="G371" s="45">
        <v>-1.3808E-3</v>
      </c>
      <c r="H371" s="45">
        <v>-1.6558E-2</v>
      </c>
      <c r="I371" s="45">
        <v>3.7388999999999999E-3</v>
      </c>
      <c r="J371" s="45">
        <v>2.2148999999999999E-2</v>
      </c>
      <c r="K371" s="45">
        <v>-5.0606999999999996E-3</v>
      </c>
    </row>
    <row r="372" spans="1:11" x14ac:dyDescent="0.3">
      <c r="A372" s="171">
        <v>736</v>
      </c>
      <c r="B372" s="45">
        <v>-7.1345999999999996E-3</v>
      </c>
      <c r="C372" s="45">
        <v>-1.6549999999999999E-2</v>
      </c>
      <c r="D372" s="45">
        <v>-7.8717000000000006E-3</v>
      </c>
      <c r="E372" s="45">
        <v>-9.9628000000000008E-3</v>
      </c>
      <c r="F372" s="45">
        <v>-1.1226E-2</v>
      </c>
      <c r="G372" s="45">
        <v>-1.6984999999999999E-3</v>
      </c>
      <c r="H372" s="45">
        <v>-1.6403000000000001E-2</v>
      </c>
      <c r="I372" s="45">
        <v>3.0933000000000002E-3</v>
      </c>
      <c r="J372" s="45">
        <v>2.2567E-2</v>
      </c>
      <c r="K372" s="45">
        <v>-5.1384999999999998E-3</v>
      </c>
    </row>
    <row r="373" spans="1:11" x14ac:dyDescent="0.3">
      <c r="A373" s="171">
        <v>737</v>
      </c>
      <c r="B373" s="45">
        <v>-7.3241000000000001E-3</v>
      </c>
      <c r="C373" s="45">
        <v>-1.6743999999999998E-2</v>
      </c>
      <c r="D373" s="45">
        <v>-8.0700000000000008E-3</v>
      </c>
      <c r="E373" s="45">
        <v>-1.0129000000000001E-2</v>
      </c>
      <c r="F373" s="45">
        <v>-1.1316E-2</v>
      </c>
      <c r="G373" s="45">
        <v>-2.0087999999999998E-3</v>
      </c>
      <c r="H373" s="45">
        <v>-1.6247999999999999E-2</v>
      </c>
      <c r="I373" s="45">
        <v>2.4572000000000001E-3</v>
      </c>
      <c r="J373" s="45">
        <v>2.2976E-2</v>
      </c>
      <c r="K373" s="45">
        <v>-5.2141000000000002E-3</v>
      </c>
    </row>
    <row r="374" spans="1:11" x14ac:dyDescent="0.3">
      <c r="A374" s="171">
        <v>738</v>
      </c>
      <c r="B374" s="45">
        <v>-7.5201E-3</v>
      </c>
      <c r="C374" s="45">
        <v>-1.6924000000000002E-2</v>
      </c>
      <c r="D374" s="45">
        <v>-8.2708999999999994E-3</v>
      </c>
      <c r="E374" s="45">
        <v>-1.0285000000000001E-2</v>
      </c>
      <c r="F374" s="45">
        <v>-1.1408E-2</v>
      </c>
      <c r="G374" s="45">
        <v>-2.3116E-3</v>
      </c>
      <c r="H374" s="45">
        <v>-1.6094000000000001E-2</v>
      </c>
      <c r="I374" s="45">
        <v>1.8307E-3</v>
      </c>
      <c r="J374" s="45">
        <v>2.3376999999999998E-2</v>
      </c>
      <c r="K374" s="45">
        <v>-5.2873E-3</v>
      </c>
    </row>
    <row r="375" spans="1:11" x14ac:dyDescent="0.3">
      <c r="A375" s="171">
        <v>739</v>
      </c>
      <c r="B375" s="45">
        <v>-7.7219999999999997E-3</v>
      </c>
      <c r="C375" s="45">
        <v>-1.7090000000000001E-2</v>
      </c>
      <c r="D375" s="45">
        <v>-8.4743000000000006E-3</v>
      </c>
      <c r="E375" s="45">
        <v>-1.0432E-2</v>
      </c>
      <c r="F375" s="45">
        <v>-1.1502999999999999E-2</v>
      </c>
      <c r="G375" s="45">
        <v>-2.6071000000000002E-3</v>
      </c>
      <c r="H375" s="45">
        <v>-1.5941E-2</v>
      </c>
      <c r="I375" s="45">
        <v>1.2137999999999999E-3</v>
      </c>
      <c r="J375" s="45">
        <v>2.3769999999999999E-2</v>
      </c>
      <c r="K375" s="45">
        <v>-5.3581000000000002E-3</v>
      </c>
    </row>
    <row r="376" spans="1:11" x14ac:dyDescent="0.3">
      <c r="A376" s="171">
        <v>740</v>
      </c>
      <c r="B376" s="45">
        <v>-7.9292000000000008E-3</v>
      </c>
      <c r="C376" s="45">
        <v>-1.7242E-2</v>
      </c>
      <c r="D376" s="45">
        <v>-8.6800000000000002E-3</v>
      </c>
      <c r="E376" s="45">
        <v>-1.057E-2</v>
      </c>
      <c r="F376" s="45">
        <v>-1.1599999999999999E-2</v>
      </c>
      <c r="G376" s="45">
        <v>-2.8952000000000001E-3</v>
      </c>
      <c r="H376" s="45">
        <v>-1.5788E-2</v>
      </c>
      <c r="I376" s="45">
        <v>6.0663999999999998E-4</v>
      </c>
      <c r="J376" s="45">
        <v>2.4153999999999998E-2</v>
      </c>
      <c r="K376" s="45">
        <v>-5.4264999999999999E-3</v>
      </c>
    </row>
    <row r="377" spans="1:11" x14ac:dyDescent="0.3">
      <c r="A377" s="171">
        <v>741</v>
      </c>
      <c r="B377" s="45">
        <v>-8.1410000000000007E-3</v>
      </c>
      <c r="C377" s="45">
        <v>-1.7382000000000002E-2</v>
      </c>
      <c r="D377" s="45">
        <v>-8.8877999999999995E-3</v>
      </c>
      <c r="E377" s="45">
        <v>-1.0697999999999999E-2</v>
      </c>
      <c r="F377" s="45">
        <v>-1.1698999999999999E-2</v>
      </c>
      <c r="G377" s="45">
        <v>-3.1760999999999998E-3</v>
      </c>
      <c r="H377" s="45">
        <v>-1.5636000000000001E-2</v>
      </c>
      <c r="I377" s="45">
        <v>9.2039000000000001E-6</v>
      </c>
      <c r="J377" s="45">
        <v>2.4528999999999999E-2</v>
      </c>
      <c r="K377" s="45">
        <v>-5.4926000000000003E-3</v>
      </c>
    </row>
    <row r="378" spans="1:11" x14ac:dyDescent="0.3">
      <c r="A378" s="171">
        <v>742</v>
      </c>
      <c r="B378" s="45">
        <v>-8.3566999999999999E-3</v>
      </c>
      <c r="C378" s="45">
        <v>-1.7509E-2</v>
      </c>
      <c r="D378" s="45">
        <v>-9.0974999999999997E-3</v>
      </c>
      <c r="E378" s="45">
        <v>-1.0817E-2</v>
      </c>
      <c r="F378" s="45">
        <v>-1.1801000000000001E-2</v>
      </c>
      <c r="G378" s="45">
        <v>-3.4499999999999999E-3</v>
      </c>
      <c r="H378" s="45">
        <v>-1.5485000000000001E-2</v>
      </c>
      <c r="I378" s="45">
        <v>-5.7846000000000004E-4</v>
      </c>
      <c r="J378" s="45">
        <v>2.4896000000000001E-2</v>
      </c>
      <c r="K378" s="45">
        <v>-5.5563000000000001E-3</v>
      </c>
    </row>
    <row r="379" spans="1:11" x14ac:dyDescent="0.3">
      <c r="A379" s="171">
        <v>743</v>
      </c>
      <c r="B379" s="45">
        <v>-8.5754000000000004E-3</v>
      </c>
      <c r="C379" s="45">
        <v>-1.7624999999999998E-2</v>
      </c>
      <c r="D379" s="45">
        <v>-9.3089000000000002E-3</v>
      </c>
      <c r="E379" s="45">
        <v>-1.0928E-2</v>
      </c>
      <c r="F379" s="45">
        <v>-1.1903E-2</v>
      </c>
      <c r="G379" s="45">
        <v>-3.7171000000000001E-3</v>
      </c>
      <c r="H379" s="45">
        <v>-1.5335E-2</v>
      </c>
      <c r="I379" s="45">
        <v>-1.1563999999999999E-3</v>
      </c>
      <c r="J379" s="45">
        <v>2.5255E-2</v>
      </c>
      <c r="K379" s="45">
        <v>-5.6176999999999998E-3</v>
      </c>
    </row>
    <row r="380" spans="1:11" x14ac:dyDescent="0.3">
      <c r="A380" s="171">
        <v>744</v>
      </c>
      <c r="B380" s="45">
        <v>-8.7965000000000005E-3</v>
      </c>
      <c r="C380" s="45">
        <v>-1.7729999999999999E-2</v>
      </c>
      <c r="D380" s="45">
        <v>-9.5215999999999999E-3</v>
      </c>
      <c r="E380" s="45">
        <v>-1.103E-2</v>
      </c>
      <c r="F380" s="45">
        <v>-1.2007E-2</v>
      </c>
      <c r="G380" s="45">
        <v>-3.9776000000000004E-3</v>
      </c>
      <c r="H380" s="45">
        <v>-1.5186E-2</v>
      </c>
      <c r="I380" s="45">
        <v>-1.7244999999999999E-3</v>
      </c>
      <c r="J380" s="45">
        <v>2.5604999999999999E-2</v>
      </c>
      <c r="K380" s="45">
        <v>-5.6766000000000004E-3</v>
      </c>
    </row>
    <row r="381" spans="1:11" x14ac:dyDescent="0.3">
      <c r="A381" s="171">
        <v>745</v>
      </c>
      <c r="B381" s="45">
        <v>-9.0191000000000004E-3</v>
      </c>
      <c r="C381" s="45">
        <v>-1.7825000000000001E-2</v>
      </c>
      <c r="D381" s="45">
        <v>-9.7354999999999994E-3</v>
      </c>
      <c r="E381" s="45">
        <v>-1.1124E-2</v>
      </c>
      <c r="F381" s="45">
        <v>-1.2112E-2</v>
      </c>
      <c r="G381" s="45">
        <v>-4.2319000000000002E-3</v>
      </c>
      <c r="H381" s="45">
        <v>-1.5037999999999999E-2</v>
      </c>
      <c r="I381" s="45">
        <v>-2.2829E-3</v>
      </c>
      <c r="J381" s="45">
        <v>2.5947000000000001E-2</v>
      </c>
      <c r="K381" s="45">
        <v>-5.7330999999999997E-3</v>
      </c>
    </row>
    <row r="382" spans="1:11" x14ac:dyDescent="0.3">
      <c r="A382" s="171">
        <v>746</v>
      </c>
      <c r="B382" s="45">
        <v>-9.2425000000000007E-3</v>
      </c>
      <c r="C382" s="45">
        <v>-1.7909000000000001E-2</v>
      </c>
      <c r="D382" s="45">
        <v>-9.9500999999999999E-3</v>
      </c>
      <c r="E382" s="45">
        <v>-1.1209999999999999E-2</v>
      </c>
      <c r="F382" s="45">
        <v>-1.2217E-2</v>
      </c>
      <c r="G382" s="45">
        <v>-4.4803000000000004E-3</v>
      </c>
      <c r="H382" s="45">
        <v>-1.489E-2</v>
      </c>
      <c r="I382" s="45">
        <v>-2.8314999999999998E-3</v>
      </c>
      <c r="J382" s="45">
        <v>2.6280000000000001E-2</v>
      </c>
      <c r="K382" s="45">
        <v>-5.7873000000000004E-3</v>
      </c>
    </row>
    <row r="383" spans="1:11" x14ac:dyDescent="0.3">
      <c r="A383" s="171">
        <v>747</v>
      </c>
      <c r="B383" s="45">
        <v>-9.4660999999999999E-3</v>
      </c>
      <c r="C383" s="45">
        <v>-1.7985000000000001E-2</v>
      </c>
      <c r="D383" s="45">
        <v>-1.0165E-2</v>
      </c>
      <c r="E383" s="45">
        <v>-1.1289E-2</v>
      </c>
      <c r="F383" s="45">
        <v>-1.2322E-2</v>
      </c>
      <c r="G383" s="45">
        <v>-4.7231E-3</v>
      </c>
      <c r="H383" s="45">
        <v>-1.4742999999999999E-2</v>
      </c>
      <c r="I383" s="45">
        <v>-3.3704999999999998E-3</v>
      </c>
      <c r="J383" s="45">
        <v>2.6605E-2</v>
      </c>
      <c r="K383" s="45">
        <v>-5.8390999999999998E-3</v>
      </c>
    </row>
    <row r="384" spans="1:11" x14ac:dyDescent="0.3">
      <c r="A384" s="171">
        <v>748</v>
      </c>
      <c r="B384" s="45">
        <v>-9.6892000000000002E-3</v>
      </c>
      <c r="C384" s="45">
        <v>-1.8053E-2</v>
      </c>
      <c r="D384" s="45">
        <v>-1.038E-2</v>
      </c>
      <c r="E384" s="45">
        <v>-1.1361E-2</v>
      </c>
      <c r="F384" s="45">
        <v>-1.2426E-2</v>
      </c>
      <c r="G384" s="45">
        <v>-4.9607000000000002E-3</v>
      </c>
      <c r="H384" s="45">
        <v>-1.4596E-2</v>
      </c>
      <c r="I384" s="45">
        <v>-3.8999E-3</v>
      </c>
      <c r="J384" s="45">
        <v>2.6921E-2</v>
      </c>
      <c r="K384" s="45">
        <v>-5.8884999999999996E-3</v>
      </c>
    </row>
    <row r="385" spans="1:11" x14ac:dyDescent="0.3">
      <c r="A385" s="171">
        <v>749</v>
      </c>
      <c r="B385" s="45">
        <v>-9.9114000000000008E-3</v>
      </c>
      <c r="C385" s="45">
        <v>-1.8112E-2</v>
      </c>
      <c r="D385" s="45">
        <v>-1.0595E-2</v>
      </c>
      <c r="E385" s="45">
        <v>-1.1426E-2</v>
      </c>
      <c r="F385" s="45">
        <v>-1.2529E-2</v>
      </c>
      <c r="G385" s="45">
        <v>-5.1935000000000002E-3</v>
      </c>
      <c r="H385" s="45">
        <v>-1.4451E-2</v>
      </c>
      <c r="I385" s="45">
        <v>-4.4197000000000004E-3</v>
      </c>
      <c r="J385" s="45">
        <v>2.7230000000000001E-2</v>
      </c>
      <c r="K385" s="45">
        <v>-5.9354000000000004E-3</v>
      </c>
    </row>
    <row r="386" spans="1:11" x14ac:dyDescent="0.3">
      <c r="A386" s="171">
        <v>750</v>
      </c>
      <c r="B386" s="45">
        <v>-1.0132E-2</v>
      </c>
      <c r="C386" s="45">
        <v>-1.8165000000000001E-2</v>
      </c>
      <c r="D386" s="45">
        <v>-1.081E-2</v>
      </c>
      <c r="E386" s="45">
        <v>-1.1485E-2</v>
      </c>
      <c r="F386" s="45">
        <v>-1.2631E-2</v>
      </c>
      <c r="G386" s="45">
        <v>-5.4218000000000001E-3</v>
      </c>
      <c r="H386" s="45">
        <v>-1.4305E-2</v>
      </c>
      <c r="I386" s="45">
        <v>-4.9299000000000001E-3</v>
      </c>
      <c r="J386" s="45">
        <v>2.7529000000000001E-2</v>
      </c>
      <c r="K386" s="45">
        <v>-5.9800000000000001E-3</v>
      </c>
    </row>
    <row r="387" spans="1:11" x14ac:dyDescent="0.3">
      <c r="A387" s="171">
        <v>751</v>
      </c>
      <c r="B387" s="45">
        <v>-1.0351000000000001E-2</v>
      </c>
      <c r="C387" s="45">
        <v>-1.821E-2</v>
      </c>
      <c r="D387" s="45">
        <v>-1.1023E-2</v>
      </c>
      <c r="E387" s="45">
        <v>-1.1538E-2</v>
      </c>
      <c r="F387" s="45">
        <v>-1.2730999999999999E-2</v>
      </c>
      <c r="G387" s="45">
        <v>-5.6461000000000003E-3</v>
      </c>
      <c r="H387" s="45">
        <v>-1.4160000000000001E-2</v>
      </c>
      <c r="I387" s="45">
        <v>-5.4308000000000004E-3</v>
      </c>
      <c r="J387" s="45">
        <v>2.7820999999999999E-2</v>
      </c>
      <c r="K387" s="45">
        <v>-6.0223000000000004E-3</v>
      </c>
    </row>
    <row r="388" spans="1:11" x14ac:dyDescent="0.3">
      <c r="A388" s="171">
        <v>752</v>
      </c>
      <c r="B388" s="45">
        <v>-1.0567999999999999E-2</v>
      </c>
      <c r="C388" s="45">
        <v>-1.8249000000000001E-2</v>
      </c>
      <c r="D388" s="45">
        <v>-1.1233999999999999E-2</v>
      </c>
      <c r="E388" s="45">
        <v>-1.1586000000000001E-2</v>
      </c>
      <c r="F388" s="45">
        <v>-1.2829E-2</v>
      </c>
      <c r="G388" s="45">
        <v>-5.8666999999999999E-3</v>
      </c>
      <c r="H388" s="45">
        <v>-1.4015E-2</v>
      </c>
      <c r="I388" s="45">
        <v>-5.9223000000000001E-3</v>
      </c>
      <c r="J388" s="45">
        <v>2.8104000000000001E-2</v>
      </c>
      <c r="K388" s="45">
        <v>-6.0621E-3</v>
      </c>
    </row>
    <row r="389" spans="1:11" x14ac:dyDescent="0.3">
      <c r="A389" s="171">
        <v>753</v>
      </c>
      <c r="B389" s="45">
        <v>-1.0782999999999999E-2</v>
      </c>
      <c r="C389" s="45">
        <v>-1.8283000000000001E-2</v>
      </c>
      <c r="D389" s="45">
        <v>-1.1443999999999999E-2</v>
      </c>
      <c r="E389" s="45">
        <v>-1.163E-2</v>
      </c>
      <c r="F389" s="45">
        <v>-1.2923E-2</v>
      </c>
      <c r="G389" s="45">
        <v>-6.084E-3</v>
      </c>
      <c r="H389" s="45">
        <v>-1.387E-2</v>
      </c>
      <c r="I389" s="45">
        <v>-6.4045999999999999E-3</v>
      </c>
      <c r="J389" s="45">
        <v>2.8379999999999999E-2</v>
      </c>
      <c r="K389" s="45">
        <v>-6.0996000000000002E-3</v>
      </c>
    </row>
    <row r="390" spans="1:11" x14ac:dyDescent="0.3">
      <c r="A390" s="171">
        <v>754</v>
      </c>
      <c r="B390" s="45">
        <v>-1.0996000000000001E-2</v>
      </c>
      <c r="C390" s="45">
        <v>-1.8311000000000001E-2</v>
      </c>
      <c r="D390" s="45">
        <v>-1.1651E-2</v>
      </c>
      <c r="E390" s="45">
        <v>-1.1669000000000001E-2</v>
      </c>
      <c r="F390" s="45">
        <v>-1.3015000000000001E-2</v>
      </c>
      <c r="G390" s="45">
        <v>-6.2985000000000003E-3</v>
      </c>
      <c r="H390" s="45">
        <v>-1.3726E-2</v>
      </c>
      <c r="I390" s="45">
        <v>-6.8776000000000002E-3</v>
      </c>
      <c r="J390" s="45">
        <v>2.8646999999999999E-2</v>
      </c>
      <c r="K390" s="45">
        <v>-6.1345999999999996E-3</v>
      </c>
    </row>
    <row r="391" spans="1:11" x14ac:dyDescent="0.3">
      <c r="A391" s="171">
        <v>755</v>
      </c>
      <c r="B391" s="45">
        <v>-1.1206000000000001E-2</v>
      </c>
      <c r="C391" s="45">
        <v>-1.8332999999999999E-2</v>
      </c>
      <c r="D391" s="45">
        <v>-1.1856E-2</v>
      </c>
      <c r="E391" s="45">
        <v>-1.1705E-2</v>
      </c>
      <c r="F391" s="45">
        <v>-1.3102000000000001E-2</v>
      </c>
      <c r="G391" s="45">
        <v>-6.5104999999999998E-3</v>
      </c>
      <c r="H391" s="45">
        <v>-1.3580999999999999E-2</v>
      </c>
      <c r="I391" s="45">
        <v>-7.3416000000000002E-3</v>
      </c>
      <c r="J391" s="45">
        <v>2.8906000000000001E-2</v>
      </c>
      <c r="K391" s="45">
        <v>-6.1674E-3</v>
      </c>
    </row>
    <row r="392" spans="1:11" x14ac:dyDescent="0.3">
      <c r="A392" s="171">
        <v>756</v>
      </c>
      <c r="B392" s="45">
        <v>-1.1415E-2</v>
      </c>
      <c r="C392" s="45">
        <v>-1.8350999999999999E-2</v>
      </c>
      <c r="D392" s="45">
        <v>-1.2057E-2</v>
      </c>
      <c r="E392" s="45">
        <v>-1.1736999999999999E-2</v>
      </c>
      <c r="F392" s="45">
        <v>-1.3185000000000001E-2</v>
      </c>
      <c r="G392" s="45">
        <v>-6.7203000000000002E-3</v>
      </c>
      <c r="H392" s="45">
        <v>-1.3436E-2</v>
      </c>
      <c r="I392" s="45">
        <v>-7.7965999999999999E-3</v>
      </c>
      <c r="J392" s="45">
        <v>2.9156999999999999E-2</v>
      </c>
      <c r="K392" s="45">
        <v>-6.1977000000000004E-3</v>
      </c>
    </row>
    <row r="393" spans="1:11" x14ac:dyDescent="0.3">
      <c r="A393" s="171">
        <v>757</v>
      </c>
      <c r="B393" s="45">
        <v>-1.1620999999999999E-2</v>
      </c>
      <c r="C393" s="45">
        <v>-1.8364999999999999E-2</v>
      </c>
      <c r="D393" s="45">
        <v>-1.2253999999999999E-2</v>
      </c>
      <c r="E393" s="45">
        <v>-1.1767E-2</v>
      </c>
      <c r="F393" s="45">
        <v>-1.3263E-2</v>
      </c>
      <c r="G393" s="45">
        <v>-6.9284000000000004E-3</v>
      </c>
      <c r="H393" s="45">
        <v>-1.3291000000000001E-2</v>
      </c>
      <c r="I393" s="45">
        <v>-8.2425999999999992E-3</v>
      </c>
      <c r="J393" s="45">
        <v>2.9399999999999999E-2</v>
      </c>
      <c r="K393" s="45">
        <v>-6.2256999999999998E-3</v>
      </c>
    </row>
    <row r="394" spans="1:11" x14ac:dyDescent="0.3">
      <c r="A394" s="171">
        <v>758</v>
      </c>
      <c r="B394" s="45">
        <v>-1.1825E-2</v>
      </c>
      <c r="C394" s="45">
        <v>-1.8374000000000001E-2</v>
      </c>
      <c r="D394" s="45">
        <v>-1.2447E-2</v>
      </c>
      <c r="E394" s="45">
        <v>-1.1795E-2</v>
      </c>
      <c r="F394" s="45">
        <v>-1.3336000000000001E-2</v>
      </c>
      <c r="G394" s="45">
        <v>-7.1349999999999998E-3</v>
      </c>
      <c r="H394" s="45">
        <v>-1.3145E-2</v>
      </c>
      <c r="I394" s="45">
        <v>-8.6799000000000008E-3</v>
      </c>
      <c r="J394" s="45">
        <v>2.9635999999999999E-2</v>
      </c>
      <c r="K394" s="45">
        <v>-6.2513999999999998E-3</v>
      </c>
    </row>
    <row r="395" spans="1:11" x14ac:dyDescent="0.3">
      <c r="A395" s="171">
        <v>759</v>
      </c>
      <c r="B395" s="45">
        <v>-1.2026999999999999E-2</v>
      </c>
      <c r="C395" s="45">
        <v>-1.8377999999999999E-2</v>
      </c>
      <c r="D395" s="45">
        <v>-1.2636E-2</v>
      </c>
      <c r="E395" s="45">
        <v>-1.1821999999999999E-2</v>
      </c>
      <c r="F395" s="45">
        <v>-1.3403999999999999E-2</v>
      </c>
      <c r="G395" s="45">
        <v>-7.3404000000000004E-3</v>
      </c>
      <c r="H395" s="45">
        <v>-1.2999E-2</v>
      </c>
      <c r="I395" s="45">
        <v>-9.1083999999999991E-3</v>
      </c>
      <c r="J395" s="45">
        <v>2.9863000000000001E-2</v>
      </c>
      <c r="K395" s="45">
        <v>-6.2747000000000002E-3</v>
      </c>
    </row>
    <row r="396" spans="1:11" x14ac:dyDescent="0.3">
      <c r="A396" s="171">
        <v>760</v>
      </c>
      <c r="B396" s="45">
        <v>-1.2227999999999999E-2</v>
      </c>
      <c r="C396" s="45">
        <v>-1.8379E-2</v>
      </c>
      <c r="D396" s="45">
        <v>-1.282E-2</v>
      </c>
      <c r="E396" s="45">
        <v>-1.1847E-2</v>
      </c>
      <c r="F396" s="45">
        <v>-1.3465E-2</v>
      </c>
      <c r="G396" s="45">
        <v>-7.5450999999999999E-3</v>
      </c>
      <c r="H396" s="45">
        <v>-1.2853E-2</v>
      </c>
      <c r="I396" s="45">
        <v>-9.5283E-3</v>
      </c>
      <c r="J396" s="45">
        <v>3.0082999999999999E-2</v>
      </c>
      <c r="K396" s="45">
        <v>-6.2956000000000002E-3</v>
      </c>
    </row>
    <row r="397" spans="1:11" x14ac:dyDescent="0.3">
      <c r="A397" s="171">
        <v>761</v>
      </c>
      <c r="B397" s="45">
        <v>-1.2427000000000001E-2</v>
      </c>
      <c r="C397" s="45">
        <v>-1.8376E-2</v>
      </c>
      <c r="D397" s="45">
        <v>-1.2997999999999999E-2</v>
      </c>
      <c r="E397" s="45">
        <v>-1.1872000000000001E-2</v>
      </c>
      <c r="F397" s="45">
        <v>-1.3521E-2</v>
      </c>
      <c r="G397" s="45">
        <v>-7.7492000000000004E-3</v>
      </c>
      <c r="H397" s="45">
        <v>-1.2706E-2</v>
      </c>
      <c r="I397" s="45">
        <v>-9.9395999999999998E-3</v>
      </c>
      <c r="J397" s="45">
        <v>3.0294999999999999E-2</v>
      </c>
      <c r="K397" s="45">
        <v>-6.3143000000000001E-3</v>
      </c>
    </row>
    <row r="398" spans="1:11" x14ac:dyDescent="0.3">
      <c r="A398" s="171">
        <v>762</v>
      </c>
      <c r="B398" s="45">
        <v>-1.2626E-2</v>
      </c>
      <c r="C398" s="45">
        <v>-1.8369E-2</v>
      </c>
      <c r="D398" s="45">
        <v>-1.3171E-2</v>
      </c>
      <c r="E398" s="45">
        <v>-1.1896E-2</v>
      </c>
      <c r="F398" s="45">
        <v>-1.3568999999999999E-2</v>
      </c>
      <c r="G398" s="45">
        <v>-7.9529000000000006E-3</v>
      </c>
      <c r="H398" s="45">
        <v>-1.2558E-2</v>
      </c>
      <c r="I398" s="45">
        <v>-1.0342E-2</v>
      </c>
      <c r="J398" s="45">
        <v>3.0499999999999999E-2</v>
      </c>
      <c r="K398" s="45">
        <v>-6.3305999999999996E-3</v>
      </c>
    </row>
    <row r="399" spans="1:11" x14ac:dyDescent="0.3">
      <c r="A399" s="171">
        <v>763</v>
      </c>
      <c r="B399" s="45">
        <v>-1.2824E-2</v>
      </c>
      <c r="C399" s="45">
        <v>-1.8357999999999999E-2</v>
      </c>
      <c r="D399" s="45">
        <v>-1.3337E-2</v>
      </c>
      <c r="E399" s="45">
        <v>-1.1920999999999999E-2</v>
      </c>
      <c r="F399" s="45">
        <v>-1.3611E-2</v>
      </c>
      <c r="G399" s="45">
        <v>-8.1565000000000006E-3</v>
      </c>
      <c r="H399" s="45">
        <v>-1.2409999999999999E-2</v>
      </c>
      <c r="I399" s="45">
        <v>-1.0737E-2</v>
      </c>
      <c r="J399" s="45">
        <v>3.0696999999999999E-2</v>
      </c>
      <c r="K399" s="45">
        <v>-6.3445000000000003E-3</v>
      </c>
    </row>
    <row r="400" spans="1:11" x14ac:dyDescent="0.3">
      <c r="A400" s="171">
        <v>764</v>
      </c>
      <c r="B400" s="45">
        <v>-1.3021E-2</v>
      </c>
      <c r="C400" s="45">
        <v>-1.8343999999999999E-2</v>
      </c>
      <c r="D400" s="45">
        <v>-1.3498E-2</v>
      </c>
      <c r="E400" s="45">
        <v>-1.1946999999999999E-2</v>
      </c>
      <c r="F400" s="45">
        <v>-1.3644999999999999E-2</v>
      </c>
      <c r="G400" s="45">
        <v>-8.3601000000000005E-3</v>
      </c>
      <c r="H400" s="45">
        <v>-1.226E-2</v>
      </c>
      <c r="I400" s="45">
        <v>-1.1122999999999999E-2</v>
      </c>
      <c r="J400" s="45">
        <v>3.0887000000000001E-2</v>
      </c>
      <c r="K400" s="45">
        <v>-6.3562000000000002E-3</v>
      </c>
    </row>
    <row r="401" spans="1:11" x14ac:dyDescent="0.3">
      <c r="A401" s="171">
        <v>765</v>
      </c>
      <c r="B401" s="45">
        <v>-1.3218000000000001E-2</v>
      </c>
      <c r="C401" s="45">
        <v>-1.8325999999999999E-2</v>
      </c>
      <c r="D401" s="45">
        <v>-1.3651E-2</v>
      </c>
      <c r="E401" s="45">
        <v>-1.1972999999999999E-2</v>
      </c>
      <c r="F401" s="45">
        <v>-1.3672E-2</v>
      </c>
      <c r="G401" s="45">
        <v>-8.5640000000000004E-3</v>
      </c>
      <c r="H401" s="45">
        <v>-1.2109999999999999E-2</v>
      </c>
      <c r="I401" s="45">
        <v>-1.1501000000000001E-2</v>
      </c>
      <c r="J401" s="45">
        <v>3.1068999999999999E-2</v>
      </c>
      <c r="K401" s="45">
        <v>-6.3655999999999999E-3</v>
      </c>
    </row>
    <row r="402" spans="1:11" x14ac:dyDescent="0.3">
      <c r="A402" s="171">
        <v>766</v>
      </c>
      <c r="B402" s="45">
        <v>-1.3414000000000001E-2</v>
      </c>
      <c r="C402" s="45">
        <v>-1.8304999999999998E-2</v>
      </c>
      <c r="D402" s="45">
        <v>-1.3798E-2</v>
      </c>
      <c r="E402" s="45">
        <v>-1.2E-2</v>
      </c>
      <c r="F402" s="45">
        <v>-1.3691999999999999E-2</v>
      </c>
      <c r="G402" s="45">
        <v>-8.7680999999999992E-3</v>
      </c>
      <c r="H402" s="45">
        <v>-1.196E-2</v>
      </c>
      <c r="I402" s="45">
        <v>-1.1871E-2</v>
      </c>
      <c r="J402" s="45">
        <v>3.1244000000000001E-2</v>
      </c>
      <c r="K402" s="45">
        <v>-6.3726E-3</v>
      </c>
    </row>
    <row r="403" spans="1:11" x14ac:dyDescent="0.3">
      <c r="A403" s="171">
        <v>767</v>
      </c>
      <c r="B403" s="45">
        <v>-1.3611E-2</v>
      </c>
      <c r="C403" s="45">
        <v>-1.8280000000000001E-2</v>
      </c>
      <c r="D403" s="45">
        <v>-1.3938000000000001E-2</v>
      </c>
      <c r="E403" s="45">
        <v>-1.2029E-2</v>
      </c>
      <c r="F403" s="45">
        <v>-1.3703999999999999E-2</v>
      </c>
      <c r="G403" s="45">
        <v>-8.9724999999999996E-3</v>
      </c>
      <c r="H403" s="45">
        <v>-1.1808000000000001E-2</v>
      </c>
      <c r="I403" s="45">
        <v>-1.2232E-2</v>
      </c>
      <c r="J403" s="45">
        <v>3.1411000000000001E-2</v>
      </c>
      <c r="K403" s="45">
        <v>-6.3772999999999998E-3</v>
      </c>
    </row>
    <row r="404" spans="1:11" x14ac:dyDescent="0.3">
      <c r="A404" s="171">
        <v>768</v>
      </c>
      <c r="B404" s="45">
        <v>-1.3808000000000001E-2</v>
      </c>
      <c r="C404" s="45">
        <v>-1.8251E-2</v>
      </c>
      <c r="D404" s="45">
        <v>-1.4071E-2</v>
      </c>
      <c r="E404" s="45">
        <v>-1.206E-2</v>
      </c>
      <c r="F404" s="45">
        <v>-1.3708E-2</v>
      </c>
      <c r="G404" s="45">
        <v>-9.1774000000000005E-3</v>
      </c>
      <c r="H404" s="45">
        <v>-1.1655E-2</v>
      </c>
      <c r="I404" s="45">
        <v>-1.2586E-2</v>
      </c>
      <c r="J404" s="45">
        <v>3.1571000000000002E-2</v>
      </c>
      <c r="K404" s="45">
        <v>-6.3797999999999997E-3</v>
      </c>
    </row>
    <row r="405" spans="1:11" x14ac:dyDescent="0.3">
      <c r="A405" s="171">
        <v>769</v>
      </c>
      <c r="B405" s="45">
        <v>-1.4005E-2</v>
      </c>
      <c r="C405" s="45">
        <v>-1.8218999999999999E-2</v>
      </c>
      <c r="D405" s="45">
        <v>-1.4197E-2</v>
      </c>
      <c r="E405" s="45">
        <v>-1.2092E-2</v>
      </c>
      <c r="F405" s="45">
        <v>-1.3705E-2</v>
      </c>
      <c r="G405" s="45">
        <v>-9.3825000000000002E-3</v>
      </c>
      <c r="H405" s="45">
        <v>-1.1502E-2</v>
      </c>
      <c r="I405" s="45">
        <v>-1.2931E-2</v>
      </c>
      <c r="J405" s="45">
        <v>3.1724000000000002E-2</v>
      </c>
      <c r="K405" s="45">
        <v>-6.3799E-3</v>
      </c>
    </row>
    <row r="406" spans="1:11" x14ac:dyDescent="0.3">
      <c r="A406" s="171">
        <v>770</v>
      </c>
      <c r="B406" s="45">
        <v>-1.4203E-2</v>
      </c>
      <c r="C406" s="45">
        <v>-1.8183999999999999E-2</v>
      </c>
      <c r="D406" s="45">
        <v>-1.4315E-2</v>
      </c>
      <c r="E406" s="45">
        <v>-1.2126E-2</v>
      </c>
      <c r="F406" s="45">
        <v>-1.3693E-2</v>
      </c>
      <c r="G406" s="45">
        <v>-9.5879999999999993E-3</v>
      </c>
      <c r="H406" s="45">
        <v>-1.1348E-2</v>
      </c>
      <c r="I406" s="45">
        <v>-1.3268E-2</v>
      </c>
      <c r="J406" s="45">
        <v>3.1869000000000001E-2</v>
      </c>
      <c r="K406" s="45">
        <v>-6.3778000000000003E-3</v>
      </c>
    </row>
    <row r="407" spans="1:11" x14ac:dyDescent="0.3">
      <c r="A407" s="171">
        <v>771</v>
      </c>
      <c r="B407" s="45">
        <v>-1.4401000000000001E-2</v>
      </c>
      <c r="C407" s="45">
        <v>-1.8144E-2</v>
      </c>
      <c r="D407" s="45">
        <v>-1.4426E-2</v>
      </c>
      <c r="E407" s="45">
        <v>-1.2161999999999999E-2</v>
      </c>
      <c r="F407" s="45">
        <v>-1.3675E-2</v>
      </c>
      <c r="G407" s="45">
        <v>-9.7937000000000007E-3</v>
      </c>
      <c r="H407" s="45">
        <v>-1.1193E-2</v>
      </c>
      <c r="I407" s="45">
        <v>-1.3598000000000001E-2</v>
      </c>
      <c r="J407" s="45">
        <v>3.2008000000000002E-2</v>
      </c>
      <c r="K407" s="45">
        <v>-6.3733000000000001E-3</v>
      </c>
    </row>
    <row r="408" spans="1:11" x14ac:dyDescent="0.3">
      <c r="A408" s="171">
        <v>772</v>
      </c>
      <c r="B408" s="45">
        <v>-1.46E-2</v>
      </c>
      <c r="C408" s="45">
        <v>-1.8102E-2</v>
      </c>
      <c r="D408" s="45">
        <v>-1.4529E-2</v>
      </c>
      <c r="E408" s="45">
        <v>-1.2201E-2</v>
      </c>
      <c r="F408" s="45">
        <v>-1.3648E-2</v>
      </c>
      <c r="G408" s="45">
        <v>-9.9996000000000008E-3</v>
      </c>
      <c r="H408" s="45">
        <v>-1.1037999999999999E-2</v>
      </c>
      <c r="I408" s="45">
        <v>-1.3919000000000001E-2</v>
      </c>
      <c r="J408" s="45">
        <v>3.2139000000000001E-2</v>
      </c>
      <c r="K408" s="45">
        <v>-6.3666E-3</v>
      </c>
    </row>
    <row r="409" spans="1:11" x14ac:dyDescent="0.3">
      <c r="A409" s="171">
        <v>773</v>
      </c>
      <c r="B409" s="45">
        <v>-1.4799E-2</v>
      </c>
      <c r="C409" s="45">
        <v>-1.8055000000000002E-2</v>
      </c>
      <c r="D409" s="45">
        <v>-1.4626E-2</v>
      </c>
      <c r="E409" s="45">
        <v>-1.2241E-2</v>
      </c>
      <c r="F409" s="45">
        <v>-1.3613999999999999E-2</v>
      </c>
      <c r="G409" s="45">
        <v>-1.0205000000000001E-2</v>
      </c>
      <c r="H409" s="45">
        <v>-1.0881999999999999E-2</v>
      </c>
      <c r="I409" s="45">
        <v>-1.4233000000000001E-2</v>
      </c>
      <c r="J409" s="45">
        <v>3.2261999999999999E-2</v>
      </c>
      <c r="K409" s="45">
        <v>-6.3575999999999997E-3</v>
      </c>
    </row>
    <row r="410" spans="1:11" x14ac:dyDescent="0.3">
      <c r="A410" s="171">
        <v>774</v>
      </c>
      <c r="B410" s="45">
        <v>-1.4997999999999999E-2</v>
      </c>
      <c r="C410" s="45">
        <v>-1.8005E-2</v>
      </c>
      <c r="D410" s="45">
        <v>-1.4715000000000001E-2</v>
      </c>
      <c r="E410" s="45">
        <v>-1.2283000000000001E-2</v>
      </c>
      <c r="F410" s="45">
        <v>-1.3572000000000001E-2</v>
      </c>
      <c r="G410" s="45">
        <v>-1.0411E-2</v>
      </c>
      <c r="H410" s="45">
        <v>-1.0725E-2</v>
      </c>
      <c r="I410" s="45">
        <v>-1.4538000000000001E-2</v>
      </c>
      <c r="J410" s="45">
        <v>3.2378999999999998E-2</v>
      </c>
      <c r="K410" s="45">
        <v>-6.3463E-3</v>
      </c>
    </row>
    <row r="411" spans="1:11" x14ac:dyDescent="0.3">
      <c r="A411" s="171">
        <v>775</v>
      </c>
      <c r="B411" s="45">
        <v>-1.5198E-2</v>
      </c>
      <c r="C411" s="45">
        <v>-1.7951000000000002E-2</v>
      </c>
      <c r="D411" s="45">
        <v>-1.4796E-2</v>
      </c>
      <c r="E411" s="45">
        <v>-1.2326999999999999E-2</v>
      </c>
      <c r="F411" s="45">
        <v>-1.3524E-2</v>
      </c>
      <c r="G411" s="45">
        <v>-1.0616E-2</v>
      </c>
      <c r="H411" s="45">
        <v>-1.0567999999999999E-2</v>
      </c>
      <c r="I411" s="45">
        <v>-1.4836E-2</v>
      </c>
      <c r="J411" s="45">
        <v>3.2488000000000003E-2</v>
      </c>
      <c r="K411" s="45">
        <v>-6.3328000000000004E-3</v>
      </c>
    </row>
    <row r="412" spans="1:11" x14ac:dyDescent="0.3">
      <c r="A412" s="171">
        <v>776</v>
      </c>
      <c r="B412" s="45">
        <v>-1.5396999999999999E-2</v>
      </c>
      <c r="C412" s="45">
        <v>-1.7892999999999999E-2</v>
      </c>
      <c r="D412" s="45">
        <v>-1.4871000000000001E-2</v>
      </c>
      <c r="E412" s="45">
        <v>-1.2373E-2</v>
      </c>
      <c r="F412" s="45">
        <v>-1.3468000000000001E-2</v>
      </c>
      <c r="G412" s="45">
        <v>-1.0821000000000001E-2</v>
      </c>
      <c r="H412" s="45">
        <v>-1.0410000000000001E-2</v>
      </c>
      <c r="I412" s="45">
        <v>-1.5126000000000001E-2</v>
      </c>
      <c r="J412" s="45">
        <v>3.2591000000000002E-2</v>
      </c>
      <c r="K412" s="45">
        <v>-6.3169000000000003E-3</v>
      </c>
    </row>
    <row r="413" spans="1:11" x14ac:dyDescent="0.3">
      <c r="A413" s="171">
        <v>777</v>
      </c>
      <c r="B413" s="45">
        <v>-1.5597E-2</v>
      </c>
      <c r="C413" s="45">
        <v>-1.7832000000000001E-2</v>
      </c>
      <c r="D413" s="45">
        <v>-1.4938999999999999E-2</v>
      </c>
      <c r="E413" s="45">
        <v>-1.242E-2</v>
      </c>
      <c r="F413" s="45">
        <v>-1.3405E-2</v>
      </c>
      <c r="G413" s="45">
        <v>-1.1025E-2</v>
      </c>
      <c r="H413" s="45">
        <v>-1.0252000000000001E-2</v>
      </c>
      <c r="I413" s="45">
        <v>-1.5407000000000001E-2</v>
      </c>
      <c r="J413" s="45">
        <v>3.2686E-2</v>
      </c>
      <c r="K413" s="45">
        <v>-6.2988000000000002E-3</v>
      </c>
    </row>
    <row r="414" spans="1:11" x14ac:dyDescent="0.3">
      <c r="A414" s="171">
        <v>778</v>
      </c>
      <c r="B414" s="45">
        <v>-1.5796999999999999E-2</v>
      </c>
      <c r="C414" s="45">
        <v>-1.7766000000000001E-2</v>
      </c>
      <c r="D414" s="45">
        <v>-1.4999999999999999E-2</v>
      </c>
      <c r="E414" s="45">
        <v>-1.247E-2</v>
      </c>
      <c r="F414" s="45">
        <v>-1.3336000000000001E-2</v>
      </c>
      <c r="G414" s="45">
        <v>-1.1228E-2</v>
      </c>
      <c r="H414" s="45">
        <v>-1.0094000000000001E-2</v>
      </c>
      <c r="I414" s="45">
        <v>-1.5681E-2</v>
      </c>
      <c r="J414" s="45">
        <v>3.2773999999999998E-2</v>
      </c>
      <c r="K414" s="45">
        <v>-6.2784E-3</v>
      </c>
    </row>
    <row r="415" spans="1:11" x14ac:dyDescent="0.3">
      <c r="A415" s="171">
        <v>779</v>
      </c>
      <c r="B415" s="45">
        <v>-1.5997000000000001E-2</v>
      </c>
      <c r="C415" s="45">
        <v>-1.7697000000000001E-2</v>
      </c>
      <c r="D415" s="45">
        <v>-1.5054E-2</v>
      </c>
      <c r="E415" s="45">
        <v>-1.2520999999999999E-2</v>
      </c>
      <c r="F415" s="45">
        <v>-1.3259999999999999E-2</v>
      </c>
      <c r="G415" s="45">
        <v>-1.1429999999999999E-2</v>
      </c>
      <c r="H415" s="45">
        <v>-9.9360000000000004E-3</v>
      </c>
      <c r="I415" s="45">
        <v>-1.5946999999999999E-2</v>
      </c>
      <c r="J415" s="45">
        <v>3.2854000000000001E-2</v>
      </c>
      <c r="K415" s="45">
        <v>-6.2557999999999997E-3</v>
      </c>
    </row>
    <row r="416" spans="1:11" x14ac:dyDescent="0.3">
      <c r="A416" s="171">
        <v>780</v>
      </c>
      <c r="B416" s="45">
        <v>-1.6197E-2</v>
      </c>
      <c r="C416" s="45">
        <v>-1.7623E-2</v>
      </c>
      <c r="D416" s="45">
        <v>-1.5101E-2</v>
      </c>
      <c r="E416" s="45">
        <v>-1.2573000000000001E-2</v>
      </c>
      <c r="F416" s="45">
        <v>-1.3178E-2</v>
      </c>
      <c r="G416" s="45">
        <v>-1.163E-2</v>
      </c>
      <c r="H416" s="45">
        <v>-9.7777000000000003E-3</v>
      </c>
      <c r="I416" s="45">
        <v>-1.6205000000000001E-2</v>
      </c>
      <c r="J416" s="45">
        <v>3.2927999999999999E-2</v>
      </c>
      <c r="K416" s="45">
        <v>-6.2307999999999999E-3</v>
      </c>
    </row>
    <row r="417" spans="1:11" x14ac:dyDescent="0.3">
      <c r="A417" s="171">
        <v>781</v>
      </c>
      <c r="B417" s="45">
        <v>-1.6396000000000001E-2</v>
      </c>
      <c r="C417" s="45">
        <v>-1.7545000000000002E-2</v>
      </c>
      <c r="D417" s="45">
        <v>-1.5141999999999999E-2</v>
      </c>
      <c r="E417" s="45">
        <v>-1.2626999999999999E-2</v>
      </c>
      <c r="F417" s="45">
        <v>-1.3089999999999999E-2</v>
      </c>
      <c r="G417" s="45">
        <v>-1.1828999999999999E-2</v>
      </c>
      <c r="H417" s="45">
        <v>-9.6194999999999996E-3</v>
      </c>
      <c r="I417" s="45">
        <v>-1.6455999999999998E-2</v>
      </c>
      <c r="J417" s="45">
        <v>3.2994000000000002E-2</v>
      </c>
      <c r="K417" s="45">
        <v>-6.2036000000000001E-3</v>
      </c>
    </row>
    <row r="418" spans="1:11" x14ac:dyDescent="0.3">
      <c r="A418" s="171">
        <v>782</v>
      </c>
      <c r="B418" s="45">
        <v>-1.6594999999999999E-2</v>
      </c>
      <c r="C418" s="45">
        <v>-1.7464E-2</v>
      </c>
      <c r="D418" s="45">
        <v>-1.5177E-2</v>
      </c>
      <c r="E418" s="45">
        <v>-1.2681E-2</v>
      </c>
      <c r="F418" s="45">
        <v>-1.2997E-2</v>
      </c>
      <c r="G418" s="45">
        <v>-1.2024999999999999E-2</v>
      </c>
      <c r="H418" s="45">
        <v>-9.4614E-3</v>
      </c>
      <c r="I418" s="45">
        <v>-1.6698000000000001E-2</v>
      </c>
      <c r="J418" s="45">
        <v>3.3052999999999999E-2</v>
      </c>
      <c r="K418" s="45">
        <v>-6.1741000000000001E-3</v>
      </c>
    </row>
    <row r="419" spans="1:11" x14ac:dyDescent="0.3">
      <c r="A419" s="171">
        <v>783</v>
      </c>
      <c r="B419" s="45">
        <v>-1.6792999999999999E-2</v>
      </c>
      <c r="C419" s="45">
        <v>-1.7378000000000001E-2</v>
      </c>
      <c r="D419" s="45">
        <v>-1.5206000000000001E-2</v>
      </c>
      <c r="E419" s="45">
        <v>-1.2737E-2</v>
      </c>
      <c r="F419" s="45">
        <v>-1.2897E-2</v>
      </c>
      <c r="G419" s="45">
        <v>-1.222E-2</v>
      </c>
      <c r="H419" s="45">
        <v>-9.3034999999999993E-3</v>
      </c>
      <c r="I419" s="45">
        <v>-1.6931999999999999E-2</v>
      </c>
      <c r="J419" s="45">
        <v>3.3105000000000002E-2</v>
      </c>
      <c r="K419" s="45">
        <v>-6.1424000000000001E-3</v>
      </c>
    </row>
    <row r="420" spans="1:11" x14ac:dyDescent="0.3">
      <c r="A420" s="171">
        <v>784</v>
      </c>
      <c r="B420" s="45">
        <v>-1.6990999999999999E-2</v>
      </c>
      <c r="C420" s="45">
        <v>-1.7287E-2</v>
      </c>
      <c r="D420" s="45">
        <v>-1.5228E-2</v>
      </c>
      <c r="E420" s="45">
        <v>-1.2793000000000001E-2</v>
      </c>
      <c r="F420" s="45">
        <v>-1.2793000000000001E-2</v>
      </c>
      <c r="G420" s="45">
        <v>-1.2411999999999999E-2</v>
      </c>
      <c r="H420" s="45">
        <v>-9.1459000000000002E-3</v>
      </c>
      <c r="I420" s="45">
        <v>-1.7159000000000001E-2</v>
      </c>
      <c r="J420" s="45">
        <v>3.3149999999999999E-2</v>
      </c>
      <c r="K420" s="45">
        <v>-6.1082999999999997E-3</v>
      </c>
    </row>
    <row r="421" spans="1:11" x14ac:dyDescent="0.3">
      <c r="A421" s="171">
        <v>785</v>
      </c>
      <c r="B421" s="45">
        <v>-1.7187999999999998E-2</v>
      </c>
      <c r="C421" s="45">
        <v>-1.7193E-2</v>
      </c>
      <c r="D421" s="45">
        <v>-1.5245E-2</v>
      </c>
      <c r="E421" s="45">
        <v>-1.2851E-2</v>
      </c>
      <c r="F421" s="45">
        <v>-1.2683E-2</v>
      </c>
      <c r="G421" s="45">
        <v>-1.2600999999999999E-2</v>
      </c>
      <c r="H421" s="45">
        <v>-8.9887999999999999E-3</v>
      </c>
      <c r="I421" s="45">
        <v>-1.7377E-2</v>
      </c>
      <c r="J421" s="45">
        <v>3.3187000000000001E-2</v>
      </c>
      <c r="K421" s="45">
        <v>-6.0720000000000001E-3</v>
      </c>
    </row>
    <row r="422" spans="1:11" x14ac:dyDescent="0.3">
      <c r="A422" s="171">
        <v>786</v>
      </c>
      <c r="B422" s="45">
        <v>-1.7382999999999999E-2</v>
      </c>
      <c r="C422" s="45">
        <v>-1.7094000000000002E-2</v>
      </c>
      <c r="D422" s="45">
        <v>-1.5256E-2</v>
      </c>
      <c r="E422" s="45">
        <v>-1.2907999999999999E-2</v>
      </c>
      <c r="F422" s="45">
        <v>-1.2567999999999999E-2</v>
      </c>
      <c r="G422" s="45">
        <v>-1.2788000000000001E-2</v>
      </c>
      <c r="H422" s="45">
        <v>-8.8322000000000001E-3</v>
      </c>
      <c r="I422" s="45">
        <v>-1.7587999999999999E-2</v>
      </c>
      <c r="J422" s="45">
        <v>3.3217999999999998E-2</v>
      </c>
      <c r="K422" s="45">
        <v>-6.0334000000000004E-3</v>
      </c>
    </row>
    <row r="423" spans="1:11" x14ac:dyDescent="0.3">
      <c r="A423" s="171">
        <v>787</v>
      </c>
      <c r="B423" s="45">
        <v>-1.7576999999999999E-2</v>
      </c>
      <c r="C423" s="45">
        <v>-1.6990000000000002E-2</v>
      </c>
      <c r="D423" s="45">
        <v>-1.5261E-2</v>
      </c>
      <c r="E423" s="45">
        <v>-1.2966E-2</v>
      </c>
      <c r="F423" s="45">
        <v>-1.2449E-2</v>
      </c>
      <c r="G423" s="45">
        <v>-1.2971E-2</v>
      </c>
      <c r="H423" s="45">
        <v>-8.6762000000000002E-3</v>
      </c>
      <c r="I423" s="45">
        <v>-1.7791000000000001E-2</v>
      </c>
      <c r="J423" s="45">
        <v>3.3241E-2</v>
      </c>
      <c r="K423" s="45">
        <v>-5.9925999999999998E-3</v>
      </c>
    </row>
    <row r="424" spans="1:11" x14ac:dyDescent="0.3">
      <c r="A424" s="171">
        <v>788</v>
      </c>
      <c r="B424" s="45">
        <v>-1.7770000000000001E-2</v>
      </c>
      <c r="C424" s="45">
        <v>-1.6882000000000001E-2</v>
      </c>
      <c r="D424" s="45">
        <v>-1.5261E-2</v>
      </c>
      <c r="E424" s="45">
        <v>-1.3025E-2</v>
      </c>
      <c r="F424" s="45">
        <v>-1.2326E-2</v>
      </c>
      <c r="G424" s="45">
        <v>-1.3150999999999999E-2</v>
      </c>
      <c r="H424" s="45">
        <v>-8.5208999999999997E-3</v>
      </c>
      <c r="I424" s="45">
        <v>-1.7985000000000001E-2</v>
      </c>
      <c r="J424" s="45">
        <v>3.3257000000000002E-2</v>
      </c>
      <c r="K424" s="45">
        <v>-5.9493999999999997E-3</v>
      </c>
    </row>
    <row r="425" spans="1:11" x14ac:dyDescent="0.3">
      <c r="A425" s="171">
        <v>789</v>
      </c>
      <c r="B425" s="45">
        <v>-1.7961000000000001E-2</v>
      </c>
      <c r="C425" s="45">
        <v>-1.6768999999999999E-2</v>
      </c>
      <c r="D425" s="45">
        <v>-1.5256E-2</v>
      </c>
      <c r="E425" s="45">
        <v>-1.3082999999999999E-2</v>
      </c>
      <c r="F425" s="45">
        <v>-1.2198000000000001E-2</v>
      </c>
      <c r="G425" s="45">
        <v>-1.3327E-2</v>
      </c>
      <c r="H425" s="45">
        <v>-8.3663999999999995E-3</v>
      </c>
      <c r="I425" s="45">
        <v>-1.8172000000000001E-2</v>
      </c>
      <c r="J425" s="45">
        <v>3.3265000000000003E-2</v>
      </c>
      <c r="K425" s="45">
        <v>-5.9040000000000004E-3</v>
      </c>
    </row>
    <row r="426" spans="1:11" x14ac:dyDescent="0.3">
      <c r="A426" s="171">
        <v>790</v>
      </c>
      <c r="B426" s="45">
        <v>-1.8151E-2</v>
      </c>
      <c r="C426" s="45">
        <v>-1.6652E-2</v>
      </c>
      <c r="D426" s="45">
        <v>-1.5245999999999999E-2</v>
      </c>
      <c r="E426" s="45">
        <v>-1.3141E-2</v>
      </c>
      <c r="F426" s="45">
        <v>-1.2067E-2</v>
      </c>
      <c r="G426" s="45">
        <v>-1.35E-2</v>
      </c>
      <c r="H426" s="45">
        <v>-8.2127999999999993E-3</v>
      </c>
      <c r="I426" s="45">
        <v>-1.8350999999999999E-2</v>
      </c>
      <c r="J426" s="45">
        <v>3.3266999999999998E-2</v>
      </c>
      <c r="K426" s="45">
        <v>-5.8563E-3</v>
      </c>
    </row>
    <row r="427" spans="1:11" x14ac:dyDescent="0.3">
      <c r="A427" s="171">
        <v>791</v>
      </c>
      <c r="B427" s="45">
        <v>-1.8339000000000001E-2</v>
      </c>
      <c r="C427" s="45">
        <v>-1.653E-2</v>
      </c>
      <c r="D427" s="45">
        <v>-1.5231E-2</v>
      </c>
      <c r="E427" s="45">
        <v>-1.3199000000000001E-2</v>
      </c>
      <c r="F427" s="45">
        <v>-1.1931000000000001E-2</v>
      </c>
      <c r="G427" s="45">
        <v>-1.3668E-2</v>
      </c>
      <c r="H427" s="45">
        <v>-8.0602E-3</v>
      </c>
      <c r="I427" s="45">
        <v>-1.8520999999999999E-2</v>
      </c>
      <c r="J427" s="45">
        <v>3.3260999999999999E-2</v>
      </c>
      <c r="K427" s="45">
        <v>-5.8063000000000003E-3</v>
      </c>
    </row>
    <row r="428" spans="1:11" x14ac:dyDescent="0.3">
      <c r="A428" s="171">
        <v>792</v>
      </c>
      <c r="B428" s="45">
        <v>-1.8525E-2</v>
      </c>
      <c r="C428" s="45">
        <v>-1.6403000000000001E-2</v>
      </c>
      <c r="D428" s="45">
        <v>-1.5211000000000001E-2</v>
      </c>
      <c r="E428" s="45">
        <v>-1.3257E-2</v>
      </c>
      <c r="F428" s="45">
        <v>-1.1793E-2</v>
      </c>
      <c r="G428" s="45">
        <v>-1.3832000000000001E-2</v>
      </c>
      <c r="H428" s="45">
        <v>-7.9086E-3</v>
      </c>
      <c r="I428" s="45">
        <v>-1.8683999999999999E-2</v>
      </c>
      <c r="J428" s="45">
        <v>3.3248E-2</v>
      </c>
      <c r="K428" s="45">
        <v>-5.7540999999999998E-3</v>
      </c>
    </row>
    <row r="429" spans="1:11" x14ac:dyDescent="0.3">
      <c r="A429" s="171">
        <v>793</v>
      </c>
      <c r="B429" s="45">
        <v>-1.8707999999999999E-2</v>
      </c>
      <c r="C429" s="45">
        <v>-1.6271999999999998E-2</v>
      </c>
      <c r="D429" s="45">
        <v>-1.5186E-2</v>
      </c>
      <c r="E429" s="45">
        <v>-1.3313999999999999E-2</v>
      </c>
      <c r="F429" s="45">
        <v>-1.1651E-2</v>
      </c>
      <c r="G429" s="45">
        <v>-1.3991E-2</v>
      </c>
      <c r="H429" s="45">
        <v>-7.7581999999999998E-3</v>
      </c>
      <c r="I429" s="45">
        <v>-1.8839000000000002E-2</v>
      </c>
      <c r="J429" s="45">
        <v>3.3227E-2</v>
      </c>
      <c r="K429" s="45">
        <v>-5.6994999999999997E-3</v>
      </c>
    </row>
    <row r="430" spans="1:11" x14ac:dyDescent="0.3">
      <c r="A430" s="171">
        <v>794</v>
      </c>
      <c r="B430" s="45">
        <v>-1.8889E-2</v>
      </c>
      <c r="C430" s="45">
        <v>-1.6136000000000001E-2</v>
      </c>
      <c r="D430" s="45">
        <v>-1.5158E-2</v>
      </c>
      <c r="E430" s="45">
        <v>-1.337E-2</v>
      </c>
      <c r="F430" s="45">
        <v>-1.1506000000000001E-2</v>
      </c>
      <c r="G430" s="45">
        <v>-1.4146000000000001E-2</v>
      </c>
      <c r="H430" s="45">
        <v>-7.6090000000000003E-3</v>
      </c>
      <c r="I430" s="45">
        <v>-1.8984999999999998E-2</v>
      </c>
      <c r="J430" s="45">
        <v>3.32E-2</v>
      </c>
      <c r="K430" s="45">
        <v>-5.6426999999999996E-3</v>
      </c>
    </row>
    <row r="431" spans="1:11" x14ac:dyDescent="0.3">
      <c r="A431" s="171">
        <v>795</v>
      </c>
      <c r="B431" s="45">
        <v>-1.9068000000000002E-2</v>
      </c>
      <c r="C431" s="45">
        <v>-1.5994999999999999E-2</v>
      </c>
      <c r="D431" s="45">
        <v>-1.5124E-2</v>
      </c>
      <c r="E431" s="45">
        <v>-1.3424999999999999E-2</v>
      </c>
      <c r="F431" s="45">
        <v>-1.1358E-2</v>
      </c>
      <c r="G431" s="45">
        <v>-1.4296E-2</v>
      </c>
      <c r="H431" s="45">
        <v>-7.4611E-3</v>
      </c>
      <c r="I431" s="45">
        <v>-1.9123999999999999E-2</v>
      </c>
      <c r="J431" s="45">
        <v>3.3165E-2</v>
      </c>
      <c r="K431" s="45">
        <v>-5.5836000000000002E-3</v>
      </c>
    </row>
    <row r="432" spans="1:11" x14ac:dyDescent="0.3">
      <c r="A432" s="171">
        <v>796</v>
      </c>
      <c r="B432" s="45">
        <v>-1.9244000000000001E-2</v>
      </c>
      <c r="C432" s="45">
        <v>-1.5848999999999999E-2</v>
      </c>
      <c r="D432" s="45">
        <v>-1.5087E-2</v>
      </c>
      <c r="E432" s="45">
        <v>-1.3479E-2</v>
      </c>
      <c r="F432" s="45">
        <v>-1.1207999999999999E-2</v>
      </c>
      <c r="G432" s="45">
        <v>-1.444E-2</v>
      </c>
      <c r="H432" s="45">
        <v>-7.3144999999999998E-3</v>
      </c>
      <c r="I432" s="45">
        <v>-1.9255000000000001E-2</v>
      </c>
      <c r="J432" s="45">
        <v>3.3123E-2</v>
      </c>
      <c r="K432" s="45">
        <v>-5.5221999999999997E-3</v>
      </c>
    </row>
    <row r="433" spans="1:11" x14ac:dyDescent="0.3">
      <c r="A433" s="171">
        <v>797</v>
      </c>
      <c r="B433" s="45">
        <v>-1.9417E-2</v>
      </c>
      <c r="C433" s="45">
        <v>-1.5698E-2</v>
      </c>
      <c r="D433" s="45">
        <v>-1.5046E-2</v>
      </c>
      <c r="E433" s="45">
        <v>-1.3532000000000001E-2</v>
      </c>
      <c r="F433" s="45">
        <v>-1.1055000000000001E-2</v>
      </c>
      <c r="G433" s="45">
        <v>-1.4579E-2</v>
      </c>
      <c r="H433" s="45">
        <v>-7.1694000000000003E-3</v>
      </c>
      <c r="I433" s="45">
        <v>-1.9376999999999998E-2</v>
      </c>
      <c r="J433" s="45">
        <v>3.3072999999999998E-2</v>
      </c>
      <c r="K433" s="45">
        <v>-5.4584999999999998E-3</v>
      </c>
    </row>
    <row r="434" spans="1:11" x14ac:dyDescent="0.3">
      <c r="A434" s="171">
        <v>798</v>
      </c>
      <c r="B434" s="45">
        <v>-1.9588000000000001E-2</v>
      </c>
      <c r="C434" s="45">
        <v>-1.5543E-2</v>
      </c>
      <c r="D434" s="45">
        <v>-1.5001E-2</v>
      </c>
      <c r="E434" s="45">
        <v>-1.3583E-2</v>
      </c>
      <c r="F434" s="45">
        <v>-1.09E-2</v>
      </c>
      <c r="G434" s="45">
        <v>-1.4713E-2</v>
      </c>
      <c r="H434" s="45">
        <v>-7.0257999999999996E-3</v>
      </c>
      <c r="I434" s="45">
        <v>-1.9491999999999999E-2</v>
      </c>
      <c r="J434" s="45">
        <v>3.3016999999999998E-2</v>
      </c>
      <c r="K434" s="45">
        <v>-5.3924999999999997E-3</v>
      </c>
    </row>
    <row r="435" spans="1:11" x14ac:dyDescent="0.3">
      <c r="A435" s="171">
        <v>799</v>
      </c>
      <c r="B435" s="45">
        <v>-1.9755000000000002E-2</v>
      </c>
      <c r="C435" s="45">
        <v>-1.5382E-2</v>
      </c>
      <c r="D435" s="45">
        <v>-1.4952E-2</v>
      </c>
      <c r="E435" s="45">
        <v>-1.3632999999999999E-2</v>
      </c>
      <c r="F435" s="45">
        <v>-1.0743000000000001E-2</v>
      </c>
      <c r="G435" s="45">
        <v>-1.4841E-2</v>
      </c>
      <c r="H435" s="45">
        <v>-6.8837000000000004E-3</v>
      </c>
      <c r="I435" s="45">
        <v>-1.9598999999999998E-2</v>
      </c>
      <c r="J435" s="45">
        <v>3.2953000000000003E-2</v>
      </c>
      <c r="K435" s="45">
        <v>-5.3242999999999997E-3</v>
      </c>
    </row>
    <row r="436" spans="1:11" x14ac:dyDescent="0.3">
      <c r="A436" s="171">
        <v>800</v>
      </c>
      <c r="B436" s="45">
        <v>-1.9918999999999999E-2</v>
      </c>
      <c r="C436" s="45">
        <v>-1.5217E-2</v>
      </c>
      <c r="D436" s="45">
        <v>-1.49E-2</v>
      </c>
      <c r="E436" s="45">
        <v>-1.3681E-2</v>
      </c>
      <c r="F436" s="45">
        <v>-1.0585000000000001E-2</v>
      </c>
      <c r="G436" s="45">
        <v>-1.4963000000000001E-2</v>
      </c>
      <c r="H436" s="45">
        <v>-6.7432999999999998E-3</v>
      </c>
      <c r="I436" s="45">
        <v>-1.9696999999999999E-2</v>
      </c>
      <c r="J436" s="45">
        <v>3.2881000000000001E-2</v>
      </c>
      <c r="K436" s="45">
        <v>-5.2537E-3</v>
      </c>
    </row>
    <row r="437" spans="1:11" x14ac:dyDescent="0.3">
      <c r="A437" s="171">
        <v>801</v>
      </c>
      <c r="B437" s="45">
        <v>-2.0080000000000001E-2</v>
      </c>
      <c r="C437" s="45">
        <v>-1.5047E-2</v>
      </c>
      <c r="D437" s="45">
        <v>-1.4844E-2</v>
      </c>
      <c r="E437" s="45">
        <v>-1.3727E-2</v>
      </c>
      <c r="F437" s="45">
        <v>-1.0423999999999999E-2</v>
      </c>
      <c r="G437" s="45">
        <v>-1.5079E-2</v>
      </c>
      <c r="H437" s="45">
        <v>-6.6046000000000004E-3</v>
      </c>
      <c r="I437" s="45">
        <v>-1.9788E-2</v>
      </c>
      <c r="J437" s="45">
        <v>3.2802999999999999E-2</v>
      </c>
      <c r="K437" s="45">
        <v>-5.1808999999999996E-3</v>
      </c>
    </row>
    <row r="438" spans="1:11" x14ac:dyDescent="0.3">
      <c r="A438" s="171">
        <v>802</v>
      </c>
      <c r="B438" s="45">
        <v>-2.0237000000000002E-2</v>
      </c>
      <c r="C438" s="45">
        <v>-1.4872E-2</v>
      </c>
      <c r="D438" s="45">
        <v>-1.4785E-2</v>
      </c>
      <c r="E438" s="45">
        <v>-1.3771E-2</v>
      </c>
      <c r="F438" s="45">
        <v>-1.0263E-2</v>
      </c>
      <c r="G438" s="45">
        <v>-1.5188E-2</v>
      </c>
      <c r="H438" s="45">
        <v>-6.4676000000000004E-3</v>
      </c>
      <c r="I438" s="45">
        <v>-1.9869999999999999E-2</v>
      </c>
      <c r="J438" s="45">
        <v>3.2717000000000003E-2</v>
      </c>
      <c r="K438" s="45">
        <v>-5.1057999999999997E-3</v>
      </c>
    </row>
    <row r="439" spans="1:11" x14ac:dyDescent="0.3">
      <c r="A439" s="171">
        <v>803</v>
      </c>
      <c r="B439" s="45">
        <v>-2.0390999999999999E-2</v>
      </c>
      <c r="C439" s="45">
        <v>-1.4692E-2</v>
      </c>
      <c r="D439" s="45">
        <v>-1.4722000000000001E-2</v>
      </c>
      <c r="E439" s="45">
        <v>-1.3814E-2</v>
      </c>
      <c r="F439" s="45">
        <v>-1.01E-2</v>
      </c>
      <c r="G439" s="45">
        <v>-1.5292E-2</v>
      </c>
      <c r="H439" s="45">
        <v>-6.3324000000000002E-3</v>
      </c>
      <c r="I439" s="45">
        <v>-1.9945000000000001E-2</v>
      </c>
      <c r="J439" s="45">
        <v>3.2624E-2</v>
      </c>
      <c r="K439" s="45">
        <v>-5.0285E-3</v>
      </c>
    </row>
    <row r="440" spans="1:11" x14ac:dyDescent="0.3">
      <c r="A440" s="171">
        <v>804</v>
      </c>
      <c r="B440" s="45">
        <v>-2.0541E-2</v>
      </c>
      <c r="C440" s="45">
        <v>-1.4507000000000001E-2</v>
      </c>
      <c r="D440" s="45">
        <v>-1.4657E-2</v>
      </c>
      <c r="E440" s="45">
        <v>-1.3853000000000001E-2</v>
      </c>
      <c r="F440" s="45">
        <v>-9.9352999999999993E-3</v>
      </c>
      <c r="G440" s="45">
        <v>-1.5389E-2</v>
      </c>
      <c r="H440" s="45">
        <v>-6.1989999999999996E-3</v>
      </c>
      <c r="I440" s="45">
        <v>-2.0011999999999999E-2</v>
      </c>
      <c r="J440" s="45">
        <v>3.2523999999999997E-2</v>
      </c>
      <c r="K440" s="45">
        <v>-4.9489E-3</v>
      </c>
    </row>
    <row r="441" spans="1:11" x14ac:dyDescent="0.3">
      <c r="A441" s="171">
        <v>805</v>
      </c>
      <c r="B441" s="45">
        <v>-2.0687000000000001E-2</v>
      </c>
      <c r="C441" s="45">
        <v>-1.4318000000000001E-2</v>
      </c>
      <c r="D441" s="45">
        <v>-1.4589E-2</v>
      </c>
      <c r="E441" s="45">
        <v>-1.3891000000000001E-2</v>
      </c>
      <c r="F441" s="45">
        <v>-9.7701999999999997E-3</v>
      </c>
      <c r="G441" s="45">
        <v>-1.5479E-2</v>
      </c>
      <c r="H441" s="45">
        <v>-6.0676000000000003E-3</v>
      </c>
      <c r="I441" s="45">
        <v>-2.0070000000000001E-2</v>
      </c>
      <c r="J441" s="45">
        <v>3.2416E-2</v>
      </c>
      <c r="K441" s="45">
        <v>-4.8669999999999998E-3</v>
      </c>
    </row>
    <row r="442" spans="1:11" x14ac:dyDescent="0.3">
      <c r="A442" s="171">
        <v>806</v>
      </c>
      <c r="B442" s="45">
        <v>-2.0829E-2</v>
      </c>
      <c r="C442" s="45">
        <v>-1.4123E-2</v>
      </c>
      <c r="D442" s="45">
        <v>-1.4517E-2</v>
      </c>
      <c r="E442" s="45">
        <v>-1.3925999999999999E-2</v>
      </c>
      <c r="F442" s="45">
        <v>-9.6042999999999996E-3</v>
      </c>
      <c r="G442" s="45">
        <v>-1.5563E-2</v>
      </c>
      <c r="H442" s="45">
        <v>-5.9379999999999997E-3</v>
      </c>
      <c r="I442" s="45">
        <v>-2.0121E-2</v>
      </c>
      <c r="J442" s="45">
        <v>3.2301000000000003E-2</v>
      </c>
      <c r="K442" s="45">
        <v>-4.7828000000000002E-3</v>
      </c>
    </row>
    <row r="443" spans="1:11" x14ac:dyDescent="0.3">
      <c r="A443" s="171">
        <v>807</v>
      </c>
      <c r="B443" s="45">
        <v>-2.0967E-2</v>
      </c>
      <c r="C443" s="45">
        <v>-1.3924000000000001E-2</v>
      </c>
      <c r="D443" s="45">
        <v>-1.4444E-2</v>
      </c>
      <c r="E443" s="45">
        <v>-1.3958E-2</v>
      </c>
      <c r="F443" s="45">
        <v>-9.4377999999999997E-3</v>
      </c>
      <c r="G443" s="45">
        <v>-1.5640000000000001E-2</v>
      </c>
      <c r="H443" s="45">
        <v>-5.8104000000000003E-3</v>
      </c>
      <c r="I443" s="45">
        <v>-2.0164000000000001E-2</v>
      </c>
      <c r="J443" s="45">
        <v>3.2178999999999999E-2</v>
      </c>
      <c r="K443" s="45">
        <v>-4.6963999999999999E-3</v>
      </c>
    </row>
    <row r="444" spans="1:11" x14ac:dyDescent="0.3">
      <c r="A444" s="171">
        <v>808</v>
      </c>
      <c r="B444" s="45">
        <v>-2.1101000000000002E-2</v>
      </c>
      <c r="C444" s="45">
        <v>-1.3721000000000001E-2</v>
      </c>
      <c r="D444" s="45">
        <v>-1.4367E-2</v>
      </c>
      <c r="E444" s="45">
        <v>-1.3986999999999999E-2</v>
      </c>
      <c r="F444" s="45">
        <v>-9.2706999999999998E-3</v>
      </c>
      <c r="G444" s="45">
        <v>-1.5709999999999998E-2</v>
      </c>
      <c r="H444" s="45">
        <v>-5.6847E-3</v>
      </c>
      <c r="I444" s="45">
        <v>-2.0199000000000002E-2</v>
      </c>
      <c r="J444" s="45">
        <v>3.2050000000000002E-2</v>
      </c>
      <c r="K444" s="45">
        <v>-4.6077000000000002E-3</v>
      </c>
    </row>
    <row r="445" spans="1:11" x14ac:dyDescent="0.3">
      <c r="A445" s="171">
        <v>809</v>
      </c>
      <c r="B445" s="45">
        <v>-2.1231E-2</v>
      </c>
      <c r="C445" s="45">
        <v>-1.3513000000000001E-2</v>
      </c>
      <c r="D445" s="45">
        <v>-1.4288E-2</v>
      </c>
      <c r="E445" s="45">
        <v>-1.4012999999999999E-2</v>
      </c>
      <c r="F445" s="45">
        <v>-9.1032999999999999E-3</v>
      </c>
      <c r="G445" s="45">
        <v>-1.5774E-2</v>
      </c>
      <c r="H445" s="45">
        <v>-5.5611000000000002E-3</v>
      </c>
      <c r="I445" s="45">
        <v>-2.0226000000000001E-2</v>
      </c>
      <c r="J445" s="45">
        <v>3.1913999999999998E-2</v>
      </c>
      <c r="K445" s="45">
        <v>-4.5167999999999996E-3</v>
      </c>
    </row>
    <row r="446" spans="1:11" x14ac:dyDescent="0.3">
      <c r="A446" s="171">
        <v>810</v>
      </c>
      <c r="B446" s="45">
        <v>-2.1356E-2</v>
      </c>
      <c r="C446" s="45">
        <v>-1.3299999999999999E-2</v>
      </c>
      <c r="D446" s="45">
        <v>-1.4206999999999999E-2</v>
      </c>
      <c r="E446" s="45">
        <v>-1.4037000000000001E-2</v>
      </c>
      <c r="F446" s="45">
        <v>-8.9356999999999995E-3</v>
      </c>
      <c r="G446" s="45">
        <v>-1.583E-2</v>
      </c>
      <c r="H446" s="45">
        <v>-5.4394999999999999E-3</v>
      </c>
      <c r="I446" s="45">
        <v>-2.0244999999999999E-2</v>
      </c>
      <c r="J446" s="45">
        <v>3.1771000000000001E-2</v>
      </c>
      <c r="K446" s="45">
        <v>-4.4237E-3</v>
      </c>
    </row>
    <row r="447" spans="1:11" x14ac:dyDescent="0.3">
      <c r="A447" s="171">
        <v>811</v>
      </c>
      <c r="B447" s="45">
        <v>-2.1477E-2</v>
      </c>
      <c r="C447" s="45">
        <v>-1.3082999999999999E-2</v>
      </c>
      <c r="D447" s="45">
        <v>-1.4123E-2</v>
      </c>
      <c r="E447" s="45">
        <v>-1.4057E-2</v>
      </c>
      <c r="F447" s="45">
        <v>-8.7677999999999992E-3</v>
      </c>
      <c r="G447" s="45">
        <v>-1.5879999999999998E-2</v>
      </c>
      <c r="H447" s="45">
        <v>-5.3198000000000004E-3</v>
      </c>
      <c r="I447" s="45">
        <v>-2.0256E-2</v>
      </c>
      <c r="J447" s="45">
        <v>3.1620000000000002E-2</v>
      </c>
      <c r="K447" s="45">
        <v>-4.3283000000000002E-3</v>
      </c>
    </row>
    <row r="448" spans="1:11" x14ac:dyDescent="0.3">
      <c r="A448" s="171">
        <v>812</v>
      </c>
      <c r="B448" s="45">
        <v>-2.1593000000000001E-2</v>
      </c>
      <c r="C448" s="45">
        <v>-1.2862E-2</v>
      </c>
      <c r="D448" s="45">
        <v>-1.4037000000000001E-2</v>
      </c>
      <c r="E448" s="45">
        <v>-1.4073E-2</v>
      </c>
      <c r="F448" s="45">
        <v>-8.6E-3</v>
      </c>
      <c r="G448" s="45">
        <v>-1.5921999999999999E-2</v>
      </c>
      <c r="H448" s="45">
        <v>-5.2021999999999997E-3</v>
      </c>
      <c r="I448" s="45">
        <v>-2.026E-2</v>
      </c>
      <c r="J448" s="45">
        <v>3.1462999999999998E-2</v>
      </c>
      <c r="K448" s="45">
        <v>-4.2307000000000004E-3</v>
      </c>
    </row>
    <row r="449" spans="1:11" x14ac:dyDescent="0.3">
      <c r="A449" s="171">
        <v>813</v>
      </c>
      <c r="B449" s="45">
        <v>-2.1704000000000001E-2</v>
      </c>
      <c r="C449" s="45">
        <v>-1.2637000000000001E-2</v>
      </c>
      <c r="D449" s="45">
        <v>-1.3949E-2</v>
      </c>
      <c r="E449" s="45">
        <v>-1.4087000000000001E-2</v>
      </c>
      <c r="F449" s="45">
        <v>-8.4322000000000008E-3</v>
      </c>
      <c r="G449" s="45">
        <v>-1.5958E-2</v>
      </c>
      <c r="H449" s="45">
        <v>-5.0866000000000001E-3</v>
      </c>
      <c r="I449" s="45">
        <v>-2.0256E-2</v>
      </c>
      <c r="J449" s="45">
        <v>3.1297999999999999E-2</v>
      </c>
      <c r="K449" s="45">
        <v>-4.1308999999999998E-3</v>
      </c>
    </row>
    <row r="450" spans="1:11" x14ac:dyDescent="0.3">
      <c r="A450" s="171">
        <v>814</v>
      </c>
      <c r="B450" s="45">
        <v>-2.1811000000000001E-2</v>
      </c>
      <c r="C450" s="45">
        <v>-1.2407E-2</v>
      </c>
      <c r="D450" s="45">
        <v>-1.3859E-2</v>
      </c>
      <c r="E450" s="45">
        <v>-1.4097E-2</v>
      </c>
      <c r="F450" s="45">
        <v>-8.2646000000000004E-3</v>
      </c>
      <c r="G450" s="45">
        <v>-1.5986E-2</v>
      </c>
      <c r="H450" s="45">
        <v>-4.9728999999999997E-3</v>
      </c>
      <c r="I450" s="45">
        <v>-2.0244999999999999E-2</v>
      </c>
      <c r="J450" s="45">
        <v>3.1126999999999998E-2</v>
      </c>
      <c r="K450" s="45">
        <v>-4.0289999999999996E-3</v>
      </c>
    </row>
    <row r="451" spans="1:11" x14ac:dyDescent="0.3">
      <c r="A451" s="171">
        <v>815</v>
      </c>
      <c r="B451" s="45">
        <v>-2.1912999999999998E-2</v>
      </c>
      <c r="C451" s="45">
        <v>-1.2174000000000001E-2</v>
      </c>
      <c r="D451" s="45">
        <v>-1.3767E-2</v>
      </c>
      <c r="E451" s="45">
        <v>-1.4102999999999999E-2</v>
      </c>
      <c r="F451" s="45">
        <v>-8.0973E-3</v>
      </c>
      <c r="G451" s="45">
        <v>-1.6008000000000001E-2</v>
      </c>
      <c r="H451" s="45">
        <v>-4.8612999999999998E-3</v>
      </c>
      <c r="I451" s="45">
        <v>-2.0225E-2</v>
      </c>
      <c r="J451" s="45">
        <v>3.0949000000000001E-2</v>
      </c>
      <c r="K451" s="45">
        <v>-3.9249000000000003E-3</v>
      </c>
    </row>
    <row r="452" spans="1:11" x14ac:dyDescent="0.3">
      <c r="A452" s="171">
        <v>816</v>
      </c>
      <c r="B452" s="45">
        <v>-2.2009999999999998E-2</v>
      </c>
      <c r="C452" s="45">
        <v>-1.1937E-2</v>
      </c>
      <c r="D452" s="45">
        <v>-1.3672999999999999E-2</v>
      </c>
      <c r="E452" s="45">
        <v>-1.4104999999999999E-2</v>
      </c>
      <c r="F452" s="45">
        <v>-7.9302000000000001E-3</v>
      </c>
      <c r="G452" s="45">
        <v>-1.6022999999999999E-2</v>
      </c>
      <c r="H452" s="45">
        <v>-4.7515999999999999E-3</v>
      </c>
      <c r="I452" s="45">
        <v>-2.0199000000000002E-2</v>
      </c>
      <c r="J452" s="45">
        <v>3.0764E-2</v>
      </c>
      <c r="K452" s="45">
        <v>-3.8186000000000001E-3</v>
      </c>
    </row>
    <row r="453" spans="1:11" x14ac:dyDescent="0.3">
      <c r="A453" s="171">
        <v>817</v>
      </c>
      <c r="B453" s="45">
        <v>-2.2102E-2</v>
      </c>
      <c r="C453" s="45">
        <v>-1.1697000000000001E-2</v>
      </c>
      <c r="D453" s="45">
        <v>-1.3577000000000001E-2</v>
      </c>
      <c r="E453" s="45">
        <v>-1.4104E-2</v>
      </c>
      <c r="F453" s="45">
        <v>-7.7635999999999998E-3</v>
      </c>
      <c r="G453" s="45">
        <v>-1.6031E-2</v>
      </c>
      <c r="H453" s="45">
        <v>-4.6438E-3</v>
      </c>
      <c r="I453" s="45">
        <v>-2.0164999999999999E-2</v>
      </c>
      <c r="J453" s="45">
        <v>3.0571999999999998E-2</v>
      </c>
      <c r="K453" s="45">
        <v>-3.7101999999999999E-3</v>
      </c>
    </row>
    <row r="454" spans="1:11" x14ac:dyDescent="0.3">
      <c r="A454" s="171">
        <v>818</v>
      </c>
      <c r="B454" s="45">
        <v>-2.2189E-2</v>
      </c>
      <c r="C454" s="45">
        <v>-1.1453E-2</v>
      </c>
      <c r="D454" s="45">
        <v>-1.3480000000000001E-2</v>
      </c>
      <c r="E454" s="45">
        <v>-1.4099E-2</v>
      </c>
      <c r="F454" s="45">
        <v>-7.5973999999999998E-3</v>
      </c>
      <c r="G454" s="45">
        <v>-1.6032000000000001E-2</v>
      </c>
      <c r="H454" s="45">
        <v>-4.5379000000000001E-3</v>
      </c>
      <c r="I454" s="45">
        <v>-2.0124E-2</v>
      </c>
      <c r="J454" s="45">
        <v>3.0374000000000002E-2</v>
      </c>
      <c r="K454" s="45">
        <v>-3.5996000000000001E-3</v>
      </c>
    </row>
    <row r="455" spans="1:11" x14ac:dyDescent="0.3">
      <c r="A455" s="171">
        <v>819</v>
      </c>
      <c r="B455" s="45">
        <v>-2.2272E-2</v>
      </c>
      <c r="C455" s="45">
        <v>-1.1205E-2</v>
      </c>
      <c r="D455" s="45">
        <v>-1.3381000000000001E-2</v>
      </c>
      <c r="E455" s="45">
        <v>-1.409E-2</v>
      </c>
      <c r="F455" s="45">
        <v>-7.4317999999999997E-3</v>
      </c>
      <c r="G455" s="45">
        <v>-1.6027E-2</v>
      </c>
      <c r="H455" s="45">
        <v>-4.4339999999999996E-3</v>
      </c>
      <c r="I455" s="45">
        <v>-2.0074999999999999E-2</v>
      </c>
      <c r="J455" s="45">
        <v>3.0169000000000001E-2</v>
      </c>
      <c r="K455" s="45">
        <v>-3.4870000000000001E-3</v>
      </c>
    </row>
    <row r="456" spans="1:11" x14ac:dyDescent="0.3">
      <c r="A456" s="171">
        <v>820</v>
      </c>
      <c r="B456" s="45">
        <v>-2.2349000000000001E-2</v>
      </c>
      <c r="C456" s="45">
        <v>-1.0954999999999999E-2</v>
      </c>
      <c r="D456" s="45">
        <v>-1.328E-2</v>
      </c>
      <c r="E456" s="45">
        <v>-1.4076999999999999E-2</v>
      </c>
      <c r="F456" s="45">
        <v>-7.2667000000000001E-3</v>
      </c>
      <c r="G456" s="45">
        <v>-1.6015000000000001E-2</v>
      </c>
      <c r="H456" s="45">
        <v>-4.3318000000000002E-3</v>
      </c>
      <c r="I456" s="45">
        <v>-2.0018999999999999E-2</v>
      </c>
      <c r="J456" s="45">
        <v>2.9957000000000001E-2</v>
      </c>
      <c r="K456" s="45">
        <v>-3.3723E-3</v>
      </c>
    </row>
    <row r="457" spans="1:11" x14ac:dyDescent="0.3">
      <c r="A457" s="171">
        <v>821</v>
      </c>
      <c r="B457" s="45">
        <v>-2.2421E-2</v>
      </c>
      <c r="C457" s="45">
        <v>-1.0702E-2</v>
      </c>
      <c r="D457" s="45">
        <v>-1.3176999999999999E-2</v>
      </c>
      <c r="E457" s="45">
        <v>-1.406E-2</v>
      </c>
      <c r="F457" s="45">
        <v>-7.1022999999999998E-3</v>
      </c>
      <c r="G457" s="45">
        <v>-1.5996E-2</v>
      </c>
      <c r="H457" s="45">
        <v>-4.2316000000000003E-3</v>
      </c>
      <c r="I457" s="45">
        <v>-1.9956000000000002E-2</v>
      </c>
      <c r="J457" s="45">
        <v>2.9739000000000002E-2</v>
      </c>
      <c r="K457" s="45">
        <v>-3.2555000000000001E-3</v>
      </c>
    </row>
    <row r="458" spans="1:11" x14ac:dyDescent="0.3">
      <c r="A458" s="171">
        <v>822</v>
      </c>
      <c r="B458" s="45">
        <v>-2.2487E-2</v>
      </c>
      <c r="C458" s="45">
        <v>-1.0446E-2</v>
      </c>
      <c r="D458" s="45">
        <v>-1.3073E-2</v>
      </c>
      <c r="E458" s="45">
        <v>-1.4038E-2</v>
      </c>
      <c r="F458" s="45">
        <v>-6.9385999999999996E-3</v>
      </c>
      <c r="G458" s="45">
        <v>-1.5970999999999999E-2</v>
      </c>
      <c r="H458" s="45">
        <v>-4.1330999999999998E-3</v>
      </c>
      <c r="I458" s="45">
        <v>-1.9886000000000001E-2</v>
      </c>
      <c r="J458" s="45">
        <v>2.9513999999999999E-2</v>
      </c>
      <c r="K458" s="45">
        <v>-3.1367000000000001E-3</v>
      </c>
    </row>
    <row r="459" spans="1:11" x14ac:dyDescent="0.3">
      <c r="A459" s="171">
        <v>823</v>
      </c>
      <c r="B459" s="45">
        <v>-2.2549E-2</v>
      </c>
      <c r="C459" s="45">
        <v>-1.0187E-2</v>
      </c>
      <c r="D459" s="45">
        <v>-1.2966999999999999E-2</v>
      </c>
      <c r="E459" s="45">
        <v>-1.4012999999999999E-2</v>
      </c>
      <c r="F459" s="45">
        <v>-6.7757E-3</v>
      </c>
      <c r="G459" s="45">
        <v>-1.5939999999999999E-2</v>
      </c>
      <c r="H459" s="45">
        <v>-4.0362999999999996E-3</v>
      </c>
      <c r="I459" s="45">
        <v>-1.9809E-2</v>
      </c>
      <c r="J459" s="45">
        <v>2.9283E-2</v>
      </c>
      <c r="K459" s="45">
        <v>-3.0157999999999999E-3</v>
      </c>
    </row>
    <row r="460" spans="1:11" x14ac:dyDescent="0.3">
      <c r="A460" s="171">
        <v>824</v>
      </c>
      <c r="B460" s="45">
        <v>-2.2605E-2</v>
      </c>
      <c r="C460" s="45">
        <v>-9.9263000000000007E-3</v>
      </c>
      <c r="D460" s="45">
        <v>-1.286E-2</v>
      </c>
      <c r="E460" s="45">
        <v>-1.3983000000000001E-2</v>
      </c>
      <c r="F460" s="45">
        <v>-6.6135999999999999E-3</v>
      </c>
      <c r="G460" s="45">
        <v>-1.5901999999999999E-2</v>
      </c>
      <c r="H460" s="45">
        <v>-3.9413E-3</v>
      </c>
      <c r="I460" s="45">
        <v>-1.9724999999999999E-2</v>
      </c>
      <c r="J460" s="45">
        <v>2.9045999999999999E-2</v>
      </c>
      <c r="K460" s="45">
        <v>-2.8930000000000002E-3</v>
      </c>
    </row>
    <row r="461" spans="1:11" x14ac:dyDescent="0.3">
      <c r="A461" s="171">
        <v>825</v>
      </c>
      <c r="B461" s="45">
        <v>-2.2655999999999999E-2</v>
      </c>
      <c r="C461" s="45">
        <v>-9.6631000000000009E-3</v>
      </c>
      <c r="D461" s="45">
        <v>-1.2751999999999999E-2</v>
      </c>
      <c r="E461" s="45">
        <v>-1.3948E-2</v>
      </c>
      <c r="F461" s="45">
        <v>-6.4523000000000002E-3</v>
      </c>
      <c r="G461" s="45">
        <v>-1.5859000000000002E-2</v>
      </c>
      <c r="H461" s="45">
        <v>-3.8479999999999999E-3</v>
      </c>
      <c r="I461" s="45">
        <v>-1.9635E-2</v>
      </c>
      <c r="J461" s="45">
        <v>2.8802999999999999E-2</v>
      </c>
      <c r="K461" s="45">
        <v>-2.7680999999999999E-3</v>
      </c>
    </row>
    <row r="462" spans="1:11" x14ac:dyDescent="0.3">
      <c r="A462" s="171">
        <v>826</v>
      </c>
      <c r="B462" s="45">
        <v>-2.2700999999999999E-2</v>
      </c>
      <c r="C462" s="45">
        <v>-9.3977000000000002E-3</v>
      </c>
      <c r="D462" s="45">
        <v>-1.2642E-2</v>
      </c>
      <c r="E462" s="45">
        <v>-1.391E-2</v>
      </c>
      <c r="F462" s="45">
        <v>-6.2919999999999998E-3</v>
      </c>
      <c r="G462" s="45">
        <v>-1.5809E-2</v>
      </c>
      <c r="H462" s="45">
        <v>-3.7564E-3</v>
      </c>
      <c r="I462" s="45">
        <v>-1.9536999999999999E-2</v>
      </c>
      <c r="J462" s="45">
        <v>2.8552999999999999E-2</v>
      </c>
      <c r="K462" s="45">
        <v>-2.6413000000000001E-3</v>
      </c>
    </row>
    <row r="463" spans="1:11" x14ac:dyDescent="0.3">
      <c r="A463" s="171">
        <v>827</v>
      </c>
      <c r="B463" s="45">
        <v>-2.2741000000000001E-2</v>
      </c>
      <c r="C463" s="45">
        <v>-9.1304999999999997E-3</v>
      </c>
      <c r="D463" s="45">
        <v>-1.2531E-2</v>
      </c>
      <c r="E463" s="45">
        <v>-1.3866E-2</v>
      </c>
      <c r="F463" s="45">
        <v>-6.1326999999999996E-3</v>
      </c>
      <c r="G463" s="45">
        <v>-1.5751999999999999E-2</v>
      </c>
      <c r="H463" s="45">
        <v>-3.6664000000000002E-3</v>
      </c>
      <c r="I463" s="45">
        <v>-1.9432999999999999E-2</v>
      </c>
      <c r="J463" s="45">
        <v>2.8298E-2</v>
      </c>
      <c r="K463" s="45">
        <v>-2.5125999999999998E-3</v>
      </c>
    </row>
    <row r="464" spans="1:11" x14ac:dyDescent="0.3">
      <c r="A464" s="171">
        <v>828</v>
      </c>
      <c r="B464" s="45">
        <v>-2.2775E-2</v>
      </c>
      <c r="C464" s="45">
        <v>-8.8614999999999996E-3</v>
      </c>
      <c r="D464" s="45">
        <v>-1.2418999999999999E-2</v>
      </c>
      <c r="E464" s="45">
        <v>-1.3818E-2</v>
      </c>
      <c r="F464" s="45">
        <v>-5.9744000000000004E-3</v>
      </c>
      <c r="G464" s="45">
        <v>-1.5689999999999999E-2</v>
      </c>
      <c r="H464" s="45">
        <v>-3.578E-3</v>
      </c>
      <c r="I464" s="45">
        <v>-1.9321999999999999E-2</v>
      </c>
      <c r="J464" s="45">
        <v>2.8035999999999998E-2</v>
      </c>
      <c r="K464" s="45">
        <v>-2.3819000000000002E-3</v>
      </c>
    </row>
    <row r="465" spans="1:11" x14ac:dyDescent="0.3">
      <c r="A465" s="171">
        <v>829</v>
      </c>
      <c r="B465" s="45">
        <v>-2.2804000000000001E-2</v>
      </c>
      <c r="C465" s="45">
        <v>-8.5909000000000003E-3</v>
      </c>
      <c r="D465" s="45">
        <v>-1.2305E-2</v>
      </c>
      <c r="E465" s="45">
        <v>-1.3766E-2</v>
      </c>
      <c r="F465" s="45">
        <v>-5.8171999999999998E-3</v>
      </c>
      <c r="G465" s="45">
        <v>-1.5622E-2</v>
      </c>
      <c r="H465" s="45">
        <v>-3.4911999999999999E-3</v>
      </c>
      <c r="I465" s="45">
        <v>-1.9205E-2</v>
      </c>
      <c r="J465" s="45">
        <v>2.7768999999999999E-2</v>
      </c>
      <c r="K465" s="45">
        <v>-2.2493999999999999E-3</v>
      </c>
    </row>
    <row r="466" spans="1:11" x14ac:dyDescent="0.3">
      <c r="A466" s="171">
        <v>830</v>
      </c>
      <c r="B466" s="45">
        <v>-2.2827E-2</v>
      </c>
      <c r="C466" s="45">
        <v>-8.3187999999999995E-3</v>
      </c>
      <c r="D466" s="45">
        <v>-1.2191E-2</v>
      </c>
      <c r="E466" s="45">
        <v>-1.3708E-2</v>
      </c>
      <c r="F466" s="45">
        <v>-5.6611999999999999E-3</v>
      </c>
      <c r="G466" s="45">
        <v>-1.5549E-2</v>
      </c>
      <c r="H466" s="45">
        <v>-3.4060000000000002E-3</v>
      </c>
      <c r="I466" s="45">
        <v>-1.9081000000000001E-2</v>
      </c>
      <c r="J466" s="45">
        <v>2.7494999999999999E-2</v>
      </c>
      <c r="K466" s="45">
        <v>-2.1150000000000001E-3</v>
      </c>
    </row>
    <row r="467" spans="1:11" x14ac:dyDescent="0.3">
      <c r="A467" s="171">
        <v>831</v>
      </c>
      <c r="B467" s="45">
        <v>-2.2845000000000001E-2</v>
      </c>
      <c r="C467" s="45">
        <v>-8.0456E-3</v>
      </c>
      <c r="D467" s="45">
        <v>-1.2075000000000001E-2</v>
      </c>
      <c r="E467" s="45">
        <v>-1.3646E-2</v>
      </c>
      <c r="F467" s="45">
        <v>-5.5062000000000002E-3</v>
      </c>
      <c r="G467" s="45">
        <v>-1.5469E-2</v>
      </c>
      <c r="H467" s="45">
        <v>-3.3222E-3</v>
      </c>
      <c r="I467" s="45">
        <v>-1.8950999999999999E-2</v>
      </c>
      <c r="J467" s="45">
        <v>2.7216000000000001E-2</v>
      </c>
      <c r="K467" s="45">
        <v>-1.9788000000000002E-3</v>
      </c>
    </row>
    <row r="468" spans="1:11" x14ac:dyDescent="0.3">
      <c r="A468" s="171">
        <v>832</v>
      </c>
      <c r="B468" s="45">
        <v>-2.2856000000000001E-2</v>
      </c>
      <c r="C468" s="45">
        <v>-7.7711999999999998E-3</v>
      </c>
      <c r="D468" s="45">
        <v>-1.1958999999999999E-2</v>
      </c>
      <c r="E468" s="45">
        <v>-1.3579000000000001E-2</v>
      </c>
      <c r="F468" s="45">
        <v>-5.3525999999999999E-3</v>
      </c>
      <c r="G468" s="45">
        <v>-1.5384E-2</v>
      </c>
      <c r="H468" s="45">
        <v>-3.2399999999999998E-3</v>
      </c>
      <c r="I468" s="45">
        <v>-1.8814999999999998E-2</v>
      </c>
      <c r="J468" s="45">
        <v>2.6931E-2</v>
      </c>
      <c r="K468" s="45">
        <v>-1.8407E-3</v>
      </c>
    </row>
    <row r="469" spans="1:11" x14ac:dyDescent="0.3">
      <c r="A469" s="171">
        <v>833</v>
      </c>
      <c r="B469" s="45">
        <v>-2.2862E-2</v>
      </c>
      <c r="C469" s="45">
        <v>-7.4958999999999998E-3</v>
      </c>
      <c r="D469" s="45">
        <v>-1.1841000000000001E-2</v>
      </c>
      <c r="E469" s="45">
        <v>-1.3507999999999999E-2</v>
      </c>
      <c r="F469" s="45">
        <v>-5.2001E-3</v>
      </c>
      <c r="G469" s="45">
        <v>-1.5292999999999999E-2</v>
      </c>
      <c r="H469" s="45">
        <v>-3.1592E-3</v>
      </c>
      <c r="I469" s="45">
        <v>-1.8672999999999999E-2</v>
      </c>
      <c r="J469" s="45">
        <v>2.6641000000000001E-2</v>
      </c>
      <c r="K469" s="45">
        <v>-1.7009E-3</v>
      </c>
    </row>
    <row r="470" spans="1:11" x14ac:dyDescent="0.3">
      <c r="A470" s="171">
        <v>834</v>
      </c>
      <c r="B470" s="45">
        <v>-2.2862E-2</v>
      </c>
      <c r="C470" s="45">
        <v>-7.2198000000000002E-3</v>
      </c>
      <c r="D470" s="45">
        <v>-1.1723000000000001E-2</v>
      </c>
      <c r="E470" s="45">
        <v>-1.3431E-2</v>
      </c>
      <c r="F470" s="45">
        <v>-5.0489999999999997E-3</v>
      </c>
      <c r="G470" s="45">
        <v>-1.5197E-2</v>
      </c>
      <c r="H470" s="45">
        <v>-3.0798000000000002E-3</v>
      </c>
      <c r="I470" s="45">
        <v>-1.8523999999999999E-2</v>
      </c>
      <c r="J470" s="45">
        <v>2.6345E-2</v>
      </c>
      <c r="K470" s="45">
        <v>-1.5593E-3</v>
      </c>
    </row>
    <row r="471" spans="1:11" x14ac:dyDescent="0.3">
      <c r="A471" s="171">
        <v>835</v>
      </c>
      <c r="B471" s="45">
        <v>-2.2856000000000001E-2</v>
      </c>
      <c r="C471" s="45">
        <v>-6.9430999999999998E-3</v>
      </c>
      <c r="D471" s="45">
        <v>-1.1603E-2</v>
      </c>
      <c r="E471" s="45">
        <v>-1.3349E-2</v>
      </c>
      <c r="F471" s="45">
        <v>-4.8992000000000003E-3</v>
      </c>
      <c r="G471" s="45">
        <v>-1.5096E-2</v>
      </c>
      <c r="H471" s="45">
        <v>-3.0018000000000002E-3</v>
      </c>
      <c r="I471" s="45">
        <v>-1.8370000000000001E-2</v>
      </c>
      <c r="J471" s="45">
        <v>2.6044000000000001E-2</v>
      </c>
      <c r="K471" s="45">
        <v>-1.4159999999999999E-3</v>
      </c>
    </row>
    <row r="472" spans="1:11" x14ac:dyDescent="0.3">
      <c r="A472" s="171">
        <v>836</v>
      </c>
      <c r="B472" s="45">
        <v>-2.2845000000000001E-2</v>
      </c>
      <c r="C472" s="45">
        <v>-6.6660000000000001E-3</v>
      </c>
      <c r="D472" s="45">
        <v>-1.1483E-2</v>
      </c>
      <c r="E472" s="45">
        <v>-1.3263E-2</v>
      </c>
      <c r="F472" s="45">
        <v>-4.7508000000000003E-3</v>
      </c>
      <c r="G472" s="45">
        <v>-1.4989000000000001E-2</v>
      </c>
      <c r="H472" s="45">
        <v>-2.9252000000000002E-3</v>
      </c>
      <c r="I472" s="45">
        <v>-1.821E-2</v>
      </c>
      <c r="J472" s="45">
        <v>2.5736999999999999E-2</v>
      </c>
      <c r="K472" s="45">
        <v>-1.271E-3</v>
      </c>
    </row>
    <row r="473" spans="1:11" x14ac:dyDescent="0.3">
      <c r="A473" s="171">
        <v>837</v>
      </c>
      <c r="B473" s="45">
        <v>-2.2827E-2</v>
      </c>
      <c r="C473" s="45">
        <v>-6.3886000000000004E-3</v>
      </c>
      <c r="D473" s="45">
        <v>-1.1362000000000001E-2</v>
      </c>
      <c r="E473" s="45">
        <v>-1.3172E-2</v>
      </c>
      <c r="F473" s="45">
        <v>-4.6037999999999999E-3</v>
      </c>
      <c r="G473" s="45">
        <v>-1.4877E-2</v>
      </c>
      <c r="H473" s="45">
        <v>-2.8498999999999998E-3</v>
      </c>
      <c r="I473" s="45">
        <v>-1.8043E-2</v>
      </c>
      <c r="J473" s="45">
        <v>2.5425E-2</v>
      </c>
      <c r="K473" s="45">
        <v>-1.1244E-3</v>
      </c>
    </row>
    <row r="474" spans="1:11" x14ac:dyDescent="0.3">
      <c r="A474" s="171">
        <v>838</v>
      </c>
      <c r="B474" s="45">
        <v>-2.2803E-2</v>
      </c>
      <c r="C474" s="45">
        <v>-6.1110000000000001E-3</v>
      </c>
      <c r="D474" s="45">
        <v>-1.124E-2</v>
      </c>
      <c r="E474" s="45">
        <v>-1.3075E-2</v>
      </c>
      <c r="F474" s="45">
        <v>-4.4581999999999998E-3</v>
      </c>
      <c r="G474" s="45">
        <v>-1.4760000000000001E-2</v>
      </c>
      <c r="H474" s="45">
        <v>-2.7759E-3</v>
      </c>
      <c r="I474" s="45">
        <v>-1.7871999999999999E-2</v>
      </c>
      <c r="J474" s="45">
        <v>2.5107999999999998E-2</v>
      </c>
      <c r="K474" s="45">
        <v>-9.7614000000000002E-4</v>
      </c>
    </row>
    <row r="475" spans="1:11" x14ac:dyDescent="0.3">
      <c r="A475" s="171">
        <v>839</v>
      </c>
      <c r="B475" s="45">
        <v>-2.2773999999999999E-2</v>
      </c>
      <c r="C475" s="45">
        <v>-5.8335000000000001E-3</v>
      </c>
      <c r="D475" s="45">
        <v>-1.1117E-2</v>
      </c>
      <c r="E475" s="45">
        <v>-1.2973999999999999E-2</v>
      </c>
      <c r="F475" s="45">
        <v>-4.3141000000000004E-3</v>
      </c>
      <c r="G475" s="45">
        <v>-1.4638E-2</v>
      </c>
      <c r="H475" s="45">
        <v>-2.7031999999999998E-3</v>
      </c>
      <c r="I475" s="45">
        <v>-1.7694000000000001E-2</v>
      </c>
      <c r="J475" s="45">
        <v>2.4785999999999999E-2</v>
      </c>
      <c r="K475" s="45">
        <v>-8.2629999999999997E-4</v>
      </c>
    </row>
    <row r="476" spans="1:11" x14ac:dyDescent="0.3">
      <c r="A476" s="171">
        <v>840</v>
      </c>
      <c r="B476" s="45">
        <v>-2.2738000000000001E-2</v>
      </c>
      <c r="C476" s="45">
        <v>-5.5561999999999999E-3</v>
      </c>
      <c r="D476" s="45">
        <v>-1.0994E-2</v>
      </c>
      <c r="E476" s="45">
        <v>-1.2867999999999999E-2</v>
      </c>
      <c r="F476" s="45">
        <v>-4.1716000000000001E-3</v>
      </c>
      <c r="G476" s="45">
        <v>-1.4511E-2</v>
      </c>
      <c r="H476" s="45">
        <v>-2.6318000000000001E-3</v>
      </c>
      <c r="I476" s="45">
        <v>-1.7510999999999999E-2</v>
      </c>
      <c r="J476" s="45">
        <v>2.4459000000000002E-2</v>
      </c>
      <c r="K476" s="45">
        <v>-6.7489999999999998E-4</v>
      </c>
    </row>
    <row r="477" spans="1:11" x14ac:dyDescent="0.3">
      <c r="A477" s="171">
        <v>841</v>
      </c>
      <c r="B477" s="45">
        <v>-2.2696000000000001E-2</v>
      </c>
      <c r="C477" s="45">
        <v>-5.2792000000000004E-3</v>
      </c>
      <c r="D477" s="45">
        <v>-1.0869999999999999E-2</v>
      </c>
      <c r="E477" s="45">
        <v>-1.2756E-2</v>
      </c>
      <c r="F477" s="45">
        <v>-4.0305999999999996E-3</v>
      </c>
      <c r="G477" s="45">
        <v>-1.4378999999999999E-2</v>
      </c>
      <c r="H477" s="45">
        <v>-2.5615999999999998E-3</v>
      </c>
      <c r="I477" s="45">
        <v>-1.7323000000000002E-2</v>
      </c>
      <c r="J477" s="45">
        <v>2.4126999999999999E-2</v>
      </c>
      <c r="K477" s="45">
        <v>-5.22E-4</v>
      </c>
    </row>
    <row r="478" spans="1:11" x14ac:dyDescent="0.3">
      <c r="A478" s="171">
        <v>842</v>
      </c>
      <c r="B478" s="45">
        <v>-2.2648000000000001E-2</v>
      </c>
      <c r="C478" s="45">
        <v>-5.0026999999999997E-3</v>
      </c>
      <c r="D478" s="45">
        <v>-1.0744999999999999E-2</v>
      </c>
      <c r="E478" s="45">
        <v>-1.264E-2</v>
      </c>
      <c r="F478" s="45">
        <v>-3.8912E-3</v>
      </c>
      <c r="G478" s="45">
        <v>-1.4243E-2</v>
      </c>
      <c r="H478" s="45">
        <v>-2.4924999999999999E-3</v>
      </c>
      <c r="I478" s="45">
        <v>-1.7128999999999998E-2</v>
      </c>
      <c r="J478" s="45">
        <v>2.3789999999999999E-2</v>
      </c>
      <c r="K478" s="45">
        <v>-3.6764000000000002E-4</v>
      </c>
    </row>
    <row r="479" spans="1:11" x14ac:dyDescent="0.3">
      <c r="A479" s="171">
        <v>843</v>
      </c>
      <c r="B479" s="45">
        <v>-2.2594E-2</v>
      </c>
      <c r="C479" s="45">
        <v>-4.7267999999999998E-3</v>
      </c>
      <c r="D479" s="45">
        <v>-1.0619999999999999E-2</v>
      </c>
      <c r="E479" s="45">
        <v>-1.2519000000000001E-2</v>
      </c>
      <c r="F479" s="45">
        <v>-3.7534999999999999E-3</v>
      </c>
      <c r="G479" s="45">
        <v>-1.4102E-2</v>
      </c>
      <c r="H479" s="45">
        <v>-2.4247000000000001E-3</v>
      </c>
      <c r="I479" s="45">
        <v>-1.6930000000000001E-2</v>
      </c>
      <c r="J479" s="45">
        <v>2.3449000000000001E-2</v>
      </c>
      <c r="K479" s="45">
        <v>-2.1185E-4</v>
      </c>
    </row>
    <row r="480" spans="1:11" x14ac:dyDescent="0.3">
      <c r="A480" s="171">
        <v>844</v>
      </c>
      <c r="B480" s="45">
        <v>-2.2533000000000001E-2</v>
      </c>
      <c r="C480" s="45">
        <v>-4.4517000000000003E-3</v>
      </c>
      <c r="D480" s="45">
        <v>-1.0494E-2</v>
      </c>
      <c r="E480" s="45">
        <v>-1.2393E-2</v>
      </c>
      <c r="F480" s="45">
        <v>-3.6174000000000002E-3</v>
      </c>
      <c r="G480" s="45">
        <v>-1.3956E-2</v>
      </c>
      <c r="H480" s="45">
        <v>-2.3579999999999999E-3</v>
      </c>
      <c r="I480" s="45">
        <v>-1.6726000000000001E-2</v>
      </c>
      <c r="J480" s="45">
        <v>2.3102999999999999E-2</v>
      </c>
      <c r="K480" s="45">
        <v>-5.4676999999999998E-5</v>
      </c>
    </row>
    <row r="481" spans="1:11" x14ac:dyDescent="0.3">
      <c r="A481" s="171">
        <v>845</v>
      </c>
      <c r="B481" s="45">
        <v>-2.2467000000000001E-2</v>
      </c>
      <c r="C481" s="45">
        <v>-4.1776000000000001E-3</v>
      </c>
      <c r="D481" s="45">
        <v>-1.0368E-2</v>
      </c>
      <c r="E481" s="45">
        <v>-1.2262E-2</v>
      </c>
      <c r="F481" s="45">
        <v>-3.483E-3</v>
      </c>
      <c r="G481" s="45">
        <v>-1.3806000000000001E-2</v>
      </c>
      <c r="H481" s="45">
        <v>-2.2924999999999998E-3</v>
      </c>
      <c r="I481" s="45">
        <v>-1.6517E-2</v>
      </c>
      <c r="J481" s="45">
        <v>2.2752999999999999E-2</v>
      </c>
      <c r="K481" s="45">
        <v>1.0382000000000001E-4</v>
      </c>
    </row>
    <row r="482" spans="1:11" x14ac:dyDescent="0.3">
      <c r="A482" s="171">
        <v>846</v>
      </c>
      <c r="B482" s="45">
        <v>-2.2394000000000001E-2</v>
      </c>
      <c r="C482" s="45">
        <v>-3.9045E-3</v>
      </c>
      <c r="D482" s="45">
        <v>-1.0241E-2</v>
      </c>
      <c r="E482" s="45">
        <v>-1.2126E-2</v>
      </c>
      <c r="F482" s="45">
        <v>-3.3503000000000001E-3</v>
      </c>
      <c r="G482" s="45">
        <v>-1.3651999999999999E-2</v>
      </c>
      <c r="H482" s="45">
        <v>-2.2280999999999998E-3</v>
      </c>
      <c r="I482" s="45">
        <v>-1.6303000000000002E-2</v>
      </c>
      <c r="J482" s="45">
        <v>2.2398000000000001E-2</v>
      </c>
      <c r="K482" s="45">
        <v>2.6360000000000001E-4</v>
      </c>
    </row>
    <row r="483" spans="1:11" x14ac:dyDescent="0.3">
      <c r="A483" s="171">
        <v>847</v>
      </c>
      <c r="B483" s="45">
        <v>-2.2315000000000002E-2</v>
      </c>
      <c r="C483" s="45">
        <v>-3.6326000000000002E-3</v>
      </c>
      <c r="D483" s="45">
        <v>-1.0114E-2</v>
      </c>
      <c r="E483" s="45">
        <v>-1.1985000000000001E-2</v>
      </c>
      <c r="F483" s="45">
        <v>-3.2193999999999999E-3</v>
      </c>
      <c r="G483" s="45">
        <v>-1.3493E-2</v>
      </c>
      <c r="H483" s="45">
        <v>-2.1646999999999999E-3</v>
      </c>
      <c r="I483" s="45">
        <v>-1.6084999999999999E-2</v>
      </c>
      <c r="J483" s="45">
        <v>2.2039E-2</v>
      </c>
      <c r="K483" s="45">
        <v>4.2460000000000002E-4</v>
      </c>
    </row>
    <row r="484" spans="1:11" x14ac:dyDescent="0.3">
      <c r="A484" s="171">
        <v>848</v>
      </c>
      <c r="B484" s="45">
        <v>-2.223E-2</v>
      </c>
      <c r="C484" s="45">
        <v>-3.3620999999999998E-3</v>
      </c>
      <c r="D484" s="45">
        <v>-9.9863999999999994E-3</v>
      </c>
      <c r="E484" s="45">
        <v>-1.1839000000000001E-2</v>
      </c>
      <c r="F484" s="45">
        <v>-3.0902E-3</v>
      </c>
      <c r="G484" s="45">
        <v>-1.3331000000000001E-2</v>
      </c>
      <c r="H484" s="45">
        <v>-2.1023999999999999E-3</v>
      </c>
      <c r="I484" s="45">
        <v>-1.5861E-2</v>
      </c>
      <c r="J484" s="45">
        <v>2.1676999999999998E-2</v>
      </c>
      <c r="K484" s="45">
        <v>5.8677999999999996E-4</v>
      </c>
    </row>
    <row r="485" spans="1:11" x14ac:dyDescent="0.3">
      <c r="A485" s="171">
        <v>849</v>
      </c>
      <c r="B485" s="45">
        <v>-2.2138000000000001E-2</v>
      </c>
      <c r="C485" s="45">
        <v>-3.0931999999999999E-3</v>
      </c>
      <c r="D485" s="45">
        <v>-9.8583000000000004E-3</v>
      </c>
      <c r="E485" s="45">
        <v>-1.1689E-2</v>
      </c>
      <c r="F485" s="45">
        <v>-2.9629000000000001E-3</v>
      </c>
      <c r="G485" s="45">
        <v>-1.3164E-2</v>
      </c>
      <c r="H485" s="45">
        <v>-2.0412E-3</v>
      </c>
      <c r="I485" s="45">
        <v>-1.5633999999999999E-2</v>
      </c>
      <c r="J485" s="45">
        <v>2.1309999999999999E-2</v>
      </c>
      <c r="K485" s="45">
        <v>7.5007000000000003E-4</v>
      </c>
    </row>
    <row r="486" spans="1:11" x14ac:dyDescent="0.3">
      <c r="A486" s="171">
        <v>850</v>
      </c>
      <c r="B486" s="45">
        <v>-2.2040000000000001E-2</v>
      </c>
      <c r="C486" s="45">
        <v>-2.8257999999999998E-3</v>
      </c>
      <c r="D486" s="45">
        <v>-9.7298000000000003E-3</v>
      </c>
      <c r="E486" s="45">
        <v>-1.1534000000000001E-2</v>
      </c>
      <c r="F486" s="45">
        <v>-2.8375000000000002E-3</v>
      </c>
      <c r="G486" s="45">
        <v>-1.2992999999999999E-2</v>
      </c>
      <c r="H486" s="45">
        <v>-1.9810000000000001E-3</v>
      </c>
      <c r="I486" s="45">
        <v>-1.5402000000000001E-2</v>
      </c>
      <c r="J486" s="45">
        <v>2.0938999999999999E-2</v>
      </c>
      <c r="K486" s="45">
        <v>9.1441000000000005E-4</v>
      </c>
    </row>
    <row r="487" spans="1:11" x14ac:dyDescent="0.3">
      <c r="A487" s="171">
        <v>851</v>
      </c>
      <c r="B487" s="45">
        <v>-2.1936000000000001E-2</v>
      </c>
      <c r="C487" s="45">
        <v>-2.5601999999999999E-3</v>
      </c>
      <c r="D487" s="45">
        <v>-9.6010000000000002E-3</v>
      </c>
      <c r="E487" s="45">
        <v>-1.1374E-2</v>
      </c>
      <c r="F487" s="45">
        <v>-2.7139E-3</v>
      </c>
      <c r="G487" s="45">
        <v>-1.2819000000000001E-2</v>
      </c>
      <c r="H487" s="45">
        <v>-1.9219E-3</v>
      </c>
      <c r="I487" s="45">
        <v>-1.5165E-2</v>
      </c>
      <c r="J487" s="45">
        <v>2.0565E-2</v>
      </c>
      <c r="K487" s="45">
        <v>1.0797000000000001E-3</v>
      </c>
    </row>
    <row r="488" spans="1:11" x14ac:dyDescent="0.3">
      <c r="A488" s="171">
        <v>852</v>
      </c>
      <c r="B488" s="45">
        <v>-2.1826000000000002E-2</v>
      </c>
      <c r="C488" s="45">
        <v>-2.2964999999999999E-3</v>
      </c>
      <c r="D488" s="45">
        <v>-9.4719000000000001E-3</v>
      </c>
      <c r="E488" s="45">
        <v>-1.1209999999999999E-2</v>
      </c>
      <c r="F488" s="45">
        <v>-2.5921999999999998E-3</v>
      </c>
      <c r="G488" s="45">
        <v>-1.2640999999999999E-2</v>
      </c>
      <c r="H488" s="45">
        <v>-1.8637E-3</v>
      </c>
      <c r="I488" s="45">
        <v>-1.4925000000000001E-2</v>
      </c>
      <c r="J488" s="45">
        <v>2.0188000000000001E-2</v>
      </c>
      <c r="K488" s="45">
        <v>1.2459999999999999E-3</v>
      </c>
    </row>
    <row r="489" spans="1:11" x14ac:dyDescent="0.3">
      <c r="A489" s="171">
        <v>853</v>
      </c>
      <c r="B489" s="45">
        <v>-2.1708999999999999E-2</v>
      </c>
      <c r="C489" s="45">
        <v>-2.0349000000000001E-3</v>
      </c>
      <c r="D489" s="45">
        <v>-9.3424000000000007E-3</v>
      </c>
      <c r="E489" s="45">
        <v>-1.1042E-2</v>
      </c>
      <c r="F489" s="45">
        <v>-2.4724E-3</v>
      </c>
      <c r="G489" s="45">
        <v>-1.2459E-2</v>
      </c>
      <c r="H489" s="45">
        <v>-1.8064999999999999E-3</v>
      </c>
      <c r="I489" s="45">
        <v>-1.4681E-2</v>
      </c>
      <c r="J489" s="45">
        <v>1.9807000000000002E-2</v>
      </c>
      <c r="K489" s="45">
        <v>1.4131E-3</v>
      </c>
    </row>
    <row r="490" spans="1:11" x14ac:dyDescent="0.3">
      <c r="A490" s="171">
        <v>854</v>
      </c>
      <c r="B490" s="45">
        <v>-2.1586000000000001E-2</v>
      </c>
      <c r="C490" s="45">
        <v>-1.7753999999999999E-3</v>
      </c>
      <c r="D490" s="45">
        <v>-9.2125999999999996E-3</v>
      </c>
      <c r="E490" s="45">
        <v>-1.0869E-2</v>
      </c>
      <c r="F490" s="45">
        <v>-2.3544999999999998E-3</v>
      </c>
      <c r="G490" s="45">
        <v>-1.2274E-2</v>
      </c>
      <c r="H490" s="45">
        <v>-1.7503E-3</v>
      </c>
      <c r="I490" s="45">
        <v>-1.4433E-2</v>
      </c>
      <c r="J490" s="45">
        <v>1.9422999999999999E-2</v>
      </c>
      <c r="K490" s="45">
        <v>1.5809000000000001E-3</v>
      </c>
    </row>
    <row r="491" spans="1:11" x14ac:dyDescent="0.3">
      <c r="A491" s="171">
        <v>855</v>
      </c>
      <c r="B491" s="45">
        <v>-2.1457E-2</v>
      </c>
      <c r="C491" s="45">
        <v>-1.5181999999999999E-3</v>
      </c>
      <c r="D491" s="45">
        <v>-9.0825999999999997E-3</v>
      </c>
      <c r="E491" s="45">
        <v>-1.0692999999999999E-2</v>
      </c>
      <c r="F491" s="45">
        <v>-2.2385999999999999E-3</v>
      </c>
      <c r="G491" s="45">
        <v>-1.2086E-2</v>
      </c>
      <c r="H491" s="45">
        <v>-1.6950999999999999E-3</v>
      </c>
      <c r="I491" s="45">
        <v>-1.4180999999999999E-2</v>
      </c>
      <c r="J491" s="45">
        <v>1.9036999999999998E-2</v>
      </c>
      <c r="K491" s="45">
        <v>1.7495E-3</v>
      </c>
    </row>
    <row r="492" spans="1:11" x14ac:dyDescent="0.3">
      <c r="A492" s="171">
        <v>856</v>
      </c>
      <c r="B492" s="45">
        <v>-2.1322000000000001E-2</v>
      </c>
      <c r="C492" s="45">
        <v>-1.2634E-3</v>
      </c>
      <c r="D492" s="45">
        <v>-8.9522999999999998E-3</v>
      </c>
      <c r="E492" s="45">
        <v>-1.0512000000000001E-2</v>
      </c>
      <c r="F492" s="45">
        <v>-2.1247000000000002E-3</v>
      </c>
      <c r="G492" s="45">
        <v>-1.1894E-2</v>
      </c>
      <c r="H492" s="45">
        <v>-1.6408E-3</v>
      </c>
      <c r="I492" s="45">
        <v>-1.3927E-2</v>
      </c>
      <c r="J492" s="45">
        <v>1.8647E-2</v>
      </c>
      <c r="K492" s="45">
        <v>1.9187E-3</v>
      </c>
    </row>
    <row r="493" spans="1:11" x14ac:dyDescent="0.3">
      <c r="A493" s="171">
        <v>857</v>
      </c>
      <c r="B493" s="45">
        <v>-2.1180000000000001E-2</v>
      </c>
      <c r="C493" s="45">
        <v>-1.0111E-3</v>
      </c>
      <c r="D493" s="45">
        <v>-8.8217999999999994E-3</v>
      </c>
      <c r="E493" s="45">
        <v>-1.0326999999999999E-2</v>
      </c>
      <c r="F493" s="45">
        <v>-2.0127999999999999E-3</v>
      </c>
      <c r="G493" s="45">
        <v>-1.1698999999999999E-2</v>
      </c>
      <c r="H493" s="45">
        <v>-1.5874000000000001E-3</v>
      </c>
      <c r="I493" s="45">
        <v>-1.3668E-2</v>
      </c>
      <c r="J493" s="45">
        <v>1.8255E-2</v>
      </c>
      <c r="K493" s="45">
        <v>2.0883999999999998E-3</v>
      </c>
    </row>
    <row r="494" spans="1:11" x14ac:dyDescent="0.3">
      <c r="A494" s="171">
        <v>858</v>
      </c>
      <c r="B494" s="45">
        <v>-2.1033E-2</v>
      </c>
      <c r="C494" s="45">
        <v>-7.6150999999999996E-4</v>
      </c>
      <c r="D494" s="45">
        <v>-8.6911000000000002E-3</v>
      </c>
      <c r="E494" s="45">
        <v>-1.0139E-2</v>
      </c>
      <c r="F494" s="45">
        <v>-1.9028999999999999E-3</v>
      </c>
      <c r="G494" s="45">
        <v>-1.1501000000000001E-2</v>
      </c>
      <c r="H494" s="45">
        <v>-1.5349999999999999E-3</v>
      </c>
      <c r="I494" s="45">
        <v>-1.3407000000000001E-2</v>
      </c>
      <c r="J494" s="45">
        <v>1.7860000000000001E-2</v>
      </c>
      <c r="K494" s="45">
        <v>2.2585999999999999E-3</v>
      </c>
    </row>
    <row r="495" spans="1:11" x14ac:dyDescent="0.3">
      <c r="A495" s="171">
        <v>859</v>
      </c>
      <c r="B495" s="45">
        <v>-2.0879000000000002E-2</v>
      </c>
      <c r="C495" s="45">
        <v>-5.1464000000000002E-4</v>
      </c>
      <c r="D495" s="45">
        <v>-8.5600999999999993E-3</v>
      </c>
      <c r="E495" s="45">
        <v>-9.9465999999999999E-3</v>
      </c>
      <c r="F495" s="45">
        <v>-1.7949999999999999E-3</v>
      </c>
      <c r="G495" s="45">
        <v>-1.1301E-2</v>
      </c>
      <c r="H495" s="45">
        <v>-1.4835E-3</v>
      </c>
      <c r="I495" s="45">
        <v>-1.3143E-2</v>
      </c>
      <c r="J495" s="45">
        <v>1.7464E-2</v>
      </c>
      <c r="K495" s="45">
        <v>2.4291999999999998E-3</v>
      </c>
    </row>
    <row r="496" spans="1:11" x14ac:dyDescent="0.3">
      <c r="A496" s="171">
        <v>860</v>
      </c>
      <c r="B496" s="45">
        <v>-2.0719000000000001E-2</v>
      </c>
      <c r="C496" s="45">
        <v>-2.7065999999999999E-4</v>
      </c>
      <c r="D496" s="45">
        <v>-8.4290000000000007E-3</v>
      </c>
      <c r="E496" s="45">
        <v>-9.7511000000000004E-3</v>
      </c>
      <c r="F496" s="45">
        <v>-1.6892000000000001E-3</v>
      </c>
      <c r="G496" s="45">
        <v>-1.1096999999999999E-2</v>
      </c>
      <c r="H496" s="45">
        <v>-1.4327999999999999E-3</v>
      </c>
      <c r="I496" s="45">
        <v>-1.2876E-2</v>
      </c>
      <c r="J496" s="45">
        <v>1.7065E-2</v>
      </c>
      <c r="K496" s="45">
        <v>2.6001000000000002E-3</v>
      </c>
    </row>
    <row r="497" spans="1:11" x14ac:dyDescent="0.3">
      <c r="A497" s="171">
        <v>861</v>
      </c>
      <c r="B497" s="45">
        <v>-2.0553999999999999E-2</v>
      </c>
      <c r="C497" s="45">
        <v>-2.9683E-5</v>
      </c>
      <c r="D497" s="45">
        <v>-8.2976999999999999E-3</v>
      </c>
      <c r="E497" s="45">
        <v>-9.5524000000000008E-3</v>
      </c>
      <c r="F497" s="45">
        <v>-1.5854E-3</v>
      </c>
      <c r="G497" s="45">
        <v>-1.0891E-2</v>
      </c>
      <c r="H497" s="45">
        <v>-1.3831E-3</v>
      </c>
      <c r="I497" s="45">
        <v>-1.2605999999999999E-2</v>
      </c>
      <c r="J497" s="45">
        <v>1.6664999999999999E-2</v>
      </c>
      <c r="K497" s="45">
        <v>2.7710999999999999E-3</v>
      </c>
    </row>
    <row r="498" spans="1:11" x14ac:dyDescent="0.3">
      <c r="A498" s="171">
        <v>862</v>
      </c>
      <c r="B498" s="45">
        <v>-2.0382000000000001E-2</v>
      </c>
      <c r="C498" s="45">
        <v>2.0818E-4</v>
      </c>
      <c r="D498" s="45">
        <v>-8.1662000000000002E-3</v>
      </c>
      <c r="E498" s="45">
        <v>-9.3504999999999994E-3</v>
      </c>
      <c r="F498" s="45">
        <v>-1.4838E-3</v>
      </c>
      <c r="G498" s="45">
        <v>-1.0683E-2</v>
      </c>
      <c r="H498" s="45">
        <v>-1.3343000000000001E-3</v>
      </c>
      <c r="I498" s="45">
        <v>-1.2333999999999999E-2</v>
      </c>
      <c r="J498" s="45">
        <v>1.6261999999999999E-2</v>
      </c>
      <c r="K498" s="45">
        <v>2.9423000000000001E-3</v>
      </c>
    </row>
    <row r="499" spans="1:11" x14ac:dyDescent="0.3">
      <c r="A499" s="171">
        <v>863</v>
      </c>
      <c r="B499" s="45">
        <v>-2.0204E-2</v>
      </c>
      <c r="C499" s="45">
        <v>4.4281000000000002E-4</v>
      </c>
      <c r="D499" s="45">
        <v>-8.0345999999999994E-3</v>
      </c>
      <c r="E499" s="45">
        <v>-9.1456999999999997E-3</v>
      </c>
      <c r="F499" s="45">
        <v>-1.3841999999999999E-3</v>
      </c>
      <c r="G499" s="45">
        <v>-1.0472E-2</v>
      </c>
      <c r="H499" s="45">
        <v>-1.2863E-3</v>
      </c>
      <c r="I499" s="45">
        <v>-1.206E-2</v>
      </c>
      <c r="J499" s="45">
        <v>1.5859000000000002E-2</v>
      </c>
      <c r="K499" s="45">
        <v>3.1134999999999999E-3</v>
      </c>
    </row>
    <row r="500" spans="1:11" x14ac:dyDescent="0.3">
      <c r="A500" s="171">
        <v>864</v>
      </c>
      <c r="B500" s="45">
        <v>-2.002E-2</v>
      </c>
      <c r="C500" s="45">
        <v>6.7409999999999996E-4</v>
      </c>
      <c r="D500" s="45">
        <v>-7.9027999999999998E-3</v>
      </c>
      <c r="E500" s="45">
        <v>-8.9380999999999992E-3</v>
      </c>
      <c r="F500" s="45">
        <v>-1.2868000000000001E-3</v>
      </c>
      <c r="G500" s="45">
        <v>-1.0259000000000001E-2</v>
      </c>
      <c r="H500" s="45">
        <v>-1.2392E-3</v>
      </c>
      <c r="I500" s="45">
        <v>-1.1783999999999999E-2</v>
      </c>
      <c r="J500" s="45">
        <v>1.5454000000000001E-2</v>
      </c>
      <c r="K500" s="45">
        <v>3.2847000000000002E-3</v>
      </c>
    </row>
    <row r="501" spans="1:11" x14ac:dyDescent="0.3">
      <c r="A501" s="171">
        <v>865</v>
      </c>
      <c r="B501" s="45">
        <v>-1.9831000000000001E-2</v>
      </c>
      <c r="C501" s="45">
        <v>9.0193999999999995E-4</v>
      </c>
      <c r="D501" s="45">
        <v>-7.7707999999999996E-3</v>
      </c>
      <c r="E501" s="45">
        <v>-8.7279000000000002E-3</v>
      </c>
      <c r="F501" s="45">
        <v>-1.1914E-3</v>
      </c>
      <c r="G501" s="45">
        <v>-1.0044000000000001E-2</v>
      </c>
      <c r="H501" s="45">
        <v>-1.193E-3</v>
      </c>
      <c r="I501" s="45">
        <v>-1.1506000000000001E-2</v>
      </c>
      <c r="J501" s="45">
        <v>1.5048000000000001E-2</v>
      </c>
      <c r="K501" s="45">
        <v>3.4556999999999999E-3</v>
      </c>
    </row>
    <row r="502" spans="1:11" x14ac:dyDescent="0.3">
      <c r="A502" s="171">
        <v>866</v>
      </c>
      <c r="B502" s="45">
        <v>-1.9635E-2</v>
      </c>
      <c r="C502" s="45">
        <v>1.1261999999999999E-3</v>
      </c>
      <c r="D502" s="45">
        <v>-7.6388000000000003E-3</v>
      </c>
      <c r="E502" s="45">
        <v>-8.5153E-3</v>
      </c>
      <c r="F502" s="45">
        <v>-1.0983E-3</v>
      </c>
      <c r="G502" s="45">
        <v>-9.8262999999999996E-3</v>
      </c>
      <c r="H502" s="45">
        <v>-1.1475999999999999E-3</v>
      </c>
      <c r="I502" s="45">
        <v>-1.1227000000000001E-2</v>
      </c>
      <c r="J502" s="45">
        <v>1.4642000000000001E-2</v>
      </c>
      <c r="K502" s="45">
        <v>3.6264999999999999E-3</v>
      </c>
    </row>
    <row r="503" spans="1:11" x14ac:dyDescent="0.3">
      <c r="A503" s="171">
        <v>867</v>
      </c>
      <c r="B503" s="45">
        <v>-1.9434E-2</v>
      </c>
      <c r="C503" s="45">
        <v>1.3468E-3</v>
      </c>
      <c r="D503" s="45">
        <v>-7.5066000000000004E-3</v>
      </c>
      <c r="E503" s="45">
        <v>-8.3003E-3</v>
      </c>
      <c r="F503" s="45">
        <v>-1.0073E-3</v>
      </c>
      <c r="G503" s="45">
        <v>-9.6071000000000004E-3</v>
      </c>
      <c r="H503" s="45">
        <v>-1.1031000000000001E-3</v>
      </c>
      <c r="I503" s="45">
        <v>-1.0945E-2</v>
      </c>
      <c r="J503" s="45">
        <v>1.4234E-2</v>
      </c>
      <c r="K503" s="45">
        <v>3.7969000000000002E-3</v>
      </c>
    </row>
    <row r="504" spans="1:11" x14ac:dyDescent="0.3">
      <c r="A504" s="171">
        <v>868</v>
      </c>
      <c r="B504" s="45">
        <v>-1.9227000000000001E-2</v>
      </c>
      <c r="C504" s="45">
        <v>1.5636000000000001E-3</v>
      </c>
      <c r="D504" s="45">
        <v>-7.3743000000000003E-3</v>
      </c>
      <c r="E504" s="45">
        <v>-8.0832000000000005E-3</v>
      </c>
      <c r="F504" s="45">
        <v>-9.1843000000000003E-4</v>
      </c>
      <c r="G504" s="45">
        <v>-9.3862000000000008E-3</v>
      </c>
      <c r="H504" s="45">
        <v>-1.0594000000000001E-3</v>
      </c>
      <c r="I504" s="45">
        <v>-1.0663000000000001E-2</v>
      </c>
      <c r="J504" s="45">
        <v>1.3826E-2</v>
      </c>
      <c r="K504" s="45">
        <v>3.967E-3</v>
      </c>
    </row>
    <row r="505" spans="1:11" x14ac:dyDescent="0.3">
      <c r="A505" s="171">
        <v>869</v>
      </c>
      <c r="B505" s="45">
        <v>-1.9015000000000001E-2</v>
      </c>
      <c r="C505" s="45">
        <v>1.7765000000000001E-3</v>
      </c>
      <c r="D505" s="45">
        <v>-7.2418999999999999E-3</v>
      </c>
      <c r="E505" s="45">
        <v>-7.8642E-3</v>
      </c>
      <c r="F505" s="45">
        <v>-8.3179E-4</v>
      </c>
      <c r="G505" s="45">
        <v>-9.1635999999999992E-3</v>
      </c>
      <c r="H505" s="45">
        <v>-1.0165E-3</v>
      </c>
      <c r="I505" s="45">
        <v>-1.0378999999999999E-2</v>
      </c>
      <c r="J505" s="45">
        <v>1.3417999999999999E-2</v>
      </c>
      <c r="K505" s="45">
        <v>4.1365999999999998E-3</v>
      </c>
    </row>
    <row r="506" spans="1:11" x14ac:dyDescent="0.3">
      <c r="A506" s="171">
        <v>870</v>
      </c>
      <c r="B506" s="45">
        <v>-1.8796E-2</v>
      </c>
      <c r="C506" s="45">
        <v>1.9854999999999999E-3</v>
      </c>
      <c r="D506" s="45">
        <v>-7.1095000000000004E-3</v>
      </c>
      <c r="E506" s="45">
        <v>-7.6432999999999996E-3</v>
      </c>
      <c r="F506" s="45">
        <v>-7.4735000000000003E-4</v>
      </c>
      <c r="G506" s="45">
        <v>-8.9394000000000001E-3</v>
      </c>
      <c r="H506" s="45">
        <v>-9.7451000000000005E-4</v>
      </c>
      <c r="I506" s="45">
        <v>-1.0095E-2</v>
      </c>
      <c r="J506" s="45">
        <v>1.3010000000000001E-2</v>
      </c>
      <c r="K506" s="45">
        <v>4.3055000000000003E-3</v>
      </c>
    </row>
    <row r="507" spans="1:11" x14ac:dyDescent="0.3">
      <c r="A507" s="171">
        <v>871</v>
      </c>
      <c r="B507" s="45">
        <v>-1.8572000000000002E-2</v>
      </c>
      <c r="C507" s="45">
        <v>2.1903000000000001E-3</v>
      </c>
      <c r="D507" s="45">
        <v>-6.9769000000000003E-3</v>
      </c>
      <c r="E507" s="45">
        <v>-7.4209000000000002E-3</v>
      </c>
      <c r="F507" s="45">
        <v>-6.6513E-4</v>
      </c>
      <c r="G507" s="45">
        <v>-8.7139000000000001E-3</v>
      </c>
      <c r="H507" s="45">
        <v>-9.3331999999999996E-4</v>
      </c>
      <c r="I507" s="45">
        <v>-9.8093999999999994E-3</v>
      </c>
      <c r="J507" s="45">
        <v>1.2602E-2</v>
      </c>
      <c r="K507" s="45">
        <v>4.4738E-3</v>
      </c>
    </row>
    <row r="508" spans="1:11" x14ac:dyDescent="0.3">
      <c r="A508" s="171">
        <v>872</v>
      </c>
      <c r="B508" s="45">
        <v>-1.8343000000000002E-2</v>
      </c>
      <c r="C508" s="45">
        <v>2.3909000000000001E-3</v>
      </c>
      <c r="D508" s="45">
        <v>-6.8443000000000002E-3</v>
      </c>
      <c r="E508" s="45">
        <v>-7.1969E-3</v>
      </c>
      <c r="F508" s="45">
        <v>-5.8514000000000005E-4</v>
      </c>
      <c r="G508" s="45">
        <v>-8.4869999999999998E-3</v>
      </c>
      <c r="H508" s="45">
        <v>-8.9296000000000004E-4</v>
      </c>
      <c r="I508" s="45">
        <v>-9.5233999999999996E-3</v>
      </c>
      <c r="J508" s="45">
        <v>1.2194999999999999E-2</v>
      </c>
      <c r="K508" s="45">
        <v>4.6414000000000004E-3</v>
      </c>
    </row>
    <row r="509" spans="1:11" x14ac:dyDescent="0.3">
      <c r="A509" s="171">
        <v>873</v>
      </c>
      <c r="B509" s="45">
        <v>-1.8107999999999999E-2</v>
      </c>
      <c r="C509" s="45">
        <v>2.5872999999999998E-3</v>
      </c>
      <c r="D509" s="45">
        <v>-6.7115999999999999E-3</v>
      </c>
      <c r="E509" s="45">
        <v>-6.9716999999999999E-3</v>
      </c>
      <c r="F509" s="45">
        <v>-5.0739000000000003E-4</v>
      </c>
      <c r="G509" s="45">
        <v>-8.2590000000000007E-3</v>
      </c>
      <c r="H509" s="45">
        <v>-8.5340000000000004E-4</v>
      </c>
      <c r="I509" s="45">
        <v>-9.2368999999999993E-3</v>
      </c>
      <c r="J509" s="45">
        <v>1.1788E-2</v>
      </c>
      <c r="K509" s="45">
        <v>4.8081E-3</v>
      </c>
    </row>
    <row r="510" spans="1:11" x14ac:dyDescent="0.3">
      <c r="A510" s="171">
        <v>874</v>
      </c>
      <c r="B510" s="45">
        <v>-1.7867000000000001E-2</v>
      </c>
      <c r="C510" s="45">
        <v>2.7791999999999999E-3</v>
      </c>
      <c r="D510" s="45">
        <v>-6.5789000000000004E-3</v>
      </c>
      <c r="E510" s="45">
        <v>-6.7453000000000001E-3</v>
      </c>
      <c r="F510" s="45">
        <v>-4.3188999999999999E-4</v>
      </c>
      <c r="G510" s="45">
        <v>-8.0298999999999995E-3</v>
      </c>
      <c r="H510" s="45">
        <v>-8.1464999999999999E-4</v>
      </c>
      <c r="I510" s="45">
        <v>-8.9501000000000008E-3</v>
      </c>
      <c r="J510" s="45">
        <v>1.1381E-2</v>
      </c>
      <c r="K510" s="45">
        <v>4.9738999999999998E-3</v>
      </c>
    </row>
    <row r="511" spans="1:11" x14ac:dyDescent="0.3">
      <c r="A511" s="171">
        <v>875</v>
      </c>
      <c r="B511" s="45">
        <v>-1.7621000000000001E-2</v>
      </c>
      <c r="C511" s="45">
        <v>2.9667000000000001E-3</v>
      </c>
      <c r="D511" s="45">
        <v>-6.4460999999999997E-3</v>
      </c>
      <c r="E511" s="45">
        <v>-6.5180000000000004E-3</v>
      </c>
      <c r="F511" s="45">
        <v>-3.5865000000000002E-4</v>
      </c>
      <c r="G511" s="45">
        <v>-7.7998E-3</v>
      </c>
      <c r="H511" s="45">
        <v>-7.7669999999999996E-4</v>
      </c>
      <c r="I511" s="45">
        <v>-8.6633000000000005E-3</v>
      </c>
      <c r="J511" s="45">
        <v>1.0976E-2</v>
      </c>
      <c r="K511" s="45">
        <v>5.1387000000000004E-3</v>
      </c>
    </row>
    <row r="512" spans="1:11" x14ac:dyDescent="0.3">
      <c r="A512" s="171">
        <v>876</v>
      </c>
      <c r="B512" s="45">
        <v>-1.737E-2</v>
      </c>
      <c r="C512" s="45">
        <v>3.1495999999999998E-3</v>
      </c>
      <c r="D512" s="45">
        <v>-6.3133E-3</v>
      </c>
      <c r="E512" s="45">
        <v>-6.2897999999999999E-3</v>
      </c>
      <c r="F512" s="45">
        <v>-2.8769000000000001E-4</v>
      </c>
      <c r="G512" s="45">
        <v>-7.5688999999999999E-3</v>
      </c>
      <c r="H512" s="45">
        <v>-7.3954999999999995E-4</v>
      </c>
      <c r="I512" s="45">
        <v>-8.3764000000000009E-3</v>
      </c>
      <c r="J512" s="45">
        <v>1.0571000000000001E-2</v>
      </c>
      <c r="K512" s="45">
        <v>5.3023999999999996E-3</v>
      </c>
    </row>
    <row r="513" spans="1:11" x14ac:dyDescent="0.3">
      <c r="A513" s="171">
        <v>877</v>
      </c>
      <c r="B513" s="45">
        <v>-1.7114000000000001E-2</v>
      </c>
      <c r="C513" s="45">
        <v>3.3278000000000001E-3</v>
      </c>
      <c r="D513" s="45">
        <v>-6.1804E-3</v>
      </c>
      <c r="E513" s="45">
        <v>-6.0610000000000004E-3</v>
      </c>
      <c r="F513" s="45">
        <v>-2.1900000000000001E-4</v>
      </c>
      <c r="G513" s="45">
        <v>-7.3372000000000003E-3</v>
      </c>
      <c r="H513" s="45">
        <v>-7.0319000000000002E-4</v>
      </c>
      <c r="I513" s="45">
        <v>-8.0897999999999994E-3</v>
      </c>
      <c r="J513" s="45">
        <v>1.0168E-2</v>
      </c>
      <c r="K513" s="45">
        <v>5.4649E-3</v>
      </c>
    </row>
    <row r="514" spans="1:11" x14ac:dyDescent="0.3">
      <c r="A514" s="171">
        <v>878</v>
      </c>
      <c r="B514" s="45">
        <v>-1.6851999999999999E-2</v>
      </c>
      <c r="C514" s="45">
        <v>3.5013000000000002E-3</v>
      </c>
      <c r="D514" s="45">
        <v>-6.0474999999999999E-3</v>
      </c>
      <c r="E514" s="45">
        <v>-5.8316000000000002E-3</v>
      </c>
      <c r="F514" s="45">
        <v>-1.5260999999999999E-4</v>
      </c>
      <c r="G514" s="45">
        <v>-7.1050000000000002E-3</v>
      </c>
      <c r="H514" s="45">
        <v>-6.6761000000000001E-4</v>
      </c>
      <c r="I514" s="45">
        <v>-7.8034999999999997E-3</v>
      </c>
      <c r="J514" s="45">
        <v>9.7664999999999991E-3</v>
      </c>
      <c r="K514" s="45">
        <v>5.6261999999999996E-3</v>
      </c>
    </row>
    <row r="515" spans="1:11" x14ac:dyDescent="0.3">
      <c r="A515" s="171">
        <v>879</v>
      </c>
      <c r="B515" s="45">
        <v>-1.6584999999999999E-2</v>
      </c>
      <c r="C515" s="45">
        <v>3.6698999999999998E-3</v>
      </c>
      <c r="D515" s="45">
        <v>-5.9145999999999999E-3</v>
      </c>
      <c r="E515" s="45">
        <v>-5.6018999999999999E-3</v>
      </c>
      <c r="F515" s="45">
        <v>-8.8504000000000005E-5</v>
      </c>
      <c r="G515" s="45">
        <v>-6.8722000000000002E-3</v>
      </c>
      <c r="H515" s="45">
        <v>-6.3281000000000003E-4</v>
      </c>
      <c r="I515" s="45">
        <v>-7.5177000000000004E-3</v>
      </c>
      <c r="J515" s="45">
        <v>9.3662999999999993E-3</v>
      </c>
      <c r="K515" s="45">
        <v>5.7860999999999998E-3</v>
      </c>
    </row>
    <row r="516" spans="1:11" x14ac:dyDescent="0.3">
      <c r="A516" s="171">
        <v>880</v>
      </c>
      <c r="B516" s="45">
        <v>-1.6313000000000001E-2</v>
      </c>
      <c r="C516" s="45">
        <v>3.8335000000000001E-3</v>
      </c>
      <c r="D516" s="45">
        <v>-5.7816999999999999E-3</v>
      </c>
      <c r="E516" s="45">
        <v>-5.372E-3</v>
      </c>
      <c r="F516" s="45">
        <v>-2.6699999999999998E-5</v>
      </c>
      <c r="G516" s="45">
        <v>-6.6389999999999999E-3</v>
      </c>
      <c r="H516" s="45">
        <v>-5.9878000000000004E-4</v>
      </c>
      <c r="I516" s="45">
        <v>-7.2325999999999996E-3</v>
      </c>
      <c r="J516" s="45">
        <v>8.9680000000000003E-3</v>
      </c>
      <c r="K516" s="45">
        <v>5.9446999999999998E-3</v>
      </c>
    </row>
    <row r="517" spans="1:11" x14ac:dyDescent="0.3">
      <c r="A517" s="171">
        <v>881</v>
      </c>
      <c r="B517" s="45">
        <v>-1.6036000000000002E-2</v>
      </c>
      <c r="C517" s="45">
        <v>3.9921000000000002E-3</v>
      </c>
      <c r="D517" s="45">
        <v>-5.6487999999999998E-3</v>
      </c>
      <c r="E517" s="45">
        <v>-5.1421000000000001E-3</v>
      </c>
      <c r="F517" s="45">
        <v>3.2801E-5</v>
      </c>
      <c r="G517" s="45">
        <v>-6.4056E-3</v>
      </c>
      <c r="H517" s="45">
        <v>-5.6550999999999997E-4</v>
      </c>
      <c r="I517" s="45">
        <v>-6.9484000000000004E-3</v>
      </c>
      <c r="J517" s="45">
        <v>8.5714999999999993E-3</v>
      </c>
      <c r="K517" s="45">
        <v>6.1016999999999998E-3</v>
      </c>
    </row>
    <row r="518" spans="1:11" x14ac:dyDescent="0.3">
      <c r="A518" s="171">
        <v>882</v>
      </c>
      <c r="B518" s="45">
        <v>-1.5754000000000001E-2</v>
      </c>
      <c r="C518" s="45">
        <v>4.1456000000000002E-3</v>
      </c>
      <c r="D518" s="45">
        <v>-5.5158000000000004E-3</v>
      </c>
      <c r="E518" s="45">
        <v>-4.9122000000000002E-3</v>
      </c>
      <c r="F518" s="45">
        <v>8.9995999999999997E-5</v>
      </c>
      <c r="G518" s="45">
        <v>-6.1720000000000004E-3</v>
      </c>
      <c r="H518" s="45">
        <v>-5.3300000000000005E-4</v>
      </c>
      <c r="I518" s="45">
        <v>-6.6651000000000002E-3</v>
      </c>
      <c r="J518" s="45">
        <v>8.1772000000000008E-3</v>
      </c>
      <c r="K518" s="45">
        <v>6.2572000000000001E-3</v>
      </c>
    </row>
    <row r="519" spans="1:11" x14ac:dyDescent="0.3">
      <c r="A519" s="171">
        <v>883</v>
      </c>
      <c r="B519" s="45">
        <v>-1.5467E-2</v>
      </c>
      <c r="C519" s="45">
        <v>4.2938999999999998E-3</v>
      </c>
      <c r="D519" s="45">
        <v>-5.3829000000000004E-3</v>
      </c>
      <c r="E519" s="45">
        <v>-4.6826000000000003E-3</v>
      </c>
      <c r="F519" s="45">
        <v>1.4488000000000001E-4</v>
      </c>
      <c r="G519" s="45">
        <v>-5.9382999999999997E-3</v>
      </c>
      <c r="H519" s="45">
        <v>-5.0124000000000002E-4</v>
      </c>
      <c r="I519" s="45">
        <v>-6.3829999999999998E-3</v>
      </c>
      <c r="J519" s="45">
        <v>7.7850999999999997E-3</v>
      </c>
      <c r="K519" s="45">
        <v>6.4111000000000003E-3</v>
      </c>
    </row>
    <row r="520" spans="1:11" x14ac:dyDescent="0.3">
      <c r="A520" s="171">
        <v>884</v>
      </c>
      <c r="B520" s="45">
        <v>-1.5174999999999999E-2</v>
      </c>
      <c r="C520" s="45">
        <v>4.4368999999999997E-3</v>
      </c>
      <c r="D520" s="45">
        <v>-5.2500000000000003E-3</v>
      </c>
      <c r="E520" s="45">
        <v>-4.4533999999999997E-3</v>
      </c>
      <c r="F520" s="45">
        <v>1.9746E-4</v>
      </c>
      <c r="G520" s="45">
        <v>-5.7045999999999998E-3</v>
      </c>
      <c r="H520" s="45">
        <v>-4.7022999999999998E-4</v>
      </c>
      <c r="I520" s="45">
        <v>-6.1021000000000001E-3</v>
      </c>
      <c r="J520" s="45">
        <v>7.3953999999999999E-3</v>
      </c>
      <c r="K520" s="45">
        <v>6.5633000000000002E-3</v>
      </c>
    </row>
    <row r="521" spans="1:11" x14ac:dyDescent="0.3">
      <c r="A521" s="171">
        <v>885</v>
      </c>
      <c r="B521" s="45">
        <v>-1.4878000000000001E-2</v>
      </c>
      <c r="C521" s="45">
        <v>4.5744999999999996E-3</v>
      </c>
      <c r="D521" s="45">
        <v>-5.117E-3</v>
      </c>
      <c r="E521" s="45">
        <v>-4.2247999999999999E-3</v>
      </c>
      <c r="F521" s="45">
        <v>2.4772999999999999E-4</v>
      </c>
      <c r="G521" s="45">
        <v>-5.4710999999999996E-3</v>
      </c>
      <c r="H521" s="45">
        <v>-4.3995999999999998E-4</v>
      </c>
      <c r="I521" s="45">
        <v>-5.8225999999999998E-3</v>
      </c>
      <c r="J521" s="45">
        <v>7.0083999999999997E-3</v>
      </c>
      <c r="K521" s="45">
        <v>6.7137000000000004E-3</v>
      </c>
    </row>
    <row r="522" spans="1:11" x14ac:dyDescent="0.3">
      <c r="A522" s="171">
        <v>886</v>
      </c>
      <c r="B522" s="45">
        <v>-1.4577E-2</v>
      </c>
      <c r="C522" s="45">
        <v>4.7066E-3</v>
      </c>
      <c r="D522" s="45">
        <v>-4.9841E-3</v>
      </c>
      <c r="E522" s="45">
        <v>-3.9968E-3</v>
      </c>
      <c r="F522" s="45">
        <v>2.9568999999999998E-4</v>
      </c>
      <c r="G522" s="45">
        <v>-5.2377999999999999E-3</v>
      </c>
      <c r="H522" s="45">
        <v>-4.1041999999999999E-4</v>
      </c>
      <c r="I522" s="45">
        <v>-5.5446999999999996E-3</v>
      </c>
      <c r="J522" s="45">
        <v>6.6241E-3</v>
      </c>
      <c r="K522" s="45">
        <v>6.8623E-3</v>
      </c>
    </row>
    <row r="523" spans="1:11" x14ac:dyDescent="0.3">
      <c r="A523" s="171">
        <v>887</v>
      </c>
      <c r="B523" s="45">
        <v>-1.4271000000000001E-2</v>
      </c>
      <c r="C523" s="45">
        <v>4.8332000000000002E-3</v>
      </c>
      <c r="D523" s="45">
        <v>-4.8512E-3</v>
      </c>
      <c r="E523" s="45">
        <v>-3.7696000000000001E-3</v>
      </c>
      <c r="F523" s="45">
        <v>3.4133999999999998E-4</v>
      </c>
      <c r="G523" s="45">
        <v>-5.0048999999999996E-3</v>
      </c>
      <c r="H523" s="45">
        <v>-3.8160000000000001E-4</v>
      </c>
      <c r="I523" s="45">
        <v>-5.2684999999999997E-3</v>
      </c>
      <c r="J523" s="45">
        <v>6.2427000000000003E-3</v>
      </c>
      <c r="K523" s="45">
        <v>7.0089999999999996E-3</v>
      </c>
    </row>
    <row r="524" spans="1:11" x14ac:dyDescent="0.3">
      <c r="A524" s="171">
        <v>888</v>
      </c>
      <c r="B524" s="45">
        <v>-1.396E-2</v>
      </c>
      <c r="C524" s="45">
        <v>4.9541999999999997E-3</v>
      </c>
      <c r="D524" s="45">
        <v>-4.7181999999999997E-3</v>
      </c>
      <c r="E524" s="45">
        <v>-3.5433999999999999E-3</v>
      </c>
      <c r="F524" s="45">
        <v>3.8468999999999998E-4</v>
      </c>
      <c r="G524" s="45">
        <v>-4.7724000000000004E-3</v>
      </c>
      <c r="H524" s="45">
        <v>-3.5349999999999997E-4</v>
      </c>
      <c r="I524" s="45">
        <v>-4.9940999999999996E-3</v>
      </c>
      <c r="J524" s="45">
        <v>5.8643000000000002E-3</v>
      </c>
      <c r="K524" s="45">
        <v>7.1536999999999998E-3</v>
      </c>
    </row>
    <row r="525" spans="1:11" x14ac:dyDescent="0.3">
      <c r="A525" s="171">
        <v>889</v>
      </c>
      <c r="B525" s="45">
        <v>-1.3644E-2</v>
      </c>
      <c r="C525" s="45">
        <v>5.0695000000000002E-3</v>
      </c>
      <c r="D525" s="45">
        <v>-4.5852999999999996E-3</v>
      </c>
      <c r="E525" s="45">
        <v>-3.3183000000000002E-3</v>
      </c>
      <c r="F525" s="45">
        <v>4.2575000000000002E-4</v>
      </c>
      <c r="G525" s="45">
        <v>-4.5405000000000003E-3</v>
      </c>
      <c r="H525" s="45">
        <v>-3.2610000000000001E-4</v>
      </c>
      <c r="I525" s="45">
        <v>-4.7216999999999997E-3</v>
      </c>
      <c r="J525" s="45">
        <v>5.4891999999999996E-3</v>
      </c>
      <c r="K525" s="45">
        <v>7.2963999999999998E-3</v>
      </c>
    </row>
    <row r="526" spans="1:11" x14ac:dyDescent="0.3">
      <c r="A526" s="171">
        <v>890</v>
      </c>
      <c r="B526" s="45">
        <v>-1.3324000000000001E-2</v>
      </c>
      <c r="C526" s="45">
        <v>5.1790999999999998E-3</v>
      </c>
      <c r="D526" s="45">
        <v>-4.4523999999999996E-3</v>
      </c>
      <c r="E526" s="45">
        <v>-3.0942999999999999E-3</v>
      </c>
      <c r="F526" s="45">
        <v>4.6452E-4</v>
      </c>
      <c r="G526" s="45">
        <v>-4.3092E-3</v>
      </c>
      <c r="H526" s="45">
        <v>-2.9941000000000001E-4</v>
      </c>
      <c r="I526" s="45">
        <v>-4.4513E-3</v>
      </c>
      <c r="J526" s="45">
        <v>5.1173E-3</v>
      </c>
      <c r="K526" s="45">
        <v>7.4368999999999998E-3</v>
      </c>
    </row>
    <row r="527" spans="1:11" x14ac:dyDescent="0.3">
      <c r="A527" s="171">
        <v>891</v>
      </c>
      <c r="B527" s="45">
        <v>-1.2999999999999999E-2</v>
      </c>
      <c r="C527" s="45">
        <v>5.2827999999999998E-3</v>
      </c>
      <c r="D527" s="45">
        <v>-4.3195000000000004E-3</v>
      </c>
      <c r="E527" s="45">
        <v>-2.8717999999999999E-3</v>
      </c>
      <c r="F527" s="45">
        <v>5.0102999999999996E-4</v>
      </c>
      <c r="G527" s="45">
        <v>-4.0787000000000002E-3</v>
      </c>
      <c r="H527" s="45">
        <v>-2.7339999999999998E-4</v>
      </c>
      <c r="I527" s="45">
        <v>-4.1831999999999998E-3</v>
      </c>
      <c r="J527" s="45">
        <v>4.7489999999999997E-3</v>
      </c>
      <c r="K527" s="45">
        <v>7.5754000000000004E-3</v>
      </c>
    </row>
    <row r="528" spans="1:11" x14ac:dyDescent="0.3">
      <c r="A528" s="171">
        <v>892</v>
      </c>
      <c r="B528" s="45">
        <v>-1.2671E-2</v>
      </c>
      <c r="C528" s="45">
        <v>5.3806000000000001E-3</v>
      </c>
      <c r="D528" s="45">
        <v>-4.1866000000000004E-3</v>
      </c>
      <c r="E528" s="45">
        <v>-2.6507000000000002E-3</v>
      </c>
      <c r="F528" s="45">
        <v>5.3527000000000002E-4</v>
      </c>
      <c r="G528" s="45">
        <v>-3.8490999999999998E-3</v>
      </c>
      <c r="H528" s="45">
        <v>-2.4806999999999997E-4</v>
      </c>
      <c r="I528" s="45">
        <v>-3.9173000000000003E-3</v>
      </c>
      <c r="J528" s="45">
        <v>4.3842000000000004E-3</v>
      </c>
      <c r="K528" s="45">
        <v>7.7115999999999999E-3</v>
      </c>
    </row>
    <row r="529" spans="1:11" x14ac:dyDescent="0.3">
      <c r="A529" s="171">
        <v>893</v>
      </c>
      <c r="B529" s="45">
        <v>-1.2337000000000001E-2</v>
      </c>
      <c r="C529" s="45">
        <v>5.4723999999999997E-3</v>
      </c>
      <c r="D529" s="45">
        <v>-4.0536000000000001E-3</v>
      </c>
      <c r="E529" s="45">
        <v>-2.4312000000000001E-3</v>
      </c>
      <c r="F529" s="45">
        <v>5.6727000000000004E-4</v>
      </c>
      <c r="G529" s="45">
        <v>-3.6204000000000002E-3</v>
      </c>
      <c r="H529" s="45">
        <v>-2.2342E-4</v>
      </c>
      <c r="I529" s="45">
        <v>-3.6540000000000001E-3</v>
      </c>
      <c r="J529" s="45">
        <v>4.0232000000000002E-3</v>
      </c>
      <c r="K529" s="45">
        <v>7.8455E-3</v>
      </c>
    </row>
    <row r="530" spans="1:11" x14ac:dyDescent="0.3">
      <c r="A530" s="171">
        <v>894</v>
      </c>
      <c r="B530" s="45">
        <v>-1.2E-2</v>
      </c>
      <c r="C530" s="45">
        <v>5.5582000000000001E-3</v>
      </c>
      <c r="D530" s="45">
        <v>-3.9207000000000001E-3</v>
      </c>
      <c r="E530" s="45">
        <v>-2.2135000000000002E-3</v>
      </c>
      <c r="F530" s="45">
        <v>5.9703000000000002E-4</v>
      </c>
      <c r="G530" s="45">
        <v>-3.3926999999999998E-3</v>
      </c>
      <c r="H530" s="45">
        <v>-1.9943000000000001E-4</v>
      </c>
      <c r="I530" s="45">
        <v>-3.3931999999999999E-3</v>
      </c>
      <c r="J530" s="45">
        <v>3.666E-3</v>
      </c>
      <c r="K530" s="45">
        <v>7.9772000000000003E-3</v>
      </c>
    </row>
    <row r="531" spans="1:11" x14ac:dyDescent="0.3">
      <c r="A531" s="171">
        <v>895</v>
      </c>
      <c r="B531" s="45">
        <v>-1.1658E-2</v>
      </c>
      <c r="C531" s="45">
        <v>5.6379000000000004E-3</v>
      </c>
      <c r="D531" s="45">
        <v>-3.7878E-3</v>
      </c>
      <c r="E531" s="45">
        <v>-1.9975000000000001E-3</v>
      </c>
      <c r="F531" s="45">
        <v>6.2456999999999996E-4</v>
      </c>
      <c r="G531" s="45">
        <v>-3.1662000000000001E-3</v>
      </c>
      <c r="H531" s="45">
        <v>-1.7609E-4</v>
      </c>
      <c r="I531" s="45">
        <v>-3.1351E-3</v>
      </c>
      <c r="J531" s="45">
        <v>3.3127999999999999E-3</v>
      </c>
      <c r="K531" s="45">
        <v>8.1063999999999997E-3</v>
      </c>
    </row>
    <row r="532" spans="1:11" x14ac:dyDescent="0.3">
      <c r="A532" s="171">
        <v>896</v>
      </c>
      <c r="B532" s="45">
        <v>-1.1311999999999999E-2</v>
      </c>
      <c r="C532" s="45">
        <v>5.7115000000000004E-3</v>
      </c>
      <c r="D532" s="45">
        <v>-3.6549E-3</v>
      </c>
      <c r="E532" s="45">
        <v>-1.7836E-3</v>
      </c>
      <c r="F532" s="45">
        <v>6.4992999999999995E-4</v>
      </c>
      <c r="G532" s="45">
        <v>-2.941E-3</v>
      </c>
      <c r="H532" s="45">
        <v>-1.5338999999999999E-4</v>
      </c>
      <c r="I532" s="45">
        <v>-2.8796999999999998E-3</v>
      </c>
      <c r="J532" s="45">
        <v>2.9637000000000001E-3</v>
      </c>
      <c r="K532" s="45">
        <v>8.2333000000000007E-3</v>
      </c>
    </row>
    <row r="533" spans="1:11" x14ac:dyDescent="0.3">
      <c r="A533" s="171">
        <v>897</v>
      </c>
      <c r="B533" s="45">
        <v>-1.0962E-2</v>
      </c>
      <c r="C533" s="45">
        <v>5.7787999999999997E-3</v>
      </c>
      <c r="D533" s="45">
        <v>-3.5219000000000001E-3</v>
      </c>
      <c r="E533" s="45">
        <v>-1.5717000000000001E-3</v>
      </c>
      <c r="F533" s="45">
        <v>6.7312999999999997E-4</v>
      </c>
      <c r="G533" s="45">
        <v>-2.7169999999999998E-3</v>
      </c>
      <c r="H533" s="45">
        <v>-1.3132000000000001E-4</v>
      </c>
      <c r="I533" s="45">
        <v>-2.6272000000000001E-3</v>
      </c>
      <c r="J533" s="45">
        <v>2.6188000000000001E-3</v>
      </c>
      <c r="K533" s="45">
        <v>8.3576999999999992E-3</v>
      </c>
    </row>
    <row r="534" spans="1:11" x14ac:dyDescent="0.3">
      <c r="A534" s="171">
        <v>898</v>
      </c>
      <c r="B534" s="45">
        <v>-1.0607999999999999E-2</v>
      </c>
      <c r="C534" s="45">
        <v>5.8399999999999997E-3</v>
      </c>
      <c r="D534" s="45">
        <v>-3.3890000000000001E-3</v>
      </c>
      <c r="E534" s="45">
        <v>-1.3619999999999999E-3</v>
      </c>
      <c r="F534" s="45">
        <v>6.9419000000000002E-4</v>
      </c>
      <c r="G534" s="45">
        <v>-2.4946E-3</v>
      </c>
      <c r="H534" s="45">
        <v>-1.0986E-4</v>
      </c>
      <c r="I534" s="45">
        <v>-2.3777999999999998E-3</v>
      </c>
      <c r="J534" s="45">
        <v>2.2782000000000002E-3</v>
      </c>
      <c r="K534" s="45">
        <v>8.4796000000000003E-3</v>
      </c>
    </row>
    <row r="535" spans="1:11" x14ac:dyDescent="0.3">
      <c r="A535" s="171">
        <v>899</v>
      </c>
      <c r="B535" s="45">
        <v>-1.025E-2</v>
      </c>
      <c r="C535" s="45">
        <v>5.8948000000000004E-3</v>
      </c>
      <c r="D535" s="45">
        <v>-3.2560000000000002E-3</v>
      </c>
      <c r="E535" s="45">
        <v>-1.1546E-3</v>
      </c>
      <c r="F535" s="45">
        <v>7.1314999999999996E-4</v>
      </c>
      <c r="G535" s="45">
        <v>-2.2736000000000002E-3</v>
      </c>
      <c r="H535" s="45">
        <v>-8.9011000000000005E-5</v>
      </c>
      <c r="I535" s="45">
        <v>-2.1313E-3</v>
      </c>
      <c r="J535" s="45">
        <v>1.9419999999999999E-3</v>
      </c>
      <c r="K535" s="45">
        <v>8.5988999999999996E-3</v>
      </c>
    </row>
    <row r="536" spans="1:11" x14ac:dyDescent="0.3">
      <c r="A536" s="171">
        <v>900</v>
      </c>
      <c r="B536" s="45">
        <v>-9.8887000000000003E-3</v>
      </c>
      <c r="C536" s="45">
        <v>5.9433000000000003E-3</v>
      </c>
      <c r="D536" s="45">
        <v>-3.1229000000000001E-3</v>
      </c>
      <c r="E536" s="45">
        <v>-9.4956999999999995E-4</v>
      </c>
      <c r="F536" s="45">
        <v>7.3006000000000004E-4</v>
      </c>
      <c r="G536" s="45">
        <v>-2.0542999999999998E-3</v>
      </c>
      <c r="H536" s="45">
        <v>-6.8746999999999998E-5</v>
      </c>
      <c r="I536" s="45">
        <v>-1.8881E-3</v>
      </c>
      <c r="J536" s="45">
        <v>1.6103000000000001E-3</v>
      </c>
      <c r="K536" s="45">
        <v>8.7156999999999998E-3</v>
      </c>
    </row>
    <row r="537" spans="1:11" x14ac:dyDescent="0.3">
      <c r="A537" s="171">
        <v>901</v>
      </c>
      <c r="B537" s="45">
        <v>-9.5233999999999996E-3</v>
      </c>
      <c r="C537" s="45">
        <v>5.9854000000000001E-3</v>
      </c>
      <c r="D537" s="45">
        <v>-2.9897999999999999E-3</v>
      </c>
      <c r="E537" s="45">
        <v>-7.4704999999999997E-4</v>
      </c>
      <c r="F537" s="45">
        <v>7.4494999999999997E-4</v>
      </c>
      <c r="G537" s="45">
        <v>-1.8366999999999999E-3</v>
      </c>
      <c r="H537" s="45">
        <v>-4.9055999999999999E-5</v>
      </c>
      <c r="I537" s="45">
        <v>-1.6479999999999999E-3</v>
      </c>
      <c r="J537" s="45">
        <v>1.2830999999999999E-3</v>
      </c>
      <c r="K537" s="45">
        <v>8.8298000000000005E-3</v>
      </c>
    </row>
    <row r="538" spans="1:11" x14ac:dyDescent="0.3">
      <c r="A538" s="171">
        <v>902</v>
      </c>
      <c r="B538" s="45">
        <v>-9.1544E-3</v>
      </c>
      <c r="C538" s="45">
        <v>6.0212E-3</v>
      </c>
      <c r="D538" s="45">
        <v>-2.8567000000000002E-3</v>
      </c>
      <c r="E538" s="45">
        <v>-5.4712000000000001E-4</v>
      </c>
      <c r="F538" s="45">
        <v>7.5785999999999996E-4</v>
      </c>
      <c r="G538" s="45">
        <v>-1.6209E-3</v>
      </c>
      <c r="H538" s="45">
        <v>-2.9923000000000001E-5</v>
      </c>
      <c r="I538" s="45">
        <v>-1.4113000000000001E-3</v>
      </c>
      <c r="J538" s="45">
        <v>9.6066000000000001E-4</v>
      </c>
      <c r="K538" s="45">
        <v>8.9414000000000004E-3</v>
      </c>
    </row>
    <row r="539" spans="1:11" x14ac:dyDescent="0.3">
      <c r="A539" s="171">
        <v>903</v>
      </c>
      <c r="B539" s="45">
        <v>-8.7817999999999993E-3</v>
      </c>
      <c r="C539" s="45">
        <v>6.0505000000000003E-3</v>
      </c>
      <c r="D539" s="45">
        <v>-2.7234999999999998E-3</v>
      </c>
      <c r="E539" s="45">
        <v>-3.4987000000000001E-4</v>
      </c>
      <c r="F539" s="45">
        <v>7.6886000000000001E-4</v>
      </c>
      <c r="G539" s="45">
        <v>-1.4069E-3</v>
      </c>
      <c r="H539" s="45">
        <v>-1.1328999999999999E-5</v>
      </c>
      <c r="I539" s="45">
        <v>-1.178E-3</v>
      </c>
      <c r="J539" s="45">
        <v>6.4291999999999995E-4</v>
      </c>
      <c r="K539" s="45">
        <v>9.0501999999999996E-3</v>
      </c>
    </row>
    <row r="540" spans="1:11" x14ac:dyDescent="0.3">
      <c r="A540" s="171">
        <v>904</v>
      </c>
      <c r="B540" s="45">
        <v>-8.4057999999999997E-3</v>
      </c>
      <c r="C540" s="45">
        <v>6.0733999999999996E-3</v>
      </c>
      <c r="D540" s="45">
        <v>-2.5902E-3</v>
      </c>
      <c r="E540" s="45">
        <v>-1.5540000000000001E-4</v>
      </c>
      <c r="F540" s="45">
        <v>7.7797999999999995E-4</v>
      </c>
      <c r="G540" s="45">
        <v>-1.1950000000000001E-3</v>
      </c>
      <c r="H540" s="45">
        <v>6.742E-6</v>
      </c>
      <c r="I540" s="45">
        <v>-9.4806999999999997E-4</v>
      </c>
      <c r="J540" s="45">
        <v>3.2997000000000001E-4</v>
      </c>
      <c r="K540" s="45">
        <v>9.1564000000000003E-3</v>
      </c>
    </row>
    <row r="541" spans="1:11" x14ac:dyDescent="0.3">
      <c r="A541" s="171">
        <v>905</v>
      </c>
      <c r="B541" s="45">
        <v>-8.0265000000000006E-3</v>
      </c>
      <c r="C541" s="45">
        <v>6.0898000000000002E-3</v>
      </c>
      <c r="D541" s="45">
        <v>-2.4567E-3</v>
      </c>
      <c r="E541" s="45">
        <v>3.6211000000000003E-5</v>
      </c>
      <c r="F541" s="45">
        <v>7.8531E-4</v>
      </c>
      <c r="G541" s="45">
        <v>-9.8518E-4</v>
      </c>
      <c r="H541" s="45">
        <v>2.4309999999999999E-5</v>
      </c>
      <c r="I541" s="45">
        <v>-7.2166999999999999E-4</v>
      </c>
      <c r="J541" s="45">
        <v>2.1866999999999999E-5</v>
      </c>
      <c r="K541" s="45">
        <v>9.2598999999999997E-3</v>
      </c>
    </row>
    <row r="542" spans="1:11" x14ac:dyDescent="0.3">
      <c r="A542" s="171">
        <v>906</v>
      </c>
      <c r="B542" s="45">
        <v>-7.6439000000000003E-3</v>
      </c>
      <c r="C542" s="45">
        <v>6.0996999999999996E-3</v>
      </c>
      <c r="D542" s="45">
        <v>-2.3232000000000001E-3</v>
      </c>
      <c r="E542" s="45">
        <v>2.2488E-4</v>
      </c>
      <c r="F542" s="45">
        <v>7.9087999999999999E-4</v>
      </c>
      <c r="G542" s="45">
        <v>-7.7749999999999998E-4</v>
      </c>
      <c r="H542" s="45">
        <v>4.1394999999999999E-5</v>
      </c>
      <c r="I542" s="45">
        <v>-4.9881999999999997E-4</v>
      </c>
      <c r="J542" s="45">
        <v>-2.8132999999999999E-4</v>
      </c>
      <c r="K542" s="45">
        <v>9.3606999999999996E-3</v>
      </c>
    </row>
    <row r="543" spans="1:11" x14ac:dyDescent="0.3">
      <c r="A543" s="171">
        <v>907</v>
      </c>
      <c r="B543" s="45">
        <v>-7.2582000000000002E-3</v>
      </c>
      <c r="C543" s="45">
        <v>6.1031999999999996E-3</v>
      </c>
      <c r="D543" s="45">
        <v>-2.1895999999999999E-3</v>
      </c>
      <c r="E543" s="45">
        <v>4.1053999999999998E-4</v>
      </c>
      <c r="F543" s="45">
        <v>7.9478000000000003E-4</v>
      </c>
      <c r="G543" s="45">
        <v>-5.7207000000000004E-4</v>
      </c>
      <c r="H543" s="45">
        <v>5.8017999999999999E-5</v>
      </c>
      <c r="I543" s="45">
        <v>-2.7956999999999998E-4</v>
      </c>
      <c r="J543" s="45">
        <v>-5.7959000000000005E-4</v>
      </c>
      <c r="K543" s="45">
        <v>9.4587000000000004E-3</v>
      </c>
    </row>
    <row r="544" spans="1:11" x14ac:dyDescent="0.3">
      <c r="A544" s="171">
        <v>908</v>
      </c>
      <c r="B544" s="45">
        <v>-6.8694000000000003E-3</v>
      </c>
      <c r="C544" s="45">
        <v>6.1002000000000001E-3</v>
      </c>
      <c r="D544" s="45">
        <v>-2.0558E-3</v>
      </c>
      <c r="E544" s="45">
        <v>5.9310999999999999E-4</v>
      </c>
      <c r="F544" s="45">
        <v>7.9708000000000003E-4</v>
      </c>
      <c r="G544" s="45">
        <v>-3.6897999999999998E-4</v>
      </c>
      <c r="H544" s="45">
        <v>7.4201000000000003E-5</v>
      </c>
      <c r="I544" s="45">
        <v>-6.3965000000000002E-5</v>
      </c>
      <c r="J544" s="45">
        <v>-8.7286000000000004E-4</v>
      </c>
      <c r="K544" s="45">
        <v>9.554E-3</v>
      </c>
    </row>
    <row r="545" spans="1:11" x14ac:dyDescent="0.3">
      <c r="A545" s="171">
        <v>909</v>
      </c>
      <c r="B545" s="45">
        <v>-6.4777999999999997E-3</v>
      </c>
      <c r="C545" s="45">
        <v>6.0908000000000004E-3</v>
      </c>
      <c r="D545" s="45">
        <v>-1.9218E-3</v>
      </c>
      <c r="E545" s="45">
        <v>7.7251000000000002E-4</v>
      </c>
      <c r="F545" s="45">
        <v>7.9783999999999996E-4</v>
      </c>
      <c r="G545" s="45">
        <v>-1.6830999999999999E-4</v>
      </c>
      <c r="H545" s="45">
        <v>8.9964999999999997E-5</v>
      </c>
      <c r="I545" s="45">
        <v>1.4797000000000001E-4</v>
      </c>
      <c r="J545" s="45">
        <v>-1.1611E-3</v>
      </c>
      <c r="K545" s="45">
        <v>9.6466999999999994E-3</v>
      </c>
    </row>
    <row r="546" spans="1:11" x14ac:dyDescent="0.3">
      <c r="A546" s="171">
        <v>910</v>
      </c>
      <c r="B546" s="45">
        <v>-6.0832999999999998E-3</v>
      </c>
      <c r="C546" s="45">
        <v>6.0748E-3</v>
      </c>
      <c r="D546" s="45">
        <v>-1.7876000000000001E-3</v>
      </c>
      <c r="E546" s="45">
        <v>9.4868999999999997E-4</v>
      </c>
      <c r="F546" s="45">
        <v>7.9715000000000005E-4</v>
      </c>
      <c r="G546" s="45">
        <v>2.9858000000000001E-5</v>
      </c>
      <c r="H546" s="45">
        <v>1.0533E-4</v>
      </c>
      <c r="I546" s="45">
        <v>3.5618999999999999E-4</v>
      </c>
      <c r="J546" s="45">
        <v>-1.4442999999999999E-3</v>
      </c>
      <c r="K546" s="45">
        <v>9.7365000000000004E-3</v>
      </c>
    </row>
    <row r="547" spans="1:11" x14ac:dyDescent="0.3">
      <c r="A547" s="171">
        <v>911</v>
      </c>
      <c r="B547" s="45">
        <v>-5.6861999999999998E-3</v>
      </c>
      <c r="C547" s="45">
        <v>6.0524999999999997E-3</v>
      </c>
      <c r="D547" s="45">
        <v>-1.6532000000000001E-3</v>
      </c>
      <c r="E547" s="45">
        <v>1.1215999999999999E-3</v>
      </c>
      <c r="F547" s="45">
        <v>7.9507999999999998E-4</v>
      </c>
      <c r="G547" s="45">
        <v>2.2542999999999999E-4</v>
      </c>
      <c r="H547" s="45">
        <v>1.2032999999999999E-4</v>
      </c>
      <c r="I547" s="45">
        <v>5.6068000000000003E-4</v>
      </c>
      <c r="J547" s="45">
        <v>-1.7225000000000001E-3</v>
      </c>
      <c r="K547" s="45">
        <v>9.8236999999999994E-3</v>
      </c>
    </row>
    <row r="548" spans="1:11" x14ac:dyDescent="0.3">
      <c r="A548" s="171">
        <v>912</v>
      </c>
      <c r="B548" s="45">
        <v>-5.2865000000000004E-3</v>
      </c>
      <c r="C548" s="45">
        <v>6.0236999999999999E-3</v>
      </c>
      <c r="D548" s="45">
        <v>-1.5187E-3</v>
      </c>
      <c r="E548" s="45">
        <v>1.2911000000000001E-3</v>
      </c>
      <c r="F548" s="45">
        <v>7.9171999999999999E-4</v>
      </c>
      <c r="G548" s="45">
        <v>4.1834000000000001E-4</v>
      </c>
      <c r="H548" s="45">
        <v>1.3498000000000001E-4</v>
      </c>
      <c r="I548" s="45">
        <v>7.6141999999999996E-4</v>
      </c>
      <c r="J548" s="45">
        <v>-1.9956000000000002E-3</v>
      </c>
      <c r="K548" s="45">
        <v>9.9082000000000007E-3</v>
      </c>
    </row>
    <row r="549" spans="1:11" x14ac:dyDescent="0.3">
      <c r="A549" s="171">
        <v>913</v>
      </c>
      <c r="B549" s="45">
        <v>-4.8843999999999997E-3</v>
      </c>
      <c r="C549" s="45">
        <v>5.9884999999999999E-3</v>
      </c>
      <c r="D549" s="45">
        <v>-1.3837999999999999E-3</v>
      </c>
      <c r="E549" s="45">
        <v>1.4572999999999999E-3</v>
      </c>
      <c r="F549" s="45">
        <v>7.8715999999999996E-4</v>
      </c>
      <c r="G549" s="45">
        <v>6.0849999999999999E-4</v>
      </c>
      <c r="H549" s="45">
        <v>1.4930999999999999E-4</v>
      </c>
      <c r="I549" s="45">
        <v>9.5838E-4</v>
      </c>
      <c r="J549" s="45">
        <v>-2.2636000000000002E-3</v>
      </c>
      <c r="K549" s="45">
        <v>9.9898999999999995E-3</v>
      </c>
    </row>
    <row r="550" spans="1:11" x14ac:dyDescent="0.3">
      <c r="A550" s="171">
        <v>914</v>
      </c>
      <c r="B550" s="45">
        <v>-4.4800999999999999E-3</v>
      </c>
      <c r="C550" s="45">
        <v>5.947E-3</v>
      </c>
      <c r="D550" s="45">
        <v>-1.2486999999999999E-3</v>
      </c>
      <c r="E550" s="45">
        <v>1.6199999999999999E-3</v>
      </c>
      <c r="F550" s="45">
        <v>7.8145999999999999E-4</v>
      </c>
      <c r="G550" s="45">
        <v>7.9582999999999997E-4</v>
      </c>
      <c r="H550" s="45">
        <v>1.6333999999999999E-4</v>
      </c>
      <c r="I550" s="45">
        <v>1.1515E-3</v>
      </c>
      <c r="J550" s="45">
        <v>-2.5265000000000001E-3</v>
      </c>
      <c r="K550" s="45">
        <v>1.0069E-2</v>
      </c>
    </row>
    <row r="551" spans="1:11" x14ac:dyDescent="0.3">
      <c r="A551" s="171">
        <v>915</v>
      </c>
      <c r="B551" s="45">
        <v>-4.0734999999999999E-3</v>
      </c>
      <c r="C551" s="45">
        <v>5.8991E-3</v>
      </c>
      <c r="D551" s="45">
        <v>-1.1133E-3</v>
      </c>
      <c r="E551" s="45">
        <v>1.7791E-3</v>
      </c>
      <c r="F551" s="45">
        <v>7.7472999999999995E-4</v>
      </c>
      <c r="G551" s="45">
        <v>9.8025999999999994E-4</v>
      </c>
      <c r="H551" s="45">
        <v>1.771E-4</v>
      </c>
      <c r="I551" s="45">
        <v>1.3408999999999999E-3</v>
      </c>
      <c r="J551" s="45">
        <v>-2.7843E-3</v>
      </c>
      <c r="K551" s="45">
        <v>1.0145E-2</v>
      </c>
    </row>
    <row r="552" spans="1:11" x14ac:dyDescent="0.3">
      <c r="A552" s="171">
        <v>916</v>
      </c>
      <c r="B552" s="45">
        <v>-3.6649999999999999E-3</v>
      </c>
      <c r="C552" s="45">
        <v>5.8449000000000001E-3</v>
      </c>
      <c r="D552" s="45">
        <v>-9.7762999999999995E-4</v>
      </c>
      <c r="E552" s="45">
        <v>1.9346999999999999E-3</v>
      </c>
      <c r="F552" s="45">
        <v>7.6705000000000002E-4</v>
      </c>
      <c r="G552" s="45">
        <v>1.1617000000000001E-3</v>
      </c>
      <c r="H552" s="45">
        <v>1.9060999999999999E-4</v>
      </c>
      <c r="I552" s="45">
        <v>1.5264E-3</v>
      </c>
      <c r="J552" s="45">
        <v>-3.0371E-3</v>
      </c>
      <c r="K552" s="45">
        <v>1.0219000000000001E-2</v>
      </c>
    </row>
    <row r="553" spans="1:11" x14ac:dyDescent="0.3">
      <c r="A553" s="171">
        <v>917</v>
      </c>
      <c r="B553" s="45">
        <v>-3.2545999999999999E-3</v>
      </c>
      <c r="C553" s="45">
        <v>5.7844000000000003E-3</v>
      </c>
      <c r="D553" s="45">
        <v>-8.4161999999999995E-4</v>
      </c>
      <c r="E553" s="45">
        <v>2.0868000000000002E-3</v>
      </c>
      <c r="F553" s="45">
        <v>7.5849999999999995E-4</v>
      </c>
      <c r="G553" s="45">
        <v>1.3401000000000001E-3</v>
      </c>
      <c r="H553" s="45">
        <v>2.0389E-4</v>
      </c>
      <c r="I553" s="45">
        <v>1.7082E-3</v>
      </c>
      <c r="J553" s="45">
        <v>-3.2847000000000002E-3</v>
      </c>
      <c r="K553" s="45">
        <v>1.0290000000000001E-2</v>
      </c>
    </row>
    <row r="554" spans="1:11" x14ac:dyDescent="0.3">
      <c r="A554" s="171">
        <v>918</v>
      </c>
      <c r="B554" s="45">
        <v>-2.8424000000000001E-3</v>
      </c>
      <c r="C554" s="45">
        <v>5.7178000000000003E-3</v>
      </c>
      <c r="D554" s="45">
        <v>-7.0529000000000002E-4</v>
      </c>
      <c r="E554" s="45">
        <v>2.2350999999999998E-3</v>
      </c>
      <c r="F554" s="45">
        <v>7.4916000000000002E-4</v>
      </c>
      <c r="G554" s="45">
        <v>1.5154000000000001E-3</v>
      </c>
      <c r="H554" s="45">
        <v>2.1696000000000001E-4</v>
      </c>
      <c r="I554" s="45">
        <v>1.8860000000000001E-3</v>
      </c>
      <c r="J554" s="45">
        <v>-3.5271999999999999E-3</v>
      </c>
      <c r="K554" s="45">
        <v>1.0357999999999999E-2</v>
      </c>
    </row>
    <row r="555" spans="1:11" x14ac:dyDescent="0.3">
      <c r="A555" s="171">
        <v>919</v>
      </c>
      <c r="B555" s="45">
        <v>-2.4285999999999999E-3</v>
      </c>
      <c r="C555" s="45">
        <v>5.6448999999999996E-3</v>
      </c>
      <c r="D555" s="45">
        <v>-5.6860999999999999E-4</v>
      </c>
      <c r="E555" s="45">
        <v>2.3798000000000001E-3</v>
      </c>
      <c r="F555" s="45">
        <v>7.3912999999999995E-4</v>
      </c>
      <c r="G555" s="45">
        <v>1.6875E-3</v>
      </c>
      <c r="H555" s="45">
        <v>2.2986E-4</v>
      </c>
      <c r="I555" s="45">
        <v>2.0601E-3</v>
      </c>
      <c r="J555" s="45">
        <v>-3.7645999999999999E-3</v>
      </c>
      <c r="K555" s="45">
        <v>1.0423999999999999E-2</v>
      </c>
    </row>
    <row r="556" spans="1:11" x14ac:dyDescent="0.3">
      <c r="A556" s="171">
        <v>920</v>
      </c>
      <c r="B556" s="45">
        <v>-2.0133999999999998E-3</v>
      </c>
      <c r="C556" s="45">
        <v>5.5659000000000004E-3</v>
      </c>
      <c r="D556" s="45">
        <v>-4.3156999999999999E-4</v>
      </c>
      <c r="E556" s="45">
        <v>2.5206999999999999E-3</v>
      </c>
      <c r="F556" s="45">
        <v>7.2847999999999999E-4</v>
      </c>
      <c r="G556" s="45">
        <v>1.8563E-3</v>
      </c>
      <c r="H556" s="45">
        <v>2.4261000000000001E-4</v>
      </c>
      <c r="I556" s="45">
        <v>2.2303000000000002E-3</v>
      </c>
      <c r="J556" s="45">
        <v>-3.9969999999999997E-3</v>
      </c>
      <c r="K556" s="45">
        <v>1.0487E-2</v>
      </c>
    </row>
    <row r="557" spans="1:11" x14ac:dyDescent="0.3">
      <c r="A557" s="171">
        <v>921</v>
      </c>
      <c r="B557" s="45">
        <v>-1.5968E-3</v>
      </c>
      <c r="C557" s="45">
        <v>5.4808000000000001E-3</v>
      </c>
      <c r="D557" s="45">
        <v>-2.9415000000000002E-4</v>
      </c>
      <c r="E557" s="45">
        <v>2.6578999999999999E-3</v>
      </c>
      <c r="F557" s="45">
        <v>7.1728999999999998E-4</v>
      </c>
      <c r="G557" s="45">
        <v>2.0217999999999998E-3</v>
      </c>
      <c r="H557" s="45">
        <v>2.5522000000000001E-4</v>
      </c>
      <c r="I557" s="45">
        <v>2.3966999999999999E-3</v>
      </c>
      <c r="J557" s="45">
        <v>-4.2242E-3</v>
      </c>
      <c r="K557" s="45">
        <v>1.0548E-2</v>
      </c>
    </row>
    <row r="558" spans="1:11" x14ac:dyDescent="0.3">
      <c r="A558" s="171">
        <v>922</v>
      </c>
      <c r="B558" s="45">
        <v>-1.1789999999999999E-3</v>
      </c>
      <c r="C558" s="45">
        <v>5.3896999999999999E-3</v>
      </c>
      <c r="D558" s="45">
        <v>-1.5636E-4</v>
      </c>
      <c r="E558" s="45">
        <v>2.7913E-3</v>
      </c>
      <c r="F558" s="45">
        <v>7.0564E-4</v>
      </c>
      <c r="G558" s="45">
        <v>2.1838999999999999E-3</v>
      </c>
      <c r="H558" s="45">
        <v>2.6771E-4</v>
      </c>
      <c r="I558" s="45">
        <v>2.5592000000000002E-3</v>
      </c>
      <c r="J558" s="45">
        <v>-4.4463999999999997E-3</v>
      </c>
      <c r="K558" s="45">
        <v>1.0606000000000001E-2</v>
      </c>
    </row>
    <row r="559" spans="1:11" x14ac:dyDescent="0.3">
      <c r="A559" s="171">
        <v>923</v>
      </c>
      <c r="B559" s="45">
        <v>-7.6017999999999995E-4</v>
      </c>
      <c r="C559" s="45">
        <v>5.2925999999999997E-3</v>
      </c>
      <c r="D559" s="45">
        <v>-1.8173E-5</v>
      </c>
      <c r="E559" s="45">
        <v>2.9207999999999999E-3</v>
      </c>
      <c r="F559" s="45">
        <v>6.9362000000000004E-4</v>
      </c>
      <c r="G559" s="45">
        <v>2.3425999999999998E-3</v>
      </c>
      <c r="H559" s="45">
        <v>2.8011000000000003E-4</v>
      </c>
      <c r="I559" s="45">
        <v>2.7177999999999998E-3</v>
      </c>
      <c r="J559" s="45">
        <v>-4.6635000000000001E-3</v>
      </c>
      <c r="K559" s="45">
        <v>1.0661E-2</v>
      </c>
    </row>
    <row r="560" spans="1:11" x14ac:dyDescent="0.3">
      <c r="A560" s="171">
        <v>924</v>
      </c>
      <c r="B560" s="45">
        <v>-3.4044000000000001E-4</v>
      </c>
      <c r="C560" s="45">
        <v>5.1895999999999999E-3</v>
      </c>
      <c r="D560" s="45">
        <v>1.2040999999999999E-4</v>
      </c>
      <c r="E560" s="45">
        <v>3.0465000000000002E-3</v>
      </c>
      <c r="F560" s="45">
        <v>6.8128999999999998E-4</v>
      </c>
      <c r="G560" s="45">
        <v>2.4978000000000001E-3</v>
      </c>
      <c r="H560" s="45">
        <v>2.9244999999999998E-4</v>
      </c>
      <c r="I560" s="45">
        <v>2.8727000000000002E-3</v>
      </c>
      <c r="J560" s="45">
        <v>-4.8755999999999999E-3</v>
      </c>
      <c r="K560" s="45">
        <v>1.0714E-2</v>
      </c>
    </row>
    <row r="561" spans="1:11" x14ac:dyDescent="0.3">
      <c r="A561" s="171">
        <v>925</v>
      </c>
      <c r="B561" s="45">
        <v>8.0062999999999996E-5</v>
      </c>
      <c r="C561" s="45">
        <v>5.0807999999999999E-3</v>
      </c>
      <c r="D561" s="45">
        <v>2.5939000000000002E-4</v>
      </c>
      <c r="E561" s="45">
        <v>3.1681999999999999E-3</v>
      </c>
      <c r="F561" s="45">
        <v>6.6874000000000002E-4</v>
      </c>
      <c r="G561" s="45">
        <v>2.6494000000000001E-3</v>
      </c>
      <c r="H561" s="45">
        <v>3.0473000000000002E-4</v>
      </c>
      <c r="I561" s="45">
        <v>3.0236999999999998E-3</v>
      </c>
      <c r="J561" s="45">
        <v>-5.0825999999999996E-3</v>
      </c>
      <c r="K561" s="45">
        <v>1.0763999999999999E-2</v>
      </c>
    </row>
    <row r="562" spans="1:11" x14ac:dyDescent="0.3">
      <c r="A562" s="171">
        <v>926</v>
      </c>
      <c r="B562" s="45">
        <v>5.0117E-4</v>
      </c>
      <c r="C562" s="45">
        <v>4.9661999999999996E-3</v>
      </c>
      <c r="D562" s="45">
        <v>3.9878E-4</v>
      </c>
      <c r="E562" s="45">
        <v>3.2861000000000001E-3</v>
      </c>
      <c r="F562" s="45">
        <v>6.5605000000000004E-4</v>
      </c>
      <c r="G562" s="45">
        <v>2.7973999999999998E-3</v>
      </c>
      <c r="H562" s="45">
        <v>3.1697000000000002E-4</v>
      </c>
      <c r="I562" s="45">
        <v>3.1708000000000001E-3</v>
      </c>
      <c r="J562" s="45">
        <v>-5.2846000000000004E-3</v>
      </c>
      <c r="K562" s="45">
        <v>1.0812E-2</v>
      </c>
    </row>
    <row r="563" spans="1:11" x14ac:dyDescent="0.3">
      <c r="A563" s="171">
        <v>927</v>
      </c>
      <c r="B563" s="45">
        <v>9.2274000000000002E-4</v>
      </c>
      <c r="C563" s="45">
        <v>4.8459000000000002E-3</v>
      </c>
      <c r="D563" s="45">
        <v>5.3857000000000004E-4</v>
      </c>
      <c r="E563" s="45">
        <v>3.3999999999999998E-3</v>
      </c>
      <c r="F563" s="45">
        <v>6.4329000000000003E-4</v>
      </c>
      <c r="G563" s="45">
        <v>2.9418000000000001E-3</v>
      </c>
      <c r="H563" s="45">
        <v>3.2920999999999997E-4</v>
      </c>
      <c r="I563" s="45">
        <v>3.3140999999999999E-3</v>
      </c>
      <c r="J563" s="45">
        <v>-5.4815999999999997E-3</v>
      </c>
      <c r="K563" s="45">
        <v>1.0858E-2</v>
      </c>
    </row>
    <row r="564" spans="1:11" x14ac:dyDescent="0.3">
      <c r="A564" s="171">
        <v>928</v>
      </c>
      <c r="B564" s="45">
        <v>1.3446E-3</v>
      </c>
      <c r="C564" s="45">
        <v>4.7199E-3</v>
      </c>
      <c r="D564" s="45">
        <v>6.7876000000000004E-4</v>
      </c>
      <c r="E564" s="45">
        <v>3.5100000000000001E-3</v>
      </c>
      <c r="F564" s="45">
        <v>6.3053999999999996E-4</v>
      </c>
      <c r="G564" s="45">
        <v>3.0823999999999999E-3</v>
      </c>
      <c r="H564" s="45">
        <v>3.4144999999999998E-4</v>
      </c>
      <c r="I564" s="45">
        <v>3.4535999999999998E-3</v>
      </c>
      <c r="J564" s="45">
        <v>-5.6736E-3</v>
      </c>
      <c r="K564" s="45">
        <v>1.09E-2</v>
      </c>
    </row>
    <row r="565" spans="1:11" x14ac:dyDescent="0.3">
      <c r="A565" s="171">
        <v>929</v>
      </c>
      <c r="B565" s="45">
        <v>1.7665999999999999E-3</v>
      </c>
      <c r="C565" s="45">
        <v>4.5884000000000003E-3</v>
      </c>
      <c r="D565" s="45">
        <v>8.1935999999999999E-4</v>
      </c>
      <c r="E565" s="45">
        <v>3.6159999999999999E-3</v>
      </c>
      <c r="F565" s="45">
        <v>6.1786999999999996E-4</v>
      </c>
      <c r="G565" s="45">
        <v>3.2193E-3</v>
      </c>
      <c r="H565" s="45">
        <v>3.5372000000000002E-4</v>
      </c>
      <c r="I565" s="45">
        <v>3.5893000000000001E-3</v>
      </c>
      <c r="J565" s="45">
        <v>-5.8606999999999999E-3</v>
      </c>
      <c r="K565" s="45">
        <v>1.0940999999999999E-2</v>
      </c>
    </row>
    <row r="566" spans="1:11" x14ac:dyDescent="0.3">
      <c r="A566" s="171">
        <v>930</v>
      </c>
      <c r="B566" s="45">
        <v>2.1887E-3</v>
      </c>
      <c r="C566" s="45">
        <v>4.4514999999999997E-3</v>
      </c>
      <c r="D566" s="45">
        <v>9.6035000000000001E-4</v>
      </c>
      <c r="E566" s="45">
        <v>3.7179000000000001E-3</v>
      </c>
      <c r="F566" s="45">
        <v>6.0535999999999999E-4</v>
      </c>
      <c r="G566" s="45">
        <v>3.3524000000000002E-3</v>
      </c>
      <c r="H566" s="45">
        <v>3.6602999999999999E-4</v>
      </c>
      <c r="I566" s="45">
        <v>3.7212E-3</v>
      </c>
      <c r="J566" s="45">
        <v>-6.0426999999999998E-3</v>
      </c>
      <c r="K566" s="45">
        <v>1.0978999999999999E-2</v>
      </c>
    </row>
    <row r="567" spans="1:11" x14ac:dyDescent="0.3">
      <c r="A567" s="171">
        <v>931</v>
      </c>
      <c r="B567" s="45">
        <v>2.6105E-3</v>
      </c>
      <c r="C567" s="45">
        <v>4.3092E-3</v>
      </c>
      <c r="D567" s="45">
        <v>1.1016999999999999E-3</v>
      </c>
      <c r="E567" s="45">
        <v>3.8157999999999998E-3</v>
      </c>
      <c r="F567" s="45">
        <v>5.9307000000000001E-4</v>
      </c>
      <c r="G567" s="45">
        <v>3.4816000000000001E-3</v>
      </c>
      <c r="H567" s="45">
        <v>3.7840999999999998E-4</v>
      </c>
      <c r="I567" s="45">
        <v>3.8492999999999999E-3</v>
      </c>
      <c r="J567" s="45">
        <v>-6.2199000000000004E-3</v>
      </c>
      <c r="K567" s="45">
        <v>1.1015E-2</v>
      </c>
    </row>
    <row r="568" spans="1:11" x14ac:dyDescent="0.3">
      <c r="A568" s="171">
        <v>932</v>
      </c>
      <c r="B568" s="45">
        <v>3.0320999999999998E-3</v>
      </c>
      <c r="C568" s="45">
        <v>4.1615999999999997E-3</v>
      </c>
      <c r="D568" s="45">
        <v>1.2435E-3</v>
      </c>
      <c r="E568" s="45">
        <v>3.9097000000000003E-3</v>
      </c>
      <c r="F568" s="45">
        <v>5.8107999999999999E-4</v>
      </c>
      <c r="G568" s="45">
        <v>3.6069000000000001E-3</v>
      </c>
      <c r="H568" s="45">
        <v>3.9085999999999998E-4</v>
      </c>
      <c r="I568" s="45">
        <v>3.9735999999999999E-3</v>
      </c>
      <c r="J568" s="45">
        <v>-6.3921000000000004E-3</v>
      </c>
      <c r="K568" s="45">
        <v>1.1048000000000001E-2</v>
      </c>
    </row>
    <row r="569" spans="1:11" x14ac:dyDescent="0.3">
      <c r="A569" s="171">
        <v>933</v>
      </c>
      <c r="B569" s="45">
        <v>3.4532E-3</v>
      </c>
      <c r="C569" s="45">
        <v>4.0089000000000001E-3</v>
      </c>
      <c r="D569" s="45">
        <v>1.3856000000000001E-3</v>
      </c>
      <c r="E569" s="45">
        <v>3.9995999999999999E-3</v>
      </c>
      <c r="F569" s="45">
        <v>5.6944000000000005E-4</v>
      </c>
      <c r="G569" s="45">
        <v>3.7282000000000001E-3</v>
      </c>
      <c r="H569" s="45">
        <v>4.0339999999999999E-4</v>
      </c>
      <c r="I569" s="45">
        <v>4.0940999999999998E-3</v>
      </c>
      <c r="J569" s="45">
        <v>-6.5594E-3</v>
      </c>
      <c r="K569" s="45">
        <v>1.1079E-2</v>
      </c>
    </row>
    <row r="570" spans="1:11" x14ac:dyDescent="0.3">
      <c r="A570" s="171">
        <v>934</v>
      </c>
      <c r="B570" s="45">
        <v>3.8736E-3</v>
      </c>
      <c r="C570" s="45">
        <v>3.8511000000000001E-3</v>
      </c>
      <c r="D570" s="45">
        <v>1.5280999999999999E-3</v>
      </c>
      <c r="E570" s="45">
        <v>4.0854000000000003E-3</v>
      </c>
      <c r="F570" s="45">
        <v>5.5822000000000001E-4</v>
      </c>
      <c r="G570" s="45">
        <v>3.8455999999999998E-3</v>
      </c>
      <c r="H570" s="45">
        <v>4.1604000000000001E-4</v>
      </c>
      <c r="I570" s="45">
        <v>4.2109000000000001E-3</v>
      </c>
      <c r="J570" s="45">
        <v>-6.7218E-3</v>
      </c>
      <c r="K570" s="45">
        <v>1.1107000000000001E-2</v>
      </c>
    </row>
    <row r="571" spans="1:11" x14ac:dyDescent="0.3">
      <c r="A571" s="171">
        <v>935</v>
      </c>
      <c r="B571" s="45">
        <v>4.2931999999999996E-3</v>
      </c>
      <c r="C571" s="45">
        <v>3.6882999999999998E-3</v>
      </c>
      <c r="D571" s="45">
        <v>1.6708999999999999E-3</v>
      </c>
      <c r="E571" s="45">
        <v>4.1672000000000002E-3</v>
      </c>
      <c r="F571" s="45">
        <v>5.4746000000000005E-4</v>
      </c>
      <c r="G571" s="45">
        <v>3.9591000000000001E-3</v>
      </c>
      <c r="H571" s="45">
        <v>4.2880000000000001E-4</v>
      </c>
      <c r="I571" s="45">
        <v>4.3239999999999997E-3</v>
      </c>
      <c r="J571" s="45">
        <v>-6.8793999999999999E-3</v>
      </c>
      <c r="K571" s="45">
        <v>1.1133000000000001E-2</v>
      </c>
    </row>
    <row r="572" spans="1:11" x14ac:dyDescent="0.3">
      <c r="A572" s="171">
        <v>936</v>
      </c>
      <c r="B572" s="45">
        <v>4.7118999999999998E-3</v>
      </c>
      <c r="C572" s="45">
        <v>3.5208000000000001E-3</v>
      </c>
      <c r="D572" s="45">
        <v>1.8139E-3</v>
      </c>
      <c r="E572" s="45">
        <v>4.2449000000000002E-3</v>
      </c>
      <c r="F572" s="45">
        <v>5.3722000000000004E-4</v>
      </c>
      <c r="G572" s="45">
        <v>4.0685000000000001E-3</v>
      </c>
      <c r="H572" s="45">
        <v>4.4168000000000001E-4</v>
      </c>
      <c r="I572" s="45">
        <v>4.4333000000000003E-3</v>
      </c>
      <c r="J572" s="45">
        <v>-7.0321999999999997E-3</v>
      </c>
      <c r="K572" s="45">
        <v>1.1157E-2</v>
      </c>
    </row>
    <row r="573" spans="1:11" x14ac:dyDescent="0.3">
      <c r="A573" s="171">
        <v>937</v>
      </c>
      <c r="B573" s="45">
        <v>5.1294000000000001E-3</v>
      </c>
      <c r="C573" s="45">
        <v>3.3486000000000002E-3</v>
      </c>
      <c r="D573" s="45">
        <v>1.9572999999999999E-3</v>
      </c>
      <c r="E573" s="45">
        <v>4.3185999999999997E-3</v>
      </c>
      <c r="F573" s="45">
        <v>5.2753000000000001E-4</v>
      </c>
      <c r="G573" s="45">
        <v>4.1739000000000004E-3</v>
      </c>
      <c r="H573" s="45">
        <v>4.5469E-4</v>
      </c>
      <c r="I573" s="45">
        <v>4.5389999999999996E-3</v>
      </c>
      <c r="J573" s="45">
        <v>-7.1802000000000003E-3</v>
      </c>
      <c r="K573" s="45">
        <v>1.1179E-2</v>
      </c>
    </row>
    <row r="574" spans="1:11" x14ac:dyDescent="0.3">
      <c r="A574" s="171">
        <v>938</v>
      </c>
      <c r="B574" s="45">
        <v>5.5456999999999998E-3</v>
      </c>
      <c r="C574" s="45">
        <v>3.1717999999999998E-3</v>
      </c>
      <c r="D574" s="45">
        <v>2.1009000000000002E-3</v>
      </c>
      <c r="E574" s="45">
        <v>4.3883000000000004E-3</v>
      </c>
      <c r="F574" s="45">
        <v>5.1844E-4</v>
      </c>
      <c r="G574" s="45">
        <v>4.2753000000000001E-3</v>
      </c>
      <c r="H574" s="45">
        <v>4.6785000000000001E-4</v>
      </c>
      <c r="I574" s="45">
        <v>4.6408999999999999E-3</v>
      </c>
      <c r="J574" s="45">
        <v>-7.3233999999999999E-3</v>
      </c>
      <c r="K574" s="45">
        <v>1.1198E-2</v>
      </c>
    </row>
    <row r="575" spans="1:11" x14ac:dyDescent="0.3">
      <c r="A575" s="171">
        <v>939</v>
      </c>
      <c r="B575" s="45">
        <v>5.9604000000000002E-3</v>
      </c>
      <c r="C575" s="45">
        <v>2.9905000000000001E-3</v>
      </c>
      <c r="D575" s="45">
        <v>2.2445999999999998E-3</v>
      </c>
      <c r="E575" s="45">
        <v>4.4539999999999996E-3</v>
      </c>
      <c r="F575" s="45">
        <v>5.0998999999999999E-4</v>
      </c>
      <c r="G575" s="45">
        <v>4.3727000000000002E-3</v>
      </c>
      <c r="H575" s="45">
        <v>4.8115000000000001E-4</v>
      </c>
      <c r="I575" s="45">
        <v>4.7393000000000001E-3</v>
      </c>
      <c r="J575" s="45">
        <v>-7.4618999999999996E-3</v>
      </c>
      <c r="K575" s="45">
        <v>1.1216E-2</v>
      </c>
    </row>
    <row r="576" spans="1:11" x14ac:dyDescent="0.3">
      <c r="A576" s="171">
        <v>940</v>
      </c>
      <c r="B576" s="45">
        <v>6.3736000000000001E-3</v>
      </c>
      <c r="C576" s="45">
        <v>2.8051E-3</v>
      </c>
      <c r="D576" s="45">
        <v>2.3885999999999998E-3</v>
      </c>
      <c r="E576" s="45">
        <v>4.5158000000000004E-3</v>
      </c>
      <c r="F576" s="45">
        <v>5.0219999999999996E-4</v>
      </c>
      <c r="G576" s="45">
        <v>4.4660999999999998E-3</v>
      </c>
      <c r="H576" s="45">
        <v>4.9459000000000005E-4</v>
      </c>
      <c r="I576" s="45">
        <v>4.8339999999999998E-3</v>
      </c>
      <c r="J576" s="45">
        <v>-7.5957999999999998E-3</v>
      </c>
      <c r="K576" s="45">
        <v>1.1231E-2</v>
      </c>
    </row>
    <row r="577" spans="1:11" x14ac:dyDescent="0.3">
      <c r="A577" s="171">
        <v>941</v>
      </c>
      <c r="B577" s="45">
        <v>6.7849E-3</v>
      </c>
      <c r="C577" s="45">
        <v>2.6155000000000002E-3</v>
      </c>
      <c r="D577" s="45">
        <v>2.5325999999999999E-3</v>
      </c>
      <c r="E577" s="45">
        <v>4.5735999999999997E-3</v>
      </c>
      <c r="F577" s="45">
        <v>4.9510999999999999E-4</v>
      </c>
      <c r="G577" s="45">
        <v>4.5554000000000002E-3</v>
      </c>
      <c r="H577" s="45">
        <v>5.0819999999999999E-4</v>
      </c>
      <c r="I577" s="45">
        <v>4.9251E-3</v>
      </c>
      <c r="J577" s="45">
        <v>-7.7250000000000001E-3</v>
      </c>
      <c r="K577" s="45">
        <v>1.1244000000000001E-2</v>
      </c>
    </row>
    <row r="578" spans="1:11" x14ac:dyDescent="0.3">
      <c r="A578" s="171">
        <v>942</v>
      </c>
      <c r="B578" s="45">
        <v>7.1942999999999998E-3</v>
      </c>
      <c r="C578" s="45">
        <v>2.4218999999999998E-3</v>
      </c>
      <c r="D578" s="45">
        <v>2.6767000000000002E-3</v>
      </c>
      <c r="E578" s="45">
        <v>4.6275999999999999E-3</v>
      </c>
      <c r="F578" s="45">
        <v>4.8873999999999999E-4</v>
      </c>
      <c r="G578" s="45">
        <v>4.6407999999999996E-3</v>
      </c>
      <c r="H578" s="45">
        <v>5.2194999999999997E-4</v>
      </c>
      <c r="I578" s="45">
        <v>5.0127000000000001E-3</v>
      </c>
      <c r="J578" s="45">
        <v>-7.8496E-3</v>
      </c>
      <c r="K578" s="45">
        <v>1.1254E-2</v>
      </c>
    </row>
    <row r="579" spans="1:11" x14ac:dyDescent="0.3">
      <c r="A579" s="171">
        <v>943</v>
      </c>
      <c r="B579" s="45">
        <v>7.6014000000000003E-3</v>
      </c>
      <c r="C579" s="45">
        <v>2.2246000000000002E-3</v>
      </c>
      <c r="D579" s="45">
        <v>2.8208E-3</v>
      </c>
      <c r="E579" s="45">
        <v>4.6776999999999999E-3</v>
      </c>
      <c r="F579" s="45">
        <v>4.8312000000000002E-4</v>
      </c>
      <c r="G579" s="45">
        <v>4.7222000000000002E-3</v>
      </c>
      <c r="H579" s="45">
        <v>5.3585999999999998E-4</v>
      </c>
      <c r="I579" s="45">
        <v>5.0968000000000003E-3</v>
      </c>
      <c r="J579" s="45">
        <v>-7.9696999999999997E-3</v>
      </c>
      <c r="K579" s="45">
        <v>1.1263E-2</v>
      </c>
    </row>
    <row r="580" spans="1:11" x14ac:dyDescent="0.3">
      <c r="A580" s="171">
        <v>944</v>
      </c>
      <c r="B580" s="45">
        <v>8.0062999999999992E-3</v>
      </c>
      <c r="C580" s="45">
        <v>2.0236999999999998E-3</v>
      </c>
      <c r="D580" s="45">
        <v>2.9648999999999999E-3</v>
      </c>
      <c r="E580" s="45">
        <v>4.7239999999999999E-3</v>
      </c>
      <c r="F580" s="45">
        <v>4.7825E-4</v>
      </c>
      <c r="G580" s="45">
        <v>4.7996999999999996E-3</v>
      </c>
      <c r="H580" s="45">
        <v>5.4993000000000002E-4</v>
      </c>
      <c r="I580" s="45">
        <v>5.1774000000000004E-3</v>
      </c>
      <c r="J580" s="45">
        <v>-8.0852000000000007E-3</v>
      </c>
      <c r="K580" s="45">
        <v>1.1269E-2</v>
      </c>
    </row>
    <row r="581" spans="1:11" x14ac:dyDescent="0.3">
      <c r="A581" s="171">
        <v>945</v>
      </c>
      <c r="B581" s="45">
        <v>8.4086000000000004E-3</v>
      </c>
      <c r="C581" s="45">
        <v>1.8194000000000001E-3</v>
      </c>
      <c r="D581" s="45">
        <v>3.1088999999999999E-3</v>
      </c>
      <c r="E581" s="45">
        <v>4.7666000000000002E-3</v>
      </c>
      <c r="F581" s="45">
        <v>4.7415000000000001E-4</v>
      </c>
      <c r="G581" s="45">
        <v>4.8732000000000003E-3</v>
      </c>
      <c r="H581" s="45">
        <v>5.6413999999999998E-4</v>
      </c>
      <c r="I581" s="45">
        <v>5.2545999999999999E-3</v>
      </c>
      <c r="J581" s="45">
        <v>-8.1963000000000001E-3</v>
      </c>
      <c r="K581" s="45">
        <v>1.1273999999999999E-2</v>
      </c>
    </row>
    <row r="582" spans="1:11" x14ac:dyDescent="0.3">
      <c r="A582" s="171">
        <v>946</v>
      </c>
      <c r="B582" s="45">
        <v>8.8082000000000004E-3</v>
      </c>
      <c r="C582" s="45">
        <v>1.6119000000000001E-3</v>
      </c>
      <c r="D582" s="45">
        <v>3.2526E-3</v>
      </c>
      <c r="E582" s="45">
        <v>4.8054999999999999E-3</v>
      </c>
      <c r="F582" s="45">
        <v>4.7083999999999998E-4</v>
      </c>
      <c r="G582" s="45">
        <v>4.9427999999999998E-3</v>
      </c>
      <c r="H582" s="45">
        <v>5.7850000000000002E-4</v>
      </c>
      <c r="I582" s="45">
        <v>5.3283999999999996E-3</v>
      </c>
      <c r="J582" s="45">
        <v>-8.3029999999999996E-3</v>
      </c>
      <c r="K582" s="45">
        <v>1.1276E-2</v>
      </c>
    </row>
    <row r="583" spans="1:11" x14ac:dyDescent="0.3">
      <c r="A583" s="171">
        <v>947</v>
      </c>
      <c r="B583" s="45">
        <v>9.2049000000000002E-3</v>
      </c>
      <c r="C583" s="45">
        <v>1.4013999999999999E-3</v>
      </c>
      <c r="D583" s="45">
        <v>3.3961999999999998E-3</v>
      </c>
      <c r="E583" s="45">
        <v>4.8408000000000001E-3</v>
      </c>
      <c r="F583" s="45">
        <v>4.683E-4</v>
      </c>
      <c r="G583" s="45">
        <v>5.0086999999999996E-3</v>
      </c>
      <c r="H583" s="45">
        <v>5.9299999999999999E-4</v>
      </c>
      <c r="I583" s="45">
        <v>5.3988999999999999E-3</v>
      </c>
      <c r="J583" s="45">
        <v>-8.4052999999999992E-3</v>
      </c>
      <c r="K583" s="45">
        <v>1.1277000000000001E-2</v>
      </c>
    </row>
    <row r="584" spans="1:11" x14ac:dyDescent="0.3">
      <c r="A584" s="171">
        <v>948</v>
      </c>
      <c r="B584" s="45">
        <v>9.5984999999999994E-3</v>
      </c>
      <c r="C584" s="45">
        <v>1.1881000000000001E-3</v>
      </c>
      <c r="D584" s="45">
        <v>3.5393999999999998E-3</v>
      </c>
      <c r="E584" s="45">
        <v>4.8725000000000001E-3</v>
      </c>
      <c r="F584" s="45">
        <v>4.6654999999999998E-4</v>
      </c>
      <c r="G584" s="45">
        <v>5.0707E-3</v>
      </c>
      <c r="H584" s="45">
        <v>6.0762999999999995E-4</v>
      </c>
      <c r="I584" s="45">
        <v>5.4660999999999998E-3</v>
      </c>
      <c r="J584" s="45">
        <v>-8.5033999999999995E-3</v>
      </c>
      <c r="K584" s="45">
        <v>1.1275E-2</v>
      </c>
    </row>
    <row r="585" spans="1:11" x14ac:dyDescent="0.3">
      <c r="A585" s="171">
        <v>949</v>
      </c>
      <c r="B585" s="45">
        <v>9.9889000000000002E-3</v>
      </c>
      <c r="C585" s="45">
        <v>9.7216999999999996E-4</v>
      </c>
      <c r="D585" s="45">
        <v>3.6822999999999999E-3</v>
      </c>
      <c r="E585" s="45">
        <v>4.9007E-3</v>
      </c>
      <c r="F585" s="45">
        <v>4.6558999999999999E-4</v>
      </c>
      <c r="G585" s="45">
        <v>5.1289999999999999E-3</v>
      </c>
      <c r="H585" s="45">
        <v>6.2239000000000001E-4</v>
      </c>
      <c r="I585" s="45">
        <v>5.5300999999999996E-3</v>
      </c>
      <c r="J585" s="45">
        <v>-8.5971999999999993E-3</v>
      </c>
      <c r="K585" s="45">
        <v>1.1272000000000001E-2</v>
      </c>
    </row>
    <row r="586" spans="1:11" x14ac:dyDescent="0.3">
      <c r="A586" s="171">
        <v>950</v>
      </c>
      <c r="B586" s="45">
        <v>1.0376E-2</v>
      </c>
      <c r="C586" s="45">
        <v>7.5389999999999995E-4</v>
      </c>
      <c r="D586" s="45">
        <v>3.8246999999999999E-3</v>
      </c>
      <c r="E586" s="45">
        <v>4.9255000000000002E-3</v>
      </c>
      <c r="F586" s="45">
        <v>4.6540999999999998E-4</v>
      </c>
      <c r="G586" s="45">
        <v>5.1837000000000003E-3</v>
      </c>
      <c r="H586" s="45">
        <v>6.3725999999999995E-4</v>
      </c>
      <c r="I586" s="45">
        <v>5.5907999999999999E-3</v>
      </c>
      <c r="J586" s="45">
        <v>-8.6868999999999991E-3</v>
      </c>
      <c r="K586" s="45">
        <v>1.1266999999999999E-2</v>
      </c>
    </row>
    <row r="587" spans="1:11" x14ac:dyDescent="0.3">
      <c r="A587" s="171">
        <v>951</v>
      </c>
      <c r="B587" s="45">
        <v>1.0758999999999999E-2</v>
      </c>
      <c r="C587" s="45">
        <v>5.3350000000000001E-4</v>
      </c>
      <c r="D587" s="45">
        <v>3.9665999999999998E-3</v>
      </c>
      <c r="E587" s="45">
        <v>4.9468999999999997E-3</v>
      </c>
      <c r="F587" s="45">
        <v>4.66E-4</v>
      </c>
      <c r="G587" s="45">
        <v>5.2347000000000001E-3</v>
      </c>
      <c r="H587" s="45">
        <v>6.5224E-4</v>
      </c>
      <c r="I587" s="45">
        <v>5.6484999999999999E-3</v>
      </c>
      <c r="J587" s="45">
        <v>-8.7725000000000008E-3</v>
      </c>
      <c r="K587" s="45">
        <v>1.1259999999999999E-2</v>
      </c>
    </row>
    <row r="588" spans="1:11" x14ac:dyDescent="0.3">
      <c r="A588" s="171">
        <v>952</v>
      </c>
      <c r="B588" s="45">
        <v>1.1139E-2</v>
      </c>
      <c r="C588" s="45">
        <v>3.1121000000000002E-4</v>
      </c>
      <c r="D588" s="45">
        <v>4.1078E-3</v>
      </c>
      <c r="E588" s="45">
        <v>4.9652000000000003E-3</v>
      </c>
      <c r="F588" s="45">
        <v>4.6736E-4</v>
      </c>
      <c r="G588" s="45">
        <v>5.2823000000000002E-3</v>
      </c>
      <c r="H588" s="45">
        <v>6.6730999999999995E-4</v>
      </c>
      <c r="I588" s="45">
        <v>5.7031E-3</v>
      </c>
      <c r="J588" s="45">
        <v>-8.8540000000000008E-3</v>
      </c>
      <c r="K588" s="45">
        <v>1.1251000000000001E-2</v>
      </c>
    </row>
    <row r="589" spans="1:11" x14ac:dyDescent="0.3">
      <c r="A589" s="171">
        <v>953</v>
      </c>
      <c r="B589" s="45">
        <v>1.1514E-2</v>
      </c>
      <c r="C589" s="45">
        <v>8.7264999999999999E-5</v>
      </c>
      <c r="D589" s="45">
        <v>4.2483E-3</v>
      </c>
      <c r="E589" s="45">
        <v>4.9801999999999997E-3</v>
      </c>
      <c r="F589" s="45">
        <v>4.6946999999999999E-4</v>
      </c>
      <c r="G589" s="45">
        <v>5.3263E-3</v>
      </c>
      <c r="H589" s="45">
        <v>6.8245999999999997E-4</v>
      </c>
      <c r="I589" s="45">
        <v>5.7546999999999997E-3</v>
      </c>
      <c r="J589" s="45">
        <v>-8.9315999999999996E-3</v>
      </c>
      <c r="K589" s="45">
        <v>1.124E-2</v>
      </c>
    </row>
    <row r="590" spans="1:11" x14ac:dyDescent="0.3">
      <c r="A590" s="171">
        <v>954</v>
      </c>
      <c r="B590" s="45">
        <v>1.1886000000000001E-2</v>
      </c>
      <c r="C590" s="45">
        <v>-1.3808000000000001E-4</v>
      </c>
      <c r="D590" s="45">
        <v>4.3880000000000004E-3</v>
      </c>
      <c r="E590" s="45">
        <v>4.9921999999999996E-3</v>
      </c>
      <c r="F590" s="45">
        <v>4.7230999999999998E-4</v>
      </c>
      <c r="G590" s="45">
        <v>5.3670000000000002E-3</v>
      </c>
      <c r="H590" s="45">
        <v>6.9766999999999995E-4</v>
      </c>
      <c r="I590" s="45">
        <v>5.8034000000000002E-3</v>
      </c>
      <c r="J590" s="45">
        <v>-9.0053000000000008E-3</v>
      </c>
      <c r="K590" s="45">
        <v>1.1228E-2</v>
      </c>
    </row>
    <row r="591" spans="1:11" x14ac:dyDescent="0.3">
      <c r="A591" s="171">
        <v>955</v>
      </c>
      <c r="B591" s="45">
        <v>1.2253E-2</v>
      </c>
      <c r="C591" s="45">
        <v>-3.6457999999999998E-4</v>
      </c>
      <c r="D591" s="45">
        <v>4.5269000000000004E-3</v>
      </c>
      <c r="E591" s="45">
        <v>5.0011999999999999E-3</v>
      </c>
      <c r="F591" s="45">
        <v>4.7586999999999998E-4</v>
      </c>
      <c r="G591" s="45">
        <v>5.4044000000000002E-3</v>
      </c>
      <c r="H591" s="45">
        <v>7.1294000000000001E-4</v>
      </c>
      <c r="I591" s="45">
        <v>5.8491999999999997E-3</v>
      </c>
      <c r="J591" s="45">
        <v>-9.0752999999999997E-3</v>
      </c>
      <c r="K591" s="45">
        <v>1.1214E-2</v>
      </c>
    </row>
    <row r="592" spans="1:11" x14ac:dyDescent="0.3">
      <c r="A592" s="171">
        <v>956</v>
      </c>
      <c r="B592" s="45">
        <v>1.2614999999999999E-2</v>
      </c>
      <c r="C592" s="45">
        <v>-5.9197999999999998E-4</v>
      </c>
      <c r="D592" s="45">
        <v>4.6646999999999999E-3</v>
      </c>
      <c r="E592" s="45">
        <v>5.0074000000000004E-3</v>
      </c>
      <c r="F592" s="45">
        <v>4.8012E-4</v>
      </c>
      <c r="G592" s="45">
        <v>5.4384999999999998E-3</v>
      </c>
      <c r="H592" s="45">
        <v>7.2824999999999995E-4</v>
      </c>
      <c r="I592" s="45">
        <v>5.8922000000000002E-3</v>
      </c>
      <c r="J592" s="45">
        <v>-9.1415000000000003E-3</v>
      </c>
      <c r="K592" s="45">
        <v>1.1198E-2</v>
      </c>
    </row>
    <row r="593" spans="1:11" x14ac:dyDescent="0.3">
      <c r="A593" s="171">
        <v>957</v>
      </c>
      <c r="B593" s="45">
        <v>1.2973E-2</v>
      </c>
      <c r="C593" s="45">
        <v>-8.2001999999999997E-4</v>
      </c>
      <c r="D593" s="45">
        <v>4.8015000000000002E-3</v>
      </c>
      <c r="E593" s="45">
        <v>5.0106999999999999E-3</v>
      </c>
      <c r="F593" s="45">
        <v>4.8503000000000001E-4</v>
      </c>
      <c r="G593" s="45">
        <v>5.4695999999999998E-3</v>
      </c>
      <c r="H593" s="45">
        <v>7.4357000000000004E-4</v>
      </c>
      <c r="I593" s="45">
        <v>5.9325000000000003E-3</v>
      </c>
      <c r="J593" s="45">
        <v>-9.2040000000000004E-3</v>
      </c>
      <c r="K593" s="45">
        <v>1.1181E-2</v>
      </c>
    </row>
    <row r="594" spans="1:11" x14ac:dyDescent="0.3">
      <c r="A594" s="171">
        <v>958</v>
      </c>
      <c r="B594" s="45">
        <v>1.3325999999999999E-2</v>
      </c>
      <c r="C594" s="45">
        <v>-1.0483999999999999E-3</v>
      </c>
      <c r="D594" s="45">
        <v>4.9370000000000004E-3</v>
      </c>
      <c r="E594" s="45">
        <v>5.0115000000000003E-3</v>
      </c>
      <c r="F594" s="45">
        <v>4.9056999999999996E-4</v>
      </c>
      <c r="G594" s="45">
        <v>5.4976000000000001E-3</v>
      </c>
      <c r="H594" s="45">
        <v>7.5889000000000002E-4</v>
      </c>
      <c r="I594" s="45">
        <v>5.9702000000000002E-3</v>
      </c>
      <c r="J594" s="45">
        <v>-9.2630000000000004E-3</v>
      </c>
      <c r="K594" s="45">
        <v>1.1162E-2</v>
      </c>
    </row>
    <row r="595" spans="1:11" x14ac:dyDescent="0.3">
      <c r="A595" s="171">
        <v>959</v>
      </c>
      <c r="B595" s="45">
        <v>1.3674E-2</v>
      </c>
      <c r="C595" s="45">
        <v>-1.2769000000000001E-3</v>
      </c>
      <c r="D595" s="45">
        <v>5.0712999999999999E-3</v>
      </c>
      <c r="E595" s="45">
        <v>5.0096000000000003E-3</v>
      </c>
      <c r="F595" s="45">
        <v>4.9671000000000003E-4</v>
      </c>
      <c r="G595" s="45">
        <v>5.5227000000000002E-3</v>
      </c>
      <c r="H595" s="45">
        <v>7.7419999999999995E-4</v>
      </c>
      <c r="I595" s="45">
        <v>6.0051999999999996E-3</v>
      </c>
      <c r="J595" s="45">
        <v>-9.3185000000000004E-3</v>
      </c>
      <c r="K595" s="45">
        <v>1.1142000000000001E-2</v>
      </c>
    </row>
    <row r="596" spans="1:11" x14ac:dyDescent="0.3">
      <c r="A596" s="171">
        <v>960</v>
      </c>
      <c r="B596" s="45">
        <v>1.4016000000000001E-2</v>
      </c>
      <c r="C596" s="45">
        <v>-1.5053E-3</v>
      </c>
      <c r="D596" s="45">
        <v>5.2042E-3</v>
      </c>
      <c r="E596" s="45">
        <v>5.0052999999999999E-3</v>
      </c>
      <c r="F596" s="45">
        <v>5.0341999999999997E-4</v>
      </c>
      <c r="G596" s="45">
        <v>5.5449000000000002E-3</v>
      </c>
      <c r="H596" s="45">
        <v>7.8947000000000002E-4</v>
      </c>
      <c r="I596" s="45">
        <v>6.0378000000000003E-3</v>
      </c>
      <c r="J596" s="45">
        <v>-9.3706999999999992E-3</v>
      </c>
      <c r="K596" s="45">
        <v>1.112E-2</v>
      </c>
    </row>
    <row r="597" spans="1:11" x14ac:dyDescent="0.3">
      <c r="A597" s="171">
        <v>961</v>
      </c>
      <c r="B597" s="45">
        <v>1.4352999999999999E-2</v>
      </c>
      <c r="C597" s="45">
        <v>-1.7332999999999999E-3</v>
      </c>
      <c r="D597" s="45">
        <v>5.3356000000000002E-3</v>
      </c>
      <c r="E597" s="45">
        <v>4.9987E-3</v>
      </c>
      <c r="F597" s="45">
        <v>5.1066000000000002E-4</v>
      </c>
      <c r="G597" s="45">
        <v>5.5645E-3</v>
      </c>
      <c r="H597" s="45">
        <v>8.0468E-4</v>
      </c>
      <c r="I597" s="45">
        <v>6.0679000000000002E-3</v>
      </c>
      <c r="J597" s="45">
        <v>-9.4195000000000008E-3</v>
      </c>
      <c r="K597" s="45">
        <v>1.1096999999999999E-2</v>
      </c>
    </row>
    <row r="598" spans="1:11" x14ac:dyDescent="0.3">
      <c r="A598" s="171">
        <v>962</v>
      </c>
      <c r="B598" s="45">
        <v>1.4685E-2</v>
      </c>
      <c r="C598" s="45">
        <v>-1.9605E-3</v>
      </c>
      <c r="D598" s="45">
        <v>5.4653999999999996E-3</v>
      </c>
      <c r="E598" s="45">
        <v>4.9899000000000002E-3</v>
      </c>
      <c r="F598" s="45">
        <v>5.1838999999999997E-4</v>
      </c>
      <c r="G598" s="45">
        <v>5.5814000000000002E-3</v>
      </c>
      <c r="H598" s="45">
        <v>8.1981999999999997E-4</v>
      </c>
      <c r="I598" s="45">
        <v>6.0956999999999999E-3</v>
      </c>
      <c r="J598" s="45">
        <v>-9.4649999999999995E-3</v>
      </c>
      <c r="K598" s="45">
        <v>1.1073E-2</v>
      </c>
    </row>
    <row r="599" spans="1:11" x14ac:dyDescent="0.3">
      <c r="A599" s="171">
        <v>963</v>
      </c>
      <c r="B599" s="45">
        <v>1.5010000000000001E-2</v>
      </c>
      <c r="C599" s="45">
        <v>-2.1868E-3</v>
      </c>
      <c r="D599" s="45">
        <v>5.5935999999999998E-3</v>
      </c>
      <c r="E599" s="45">
        <v>4.9789999999999999E-3</v>
      </c>
      <c r="F599" s="45">
        <v>5.2658999999999996E-4</v>
      </c>
      <c r="G599" s="45">
        <v>5.5957999999999997E-3</v>
      </c>
      <c r="H599" s="45">
        <v>8.3487000000000003E-4</v>
      </c>
      <c r="I599" s="45">
        <v>6.1211E-3</v>
      </c>
      <c r="J599" s="45">
        <v>-9.5073999999999992E-3</v>
      </c>
      <c r="K599" s="45">
        <v>1.1047E-2</v>
      </c>
    </row>
    <row r="600" spans="1:11" x14ac:dyDescent="0.3">
      <c r="A600" s="171">
        <v>964</v>
      </c>
      <c r="B600" s="45">
        <v>1.533E-2</v>
      </c>
      <c r="C600" s="45">
        <v>-2.4118999999999998E-3</v>
      </c>
      <c r="D600" s="45">
        <v>5.7199E-3</v>
      </c>
      <c r="E600" s="45">
        <v>4.9659999999999999E-3</v>
      </c>
      <c r="F600" s="45">
        <v>5.352E-4</v>
      </c>
      <c r="G600" s="45">
        <v>5.6077999999999996E-3</v>
      </c>
      <c r="H600" s="45">
        <v>8.4981E-4</v>
      </c>
      <c r="I600" s="45">
        <v>6.1444000000000004E-3</v>
      </c>
      <c r="J600" s="45">
        <v>-9.5467999999999994E-3</v>
      </c>
      <c r="K600" s="45">
        <v>1.1018999999999999E-2</v>
      </c>
    </row>
    <row r="601" spans="1:11" x14ac:dyDescent="0.3">
      <c r="A601" s="171">
        <v>965</v>
      </c>
      <c r="B601" s="45">
        <v>1.5644000000000002E-2</v>
      </c>
      <c r="C601" s="45">
        <v>-2.6356000000000001E-3</v>
      </c>
      <c r="D601" s="45">
        <v>5.8443999999999996E-3</v>
      </c>
      <c r="E601" s="45">
        <v>4.9512000000000002E-3</v>
      </c>
      <c r="F601" s="45">
        <v>5.442E-4</v>
      </c>
      <c r="G601" s="45">
        <v>5.6173999999999998E-3</v>
      </c>
      <c r="H601" s="45">
        <v>8.6461000000000003E-4</v>
      </c>
      <c r="I601" s="45">
        <v>6.1655E-3</v>
      </c>
      <c r="J601" s="45">
        <v>-9.5831000000000006E-3</v>
      </c>
      <c r="K601" s="45">
        <v>1.0991000000000001E-2</v>
      </c>
    </row>
    <row r="602" spans="1:11" x14ac:dyDescent="0.3">
      <c r="A602" s="171">
        <v>966</v>
      </c>
      <c r="B602" s="45">
        <v>1.5951E-2</v>
      </c>
      <c r="C602" s="45">
        <v>-2.8574999999999998E-3</v>
      </c>
      <c r="D602" s="45">
        <v>5.9668000000000004E-3</v>
      </c>
      <c r="E602" s="45">
        <v>4.9347000000000002E-3</v>
      </c>
      <c r="F602" s="45">
        <v>5.5354000000000004E-4</v>
      </c>
      <c r="G602" s="45">
        <v>5.6248000000000001E-3</v>
      </c>
      <c r="H602" s="45">
        <v>8.7925999999999998E-4</v>
      </c>
      <c r="I602" s="45">
        <v>6.1844999999999999E-3</v>
      </c>
      <c r="J602" s="45">
        <v>-9.6165999999999995E-3</v>
      </c>
      <c r="K602" s="45">
        <v>1.0961E-2</v>
      </c>
    </row>
    <row r="603" spans="1:11" x14ac:dyDescent="0.3">
      <c r="A603" s="171">
        <v>967</v>
      </c>
      <c r="B603" s="45">
        <v>1.6251999999999999E-2</v>
      </c>
      <c r="C603" s="45">
        <v>-3.0774000000000001E-3</v>
      </c>
      <c r="D603" s="45">
        <v>6.0872000000000001E-3</v>
      </c>
      <c r="E603" s="45">
        <v>4.9163999999999996E-3</v>
      </c>
      <c r="F603" s="45">
        <v>5.6318000000000004E-4</v>
      </c>
      <c r="G603" s="45">
        <v>5.6302000000000001E-3</v>
      </c>
      <c r="H603" s="45">
        <v>8.9375000000000001E-4</v>
      </c>
      <c r="I603" s="45">
        <v>6.2015999999999998E-3</v>
      </c>
      <c r="J603" s="45">
        <v>-9.6471999999999999E-3</v>
      </c>
      <c r="K603" s="45">
        <v>1.093E-2</v>
      </c>
    </row>
    <row r="604" spans="1:11" x14ac:dyDescent="0.3">
      <c r="A604" s="171">
        <v>968</v>
      </c>
      <c r="B604" s="45">
        <v>1.6546000000000002E-2</v>
      </c>
      <c r="C604" s="45">
        <v>-3.2951999999999999E-3</v>
      </c>
      <c r="D604" s="45">
        <v>6.2053999999999998E-3</v>
      </c>
      <c r="E604" s="45">
        <v>4.8967000000000004E-3</v>
      </c>
      <c r="F604" s="45">
        <v>5.7308999999999995E-4</v>
      </c>
      <c r="G604" s="45">
        <v>5.6334999999999996E-3</v>
      </c>
      <c r="H604" s="45">
        <v>9.0804000000000004E-4</v>
      </c>
      <c r="I604" s="45">
        <v>6.2166000000000001E-3</v>
      </c>
      <c r="J604" s="45">
        <v>-9.6751000000000007E-3</v>
      </c>
      <c r="K604" s="45">
        <v>1.0898E-2</v>
      </c>
    </row>
    <row r="605" spans="1:11" x14ac:dyDescent="0.3">
      <c r="A605" s="171">
        <v>969</v>
      </c>
      <c r="B605" s="45">
        <v>1.6833999999999998E-2</v>
      </c>
      <c r="C605" s="45">
        <v>-3.5105000000000002E-3</v>
      </c>
      <c r="D605" s="45">
        <v>6.3213999999999996E-3</v>
      </c>
      <c r="E605" s="45">
        <v>4.8754000000000002E-3</v>
      </c>
      <c r="F605" s="45">
        <v>5.8323000000000001E-4</v>
      </c>
      <c r="G605" s="45">
        <v>5.6347999999999997E-3</v>
      </c>
      <c r="H605" s="45">
        <v>9.2212999999999995E-4</v>
      </c>
      <c r="I605" s="45">
        <v>6.2299E-3</v>
      </c>
      <c r="J605" s="45">
        <v>-9.7003000000000002E-3</v>
      </c>
      <c r="K605" s="45">
        <v>1.0865E-2</v>
      </c>
    </row>
    <row r="606" spans="1:11" x14ac:dyDescent="0.3">
      <c r="A606" s="171">
        <v>970</v>
      </c>
      <c r="B606" s="45">
        <v>1.7114000000000001E-2</v>
      </c>
      <c r="C606" s="45">
        <v>-3.7231999999999999E-3</v>
      </c>
      <c r="D606" s="45">
        <v>6.4349999999999997E-3</v>
      </c>
      <c r="E606" s="45">
        <v>4.8528E-3</v>
      </c>
      <c r="F606" s="45">
        <v>5.9356999999999997E-4</v>
      </c>
      <c r="G606" s="45">
        <v>5.6344000000000003E-3</v>
      </c>
      <c r="H606" s="45">
        <v>9.3599999999999998E-4</v>
      </c>
      <c r="I606" s="45">
        <v>6.2413E-3</v>
      </c>
      <c r="J606" s="45">
        <v>-9.7228999999999996E-3</v>
      </c>
      <c r="K606" s="45">
        <v>1.0831E-2</v>
      </c>
    </row>
    <row r="607" spans="1:11" x14ac:dyDescent="0.3">
      <c r="A607" s="171">
        <v>971</v>
      </c>
      <c r="B607" s="45">
        <v>1.7388000000000001E-2</v>
      </c>
      <c r="C607" s="45">
        <v>-3.9329999999999999E-3</v>
      </c>
      <c r="D607" s="45">
        <v>6.5462000000000003E-3</v>
      </c>
      <c r="E607" s="45">
        <v>4.829E-3</v>
      </c>
      <c r="F607" s="45">
        <v>6.0406999999999995E-4</v>
      </c>
      <c r="G607" s="45">
        <v>5.6322000000000004E-3</v>
      </c>
      <c r="H607" s="45">
        <v>9.4963999999999997E-4</v>
      </c>
      <c r="I607" s="45">
        <v>6.2509999999999996E-3</v>
      </c>
      <c r="J607" s="45">
        <v>-9.7429999999999999E-3</v>
      </c>
      <c r="K607" s="45">
        <v>1.0796E-2</v>
      </c>
    </row>
    <row r="608" spans="1:11" x14ac:dyDescent="0.3">
      <c r="A608" s="171">
        <v>972</v>
      </c>
      <c r="B608" s="45">
        <v>1.7654E-2</v>
      </c>
      <c r="C608" s="45">
        <v>-4.1397999999999999E-3</v>
      </c>
      <c r="D608" s="45">
        <v>6.6549000000000001E-3</v>
      </c>
      <c r="E608" s="45">
        <v>4.8041000000000004E-3</v>
      </c>
      <c r="F608" s="45">
        <v>6.1468999999999998E-4</v>
      </c>
      <c r="G608" s="45">
        <v>5.6284000000000004E-3</v>
      </c>
      <c r="H608" s="45">
        <v>9.6301999999999998E-4</v>
      </c>
      <c r="I608" s="45">
        <v>6.2591000000000001E-3</v>
      </c>
      <c r="J608" s="45">
        <v>-9.7605999999999995E-3</v>
      </c>
      <c r="K608" s="45">
        <v>1.0758999999999999E-2</v>
      </c>
    </row>
    <row r="609" spans="1:11" x14ac:dyDescent="0.3">
      <c r="A609" s="171">
        <v>973</v>
      </c>
      <c r="B609" s="45">
        <v>1.7913999999999999E-2</v>
      </c>
      <c r="C609" s="45">
        <v>-4.3432000000000002E-3</v>
      </c>
      <c r="D609" s="45">
        <v>6.7610999999999999E-3</v>
      </c>
      <c r="E609" s="45">
        <v>4.7780000000000001E-3</v>
      </c>
      <c r="F609" s="45">
        <v>6.2540000000000002E-4</v>
      </c>
      <c r="G609" s="45">
        <v>5.6230000000000004E-3</v>
      </c>
      <c r="H609" s="45">
        <v>9.7612999999999997E-4</v>
      </c>
      <c r="I609" s="45">
        <v>6.2655000000000002E-3</v>
      </c>
      <c r="J609" s="45">
        <v>-9.7759000000000006E-3</v>
      </c>
      <c r="K609" s="45">
        <v>1.0722000000000001E-2</v>
      </c>
    </row>
    <row r="610" spans="1:11" x14ac:dyDescent="0.3">
      <c r="A610" s="171">
        <v>974</v>
      </c>
      <c r="B610" s="45">
        <v>1.8166000000000002E-2</v>
      </c>
      <c r="C610" s="45">
        <v>-4.5433000000000001E-3</v>
      </c>
      <c r="D610" s="45">
        <v>6.8646000000000002E-3</v>
      </c>
      <c r="E610" s="45">
        <v>4.751E-3</v>
      </c>
      <c r="F610" s="45">
        <v>6.3617999999999997E-4</v>
      </c>
      <c r="G610" s="45">
        <v>5.6160999999999997E-3</v>
      </c>
      <c r="H610" s="45">
        <v>9.889600000000001E-4</v>
      </c>
      <c r="I610" s="45">
        <v>6.2703999999999998E-3</v>
      </c>
      <c r="J610" s="45">
        <v>-9.7888999999999997E-3</v>
      </c>
      <c r="K610" s="45">
        <v>1.0684000000000001E-2</v>
      </c>
    </row>
    <row r="611" spans="1:11" x14ac:dyDescent="0.3">
      <c r="A611" s="171">
        <v>975</v>
      </c>
      <c r="B611" s="45">
        <v>1.8409999999999999E-2</v>
      </c>
      <c r="C611" s="45">
        <v>-4.7396000000000001E-3</v>
      </c>
      <c r="D611" s="45">
        <v>6.9652999999999998E-3</v>
      </c>
      <c r="E611" s="45">
        <v>4.7232000000000003E-3</v>
      </c>
      <c r="F611" s="45">
        <v>6.4700000000000001E-4</v>
      </c>
      <c r="G611" s="45">
        <v>5.6077999999999996E-3</v>
      </c>
      <c r="H611" s="45">
        <v>1.0015E-3</v>
      </c>
      <c r="I611" s="45">
        <v>6.2738000000000004E-3</v>
      </c>
      <c r="J611" s="45">
        <v>-9.7996000000000003E-3</v>
      </c>
      <c r="K611" s="45">
        <v>1.0645E-2</v>
      </c>
    </row>
    <row r="612" spans="1:11" x14ac:dyDescent="0.3">
      <c r="A612" s="171">
        <v>976</v>
      </c>
      <c r="B612" s="45">
        <v>1.8647E-2</v>
      </c>
      <c r="C612" s="45">
        <v>-4.9322000000000003E-3</v>
      </c>
      <c r="D612" s="45">
        <v>7.0634000000000001E-3</v>
      </c>
      <c r="E612" s="45">
        <v>4.6944999999999999E-3</v>
      </c>
      <c r="F612" s="45">
        <v>6.5780999999999999E-4</v>
      </c>
      <c r="G612" s="45">
        <v>5.5982999999999996E-3</v>
      </c>
      <c r="H612" s="45">
        <v>1.0137E-3</v>
      </c>
      <c r="I612" s="45">
        <v>6.2757000000000004E-3</v>
      </c>
      <c r="J612" s="45">
        <v>-9.8081999999999996E-3</v>
      </c>
      <c r="K612" s="45">
        <v>1.0605E-2</v>
      </c>
    </row>
    <row r="613" spans="1:11" x14ac:dyDescent="0.3">
      <c r="A613" s="171">
        <v>977</v>
      </c>
      <c r="B613" s="45">
        <v>1.8877000000000001E-2</v>
      </c>
      <c r="C613" s="45">
        <v>-5.1208E-3</v>
      </c>
      <c r="D613" s="45">
        <v>7.1586000000000002E-3</v>
      </c>
      <c r="E613" s="45">
        <v>4.6652000000000004E-3</v>
      </c>
      <c r="F613" s="45">
        <v>6.6859999999999999E-4</v>
      </c>
      <c r="G613" s="45">
        <v>5.5874000000000002E-3</v>
      </c>
      <c r="H613" s="45">
        <v>1.0257E-3</v>
      </c>
      <c r="I613" s="45">
        <v>6.2763000000000003E-3</v>
      </c>
      <c r="J613" s="45">
        <v>-9.8147000000000009E-3</v>
      </c>
      <c r="K613" s="45">
        <v>1.0564E-2</v>
      </c>
    </row>
    <row r="614" spans="1:11" x14ac:dyDescent="0.3">
      <c r="A614" s="171">
        <v>978</v>
      </c>
      <c r="B614" s="45">
        <v>1.9098E-2</v>
      </c>
      <c r="C614" s="45">
        <v>-5.3052999999999998E-3</v>
      </c>
      <c r="D614" s="45">
        <v>7.2509999999999996E-3</v>
      </c>
      <c r="E614" s="45">
        <v>4.6351999999999999E-3</v>
      </c>
      <c r="F614" s="45">
        <v>6.7931999999999997E-4</v>
      </c>
      <c r="G614" s="45">
        <v>5.5754999999999997E-3</v>
      </c>
      <c r="H614" s="45">
        <v>1.0372000000000001E-3</v>
      </c>
      <c r="I614" s="45">
        <v>6.2756000000000001E-3</v>
      </c>
      <c r="J614" s="45">
        <v>-9.8191000000000007E-3</v>
      </c>
      <c r="K614" s="45">
        <v>1.0522999999999999E-2</v>
      </c>
    </row>
    <row r="615" spans="1:11" x14ac:dyDescent="0.3">
      <c r="A615" s="171">
        <v>979</v>
      </c>
      <c r="B615" s="45">
        <v>1.9313E-2</v>
      </c>
      <c r="C615" s="45">
        <v>-5.4856000000000002E-3</v>
      </c>
      <c r="D615" s="45">
        <v>7.3404000000000004E-3</v>
      </c>
      <c r="E615" s="45">
        <v>4.6046000000000004E-3</v>
      </c>
      <c r="F615" s="45">
        <v>6.8995999999999999E-4</v>
      </c>
      <c r="G615" s="45">
        <v>5.5624000000000003E-3</v>
      </c>
      <c r="H615" s="45">
        <v>1.0485E-3</v>
      </c>
      <c r="I615" s="45">
        <v>6.2735999999999998E-3</v>
      </c>
      <c r="J615" s="45">
        <v>-9.8215000000000004E-3</v>
      </c>
      <c r="K615" s="45">
        <v>1.0481000000000001E-2</v>
      </c>
    </row>
    <row r="616" spans="1:11" x14ac:dyDescent="0.3">
      <c r="A616" s="171">
        <v>980</v>
      </c>
      <c r="B616" s="45">
        <v>1.9519000000000002E-2</v>
      </c>
      <c r="C616" s="45">
        <v>-5.6616000000000001E-3</v>
      </c>
      <c r="D616" s="45">
        <v>7.4269000000000002E-3</v>
      </c>
      <c r="E616" s="45">
        <v>4.5735999999999997E-3</v>
      </c>
      <c r="F616" s="45">
        <v>7.0047999999999996E-4</v>
      </c>
      <c r="G616" s="45">
        <v>5.5482999999999999E-3</v>
      </c>
      <c r="H616" s="45">
        <v>1.0594000000000001E-3</v>
      </c>
      <c r="I616" s="45">
        <v>6.2703999999999998E-3</v>
      </c>
      <c r="J616" s="45">
        <v>-9.8221000000000003E-3</v>
      </c>
      <c r="K616" s="45">
        <v>1.0437999999999999E-2</v>
      </c>
    </row>
    <row r="617" spans="1:11" x14ac:dyDescent="0.3">
      <c r="A617" s="171">
        <v>981</v>
      </c>
      <c r="B617" s="45">
        <v>1.9717999999999999E-2</v>
      </c>
      <c r="C617" s="45">
        <v>-5.8332000000000002E-3</v>
      </c>
      <c r="D617" s="45">
        <v>7.5104999999999998E-3</v>
      </c>
      <c r="E617" s="45">
        <v>4.5421000000000003E-3</v>
      </c>
      <c r="F617" s="45">
        <v>7.1084999999999996E-4</v>
      </c>
      <c r="G617" s="45">
        <v>5.5332999999999997E-3</v>
      </c>
      <c r="H617" s="45">
        <v>1.0698999999999999E-3</v>
      </c>
      <c r="I617" s="45">
        <v>6.2659999999999999E-3</v>
      </c>
      <c r="J617" s="45">
        <v>-9.8206999999999999E-3</v>
      </c>
      <c r="K617" s="45">
        <v>1.0394E-2</v>
      </c>
    </row>
    <row r="618" spans="1:11" x14ac:dyDescent="0.3">
      <c r="A618" s="171">
        <v>982</v>
      </c>
      <c r="B618" s="45">
        <v>1.9907999999999999E-2</v>
      </c>
      <c r="C618" s="45">
        <v>-6.0003000000000001E-3</v>
      </c>
      <c r="D618" s="45">
        <v>7.5909999999999997E-3</v>
      </c>
      <c r="E618" s="45">
        <v>4.5103000000000001E-3</v>
      </c>
      <c r="F618" s="45">
        <v>7.2104999999999999E-4</v>
      </c>
      <c r="G618" s="45">
        <v>5.5173000000000002E-3</v>
      </c>
      <c r="H618" s="45">
        <v>1.0801000000000001E-3</v>
      </c>
      <c r="I618" s="45">
        <v>6.2604000000000002E-3</v>
      </c>
      <c r="J618" s="45">
        <v>-9.8175999999999992E-3</v>
      </c>
      <c r="K618" s="45">
        <v>1.0349000000000001E-2</v>
      </c>
    </row>
    <row r="619" spans="1:11" x14ac:dyDescent="0.3">
      <c r="A619" s="171">
        <v>983</v>
      </c>
      <c r="B619" s="45">
        <v>2.0091999999999999E-2</v>
      </c>
      <c r="C619" s="45">
        <v>-6.1628000000000004E-3</v>
      </c>
      <c r="D619" s="45">
        <v>7.6686000000000002E-3</v>
      </c>
      <c r="E619" s="45">
        <v>4.4781999999999999E-3</v>
      </c>
      <c r="F619" s="45">
        <v>7.3105000000000002E-4</v>
      </c>
      <c r="G619" s="45">
        <v>5.5005999999999996E-3</v>
      </c>
      <c r="H619" s="45">
        <v>1.0899E-3</v>
      </c>
      <c r="I619" s="45">
        <v>6.2538000000000003E-3</v>
      </c>
      <c r="J619" s="45">
        <v>-9.8127000000000006E-3</v>
      </c>
      <c r="K619" s="45">
        <v>1.0304000000000001E-2</v>
      </c>
    </row>
    <row r="620" spans="1:11" x14ac:dyDescent="0.3">
      <c r="A620" s="171">
        <v>984</v>
      </c>
      <c r="B620" s="45">
        <v>2.0267E-2</v>
      </c>
      <c r="C620" s="45">
        <v>-6.3207000000000003E-3</v>
      </c>
      <c r="D620" s="45">
        <v>7.7431000000000002E-3</v>
      </c>
      <c r="E620" s="45">
        <v>4.4459E-3</v>
      </c>
      <c r="F620" s="45">
        <v>7.4083999999999999E-4</v>
      </c>
      <c r="G620" s="45">
        <v>5.483E-3</v>
      </c>
      <c r="H620" s="45">
        <v>1.0993000000000001E-3</v>
      </c>
      <c r="I620" s="45">
        <v>6.2461000000000001E-3</v>
      </c>
      <c r="J620" s="45">
        <v>-9.8060999999999999E-3</v>
      </c>
      <c r="K620" s="45">
        <v>1.0259000000000001E-2</v>
      </c>
    </row>
    <row r="621" spans="1:11" x14ac:dyDescent="0.3">
      <c r="A621" s="171">
        <v>985</v>
      </c>
      <c r="B621" s="45">
        <v>2.0434999999999998E-2</v>
      </c>
      <c r="C621" s="45">
        <v>-6.4739000000000003E-3</v>
      </c>
      <c r="D621" s="45">
        <v>7.8145999999999997E-3</v>
      </c>
      <c r="E621" s="45">
        <v>4.4133999999999996E-3</v>
      </c>
      <c r="F621" s="45">
        <v>7.5038000000000004E-4</v>
      </c>
      <c r="G621" s="45">
        <v>5.4647999999999997E-3</v>
      </c>
      <c r="H621" s="45">
        <v>1.1084000000000001E-3</v>
      </c>
      <c r="I621" s="45">
        <v>6.2373999999999997E-3</v>
      </c>
      <c r="J621" s="45">
        <v>-9.7978000000000006E-3</v>
      </c>
      <c r="K621" s="45">
        <v>1.0212000000000001E-2</v>
      </c>
    </row>
    <row r="622" spans="1:11" x14ac:dyDescent="0.3">
      <c r="A622" s="171">
        <v>986</v>
      </c>
      <c r="B622" s="45">
        <v>2.0594999999999999E-2</v>
      </c>
      <c r="C622" s="45">
        <v>-6.6223000000000002E-3</v>
      </c>
      <c r="D622" s="45">
        <v>7.8829999999999994E-3</v>
      </c>
      <c r="E622" s="45">
        <v>4.3807000000000004E-3</v>
      </c>
      <c r="F622" s="45">
        <v>7.5964999999999995E-4</v>
      </c>
      <c r="G622" s="45">
        <v>5.4457999999999998E-3</v>
      </c>
      <c r="H622" s="45">
        <v>1.1169999999999999E-3</v>
      </c>
      <c r="I622" s="45">
        <v>6.2278000000000003E-3</v>
      </c>
      <c r="J622" s="45">
        <v>-9.7879999999999998E-3</v>
      </c>
      <c r="K622" s="45">
        <v>1.0166E-2</v>
      </c>
    </row>
    <row r="623" spans="1:11" x14ac:dyDescent="0.3">
      <c r="A623" s="171">
        <v>987</v>
      </c>
      <c r="B623" s="45">
        <v>2.0747000000000002E-2</v>
      </c>
      <c r="C623" s="45">
        <v>-6.7660999999999997E-3</v>
      </c>
      <c r="D623" s="45">
        <v>7.9485000000000007E-3</v>
      </c>
      <c r="E623" s="45">
        <v>4.3479E-3</v>
      </c>
      <c r="F623" s="45">
        <v>7.6864999999999995E-4</v>
      </c>
      <c r="G623" s="45">
        <v>5.4263000000000002E-3</v>
      </c>
      <c r="H623" s="45">
        <v>1.1253000000000001E-3</v>
      </c>
      <c r="I623" s="45">
        <v>6.2172E-3</v>
      </c>
      <c r="J623" s="45">
        <v>-9.7765999999999999E-3</v>
      </c>
      <c r="K623" s="45">
        <v>1.0118E-2</v>
      </c>
    </row>
    <row r="624" spans="1:11" x14ac:dyDescent="0.3">
      <c r="A624" s="171">
        <v>988</v>
      </c>
      <c r="B624" s="45">
        <v>2.0892000000000001E-2</v>
      </c>
      <c r="C624" s="45">
        <v>-6.9049999999999997E-3</v>
      </c>
      <c r="D624" s="45">
        <v>8.0108000000000002E-3</v>
      </c>
      <c r="E624" s="45">
        <v>4.3150999999999997E-3</v>
      </c>
      <c r="F624" s="45">
        <v>7.7736000000000005E-4</v>
      </c>
      <c r="G624" s="45">
        <v>5.4061999999999999E-3</v>
      </c>
      <c r="H624" s="45">
        <v>1.1332E-3</v>
      </c>
      <c r="I624" s="45">
        <v>6.2056999999999998E-3</v>
      </c>
      <c r="J624" s="45">
        <v>-9.7636000000000008E-3</v>
      </c>
      <c r="K624" s="45">
        <v>1.0070000000000001E-2</v>
      </c>
    </row>
    <row r="625" spans="1:11" x14ac:dyDescent="0.3">
      <c r="A625" s="171">
        <v>989</v>
      </c>
      <c r="B625" s="45">
        <v>2.1028999999999999E-2</v>
      </c>
      <c r="C625" s="45">
        <v>-7.0391999999999998E-3</v>
      </c>
      <c r="D625" s="45">
        <v>8.0701999999999996E-3</v>
      </c>
      <c r="E625" s="45">
        <v>4.2823000000000002E-3</v>
      </c>
      <c r="F625" s="45">
        <v>7.8576000000000004E-4</v>
      </c>
      <c r="G625" s="45">
        <v>5.3854999999999997E-3</v>
      </c>
      <c r="H625" s="45">
        <v>1.1406000000000001E-3</v>
      </c>
      <c r="I625" s="45">
        <v>6.1932999999999997E-3</v>
      </c>
      <c r="J625" s="45">
        <v>-9.7491999999999995E-3</v>
      </c>
      <c r="K625" s="45">
        <v>1.0022E-2</v>
      </c>
    </row>
    <row r="626" spans="1:11" x14ac:dyDescent="0.3">
      <c r="A626" s="171">
        <v>990</v>
      </c>
      <c r="B626" s="45">
        <v>2.1159000000000001E-2</v>
      </c>
      <c r="C626" s="45">
        <v>-7.1687000000000001E-3</v>
      </c>
      <c r="D626" s="45">
        <v>8.1265999999999994E-3</v>
      </c>
      <c r="E626" s="45">
        <v>4.2494999999999998E-3</v>
      </c>
      <c r="F626" s="45">
        <v>7.9385000000000002E-4</v>
      </c>
      <c r="G626" s="45">
        <v>5.3642999999999998E-3</v>
      </c>
      <c r="H626" s="45">
        <v>1.1477E-3</v>
      </c>
      <c r="I626" s="45">
        <v>6.1801E-3</v>
      </c>
      <c r="J626" s="45">
        <v>-9.7333000000000003E-3</v>
      </c>
      <c r="K626" s="45">
        <v>9.9725999999999999E-3</v>
      </c>
    </row>
    <row r="627" spans="1:11" x14ac:dyDescent="0.3">
      <c r="A627" s="171">
        <v>991</v>
      </c>
      <c r="B627" s="45">
        <v>2.1281000000000001E-2</v>
      </c>
      <c r="C627" s="45">
        <v>-7.2934000000000002E-3</v>
      </c>
      <c r="D627" s="45">
        <v>8.1799999999999998E-3</v>
      </c>
      <c r="E627" s="45">
        <v>4.2167000000000003E-3</v>
      </c>
      <c r="F627" s="45">
        <v>8.0161999999999996E-4</v>
      </c>
      <c r="G627" s="45">
        <v>5.3426000000000003E-3</v>
      </c>
      <c r="H627" s="45">
        <v>1.1544000000000001E-3</v>
      </c>
      <c r="I627" s="45">
        <v>6.1660999999999999E-3</v>
      </c>
      <c r="J627" s="45">
        <v>-9.7161000000000001E-3</v>
      </c>
      <c r="K627" s="45">
        <v>9.9231000000000007E-3</v>
      </c>
    </row>
    <row r="628" spans="1:11" x14ac:dyDescent="0.3">
      <c r="A628" s="171">
        <v>992</v>
      </c>
      <c r="B628" s="45">
        <v>2.1395999999999998E-2</v>
      </c>
      <c r="C628" s="45">
        <v>-7.4135E-3</v>
      </c>
      <c r="D628" s="45">
        <v>8.2304000000000006E-3</v>
      </c>
      <c r="E628" s="45">
        <v>4.1838999999999999E-3</v>
      </c>
      <c r="F628" s="45">
        <v>8.0904999999999996E-4</v>
      </c>
      <c r="G628" s="45">
        <v>5.3204999999999997E-3</v>
      </c>
      <c r="H628" s="45">
        <v>1.1607E-3</v>
      </c>
      <c r="I628" s="45">
        <v>6.1513000000000002E-3</v>
      </c>
      <c r="J628" s="45">
        <v>-9.6974000000000001E-3</v>
      </c>
      <c r="K628" s="45">
        <v>9.8732000000000004E-3</v>
      </c>
    </row>
    <row r="629" spans="1:11" x14ac:dyDescent="0.3">
      <c r="A629" s="171">
        <v>993</v>
      </c>
      <c r="B629" s="45">
        <v>2.1503999999999999E-2</v>
      </c>
      <c r="C629" s="45">
        <v>-7.5288000000000004E-3</v>
      </c>
      <c r="D629" s="45">
        <v>8.2780000000000006E-3</v>
      </c>
      <c r="E629" s="45">
        <v>4.1513000000000001E-3</v>
      </c>
      <c r="F629" s="45">
        <v>8.1614000000000003E-4</v>
      </c>
      <c r="G629" s="45">
        <v>5.2979999999999998E-3</v>
      </c>
      <c r="H629" s="45">
        <v>1.1666999999999999E-3</v>
      </c>
      <c r="I629" s="45">
        <v>6.1357E-3</v>
      </c>
      <c r="J629" s="45">
        <v>-9.6775000000000003E-3</v>
      </c>
      <c r="K629" s="45">
        <v>9.8227999999999996E-3</v>
      </c>
    </row>
    <row r="630" spans="1:11" x14ac:dyDescent="0.3">
      <c r="A630" s="171">
        <v>994</v>
      </c>
      <c r="B630" s="45">
        <v>2.1604999999999999E-2</v>
      </c>
      <c r="C630" s="45">
        <v>-7.6394999999999996E-3</v>
      </c>
      <c r="D630" s="45">
        <v>8.3225999999999994E-3</v>
      </c>
      <c r="E630" s="45">
        <v>4.1187999999999997E-3</v>
      </c>
      <c r="F630" s="45">
        <v>8.2288999999999995E-4</v>
      </c>
      <c r="G630" s="45">
        <v>5.2750999999999996E-3</v>
      </c>
      <c r="H630" s="45">
        <v>1.1722E-3</v>
      </c>
      <c r="I630" s="45">
        <v>6.1193000000000003E-3</v>
      </c>
      <c r="J630" s="45">
        <v>-9.6562000000000002E-3</v>
      </c>
      <c r="K630" s="45">
        <v>9.7719999999999994E-3</v>
      </c>
    </row>
    <row r="631" spans="1:11" x14ac:dyDescent="0.3">
      <c r="A631" s="171">
        <v>995</v>
      </c>
      <c r="B631" s="45">
        <v>2.1699E-2</v>
      </c>
      <c r="C631" s="45">
        <v>-7.7456000000000001E-3</v>
      </c>
      <c r="D631" s="45">
        <v>8.3642999999999999E-3</v>
      </c>
      <c r="E631" s="45">
        <v>4.0863000000000002E-3</v>
      </c>
      <c r="F631" s="45">
        <v>8.2929E-4</v>
      </c>
      <c r="G631" s="45">
        <v>5.2518E-3</v>
      </c>
      <c r="H631" s="45">
        <v>1.1773E-3</v>
      </c>
      <c r="I631" s="45">
        <v>6.1022999999999997E-3</v>
      </c>
      <c r="J631" s="45">
        <v>-9.6337000000000002E-3</v>
      </c>
      <c r="K631" s="45">
        <v>9.7207999999999999E-3</v>
      </c>
    </row>
    <row r="632" spans="1:11" x14ac:dyDescent="0.3">
      <c r="A632" s="171">
        <v>996</v>
      </c>
      <c r="B632" s="45">
        <v>2.1786E-2</v>
      </c>
      <c r="C632" s="45">
        <v>-7.8470999999999992E-3</v>
      </c>
      <c r="D632" s="45">
        <v>8.4033000000000007E-3</v>
      </c>
      <c r="E632" s="45">
        <v>4.0540999999999997E-3</v>
      </c>
      <c r="F632" s="45">
        <v>8.3535E-4</v>
      </c>
      <c r="G632" s="45">
        <v>5.2281000000000003E-3</v>
      </c>
      <c r="H632" s="45">
        <v>1.1820999999999999E-3</v>
      </c>
      <c r="I632" s="45">
        <v>6.0844999999999996E-3</v>
      </c>
      <c r="J632" s="45">
        <v>-9.6100000000000005E-3</v>
      </c>
      <c r="K632" s="45">
        <v>9.6690999999999999E-3</v>
      </c>
    </row>
    <row r="633" spans="1:11" x14ac:dyDescent="0.3">
      <c r="A633" s="171">
        <v>997</v>
      </c>
      <c r="B633" s="45">
        <v>2.1866E-2</v>
      </c>
      <c r="C633" s="45">
        <v>-7.9441000000000008E-3</v>
      </c>
      <c r="D633" s="45">
        <v>8.4393999999999997E-3</v>
      </c>
      <c r="E633" s="45">
        <v>4.0219000000000001E-3</v>
      </c>
      <c r="F633" s="45">
        <v>8.4106000000000003E-4</v>
      </c>
      <c r="G633" s="45">
        <v>5.2040999999999997E-3</v>
      </c>
      <c r="H633" s="45">
        <v>1.1865000000000001E-3</v>
      </c>
      <c r="I633" s="45">
        <v>6.0660999999999996E-3</v>
      </c>
      <c r="J633" s="45">
        <v>-9.5850999999999992E-3</v>
      </c>
      <c r="K633" s="45">
        <v>9.6171E-3</v>
      </c>
    </row>
    <row r="634" spans="1:11" x14ac:dyDescent="0.3">
      <c r="A634" s="171">
        <v>998</v>
      </c>
      <c r="B634" s="45">
        <v>2.1939E-2</v>
      </c>
      <c r="C634" s="45">
        <v>-8.0367000000000008E-3</v>
      </c>
      <c r="D634" s="45">
        <v>8.4728000000000008E-3</v>
      </c>
      <c r="E634" s="45">
        <v>3.9899000000000002E-3</v>
      </c>
      <c r="F634" s="45">
        <v>8.4643000000000001E-4</v>
      </c>
      <c r="G634" s="45">
        <v>5.1798E-3</v>
      </c>
      <c r="H634" s="45">
        <v>1.1904999999999999E-3</v>
      </c>
      <c r="I634" s="45">
        <v>6.0470000000000003E-3</v>
      </c>
      <c r="J634" s="45">
        <v>-9.5589999999999998E-3</v>
      </c>
      <c r="K634" s="45">
        <v>9.5647000000000006E-3</v>
      </c>
    </row>
    <row r="635" spans="1:11" x14ac:dyDescent="0.3">
      <c r="A635" s="171">
        <v>999</v>
      </c>
      <c r="B635" s="45">
        <v>2.2006000000000001E-2</v>
      </c>
      <c r="C635" s="45">
        <v>-8.1248999999999991E-3</v>
      </c>
      <c r="D635" s="45">
        <v>8.5035000000000006E-3</v>
      </c>
      <c r="E635" s="45">
        <v>3.9581E-3</v>
      </c>
      <c r="F635" s="45">
        <v>8.5145999999999996E-4</v>
      </c>
      <c r="G635" s="45">
        <v>5.1552000000000004E-3</v>
      </c>
      <c r="H635" s="45">
        <v>1.1942000000000001E-3</v>
      </c>
      <c r="I635" s="45">
        <v>6.0273000000000002E-3</v>
      </c>
      <c r="J635" s="45">
        <v>-9.5317000000000006E-3</v>
      </c>
      <c r="K635" s="45">
        <v>9.5119999999999996E-3</v>
      </c>
    </row>
    <row r="636" spans="1:11" x14ac:dyDescent="0.3">
      <c r="A636" s="171">
        <v>1000</v>
      </c>
      <c r="B636" s="45">
        <v>2.2065999999999999E-2</v>
      </c>
      <c r="C636" s="45">
        <v>-8.2088000000000005E-3</v>
      </c>
      <c r="D636" s="45">
        <v>8.5316000000000003E-3</v>
      </c>
      <c r="E636" s="45">
        <v>3.9264E-3</v>
      </c>
      <c r="F636" s="45">
        <v>8.5616999999999996E-4</v>
      </c>
      <c r="G636" s="45">
        <v>5.1303E-3</v>
      </c>
      <c r="H636" s="45">
        <v>1.1975E-3</v>
      </c>
      <c r="I636" s="45">
        <v>6.0068999999999999E-3</v>
      </c>
      <c r="J636" s="45">
        <v>-9.5034000000000004E-3</v>
      </c>
      <c r="K636" s="45">
        <v>9.4588999999999993E-3</v>
      </c>
    </row>
  </sheetData>
  <customSheetViews>
    <customSheetView guid="{90ADABFE-445D-4DCD-B9A1-AF8CF7BB6FDB}" hiddenRows="1" topLeftCell="H13">
      <selection activeCell="Z26" sqref="Z26"/>
      <pageMargins left="0.7" right="0.7" top="0.75" bottom="0.75" header="0.3" footer="0.3"/>
      <pageSetup orientation="portrait" horizontalDpi="1200" verticalDpi="1200" r:id="rId1"/>
    </customSheetView>
  </customSheetViews>
  <mergeCells count="10">
    <mergeCell ref="A12:K12"/>
    <mergeCell ref="A3:K3"/>
    <mergeCell ref="A13:K13"/>
    <mergeCell ref="A4:K4"/>
    <mergeCell ref="U29:X43"/>
    <mergeCell ref="N12:X12"/>
    <mergeCell ref="N18:X18"/>
    <mergeCell ref="N28:X28"/>
    <mergeCell ref="N19:X21"/>
    <mergeCell ref="O13:X13"/>
  </mergeCells>
  <pageMargins left="0.7" right="0.7" top="0.75" bottom="0.75" header="0.3" footer="0.3"/>
  <pageSetup orientation="portrait" horizontalDpi="1200" verticalDpi="12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14"/>
  <sheetViews>
    <sheetView workbookViewId="0">
      <selection activeCell="E14" sqref="E14"/>
    </sheetView>
  </sheetViews>
  <sheetFormatPr defaultRowHeight="14.4" x14ac:dyDescent="0.3"/>
  <sheetData>
    <row r="1" spans="1:12" x14ac:dyDescent="0.3">
      <c r="A1" t="s">
        <v>92</v>
      </c>
      <c r="L1" s="18"/>
    </row>
    <row r="2" spans="1:12" x14ac:dyDescent="0.3">
      <c r="A2" s="191" t="str">
        <f>'INIT-File+Corr'!O14</f>
        <v>F1</v>
      </c>
      <c r="B2" s="191" t="str">
        <f>'INIT-File+Corr'!P14</f>
        <v>F2</v>
      </c>
      <c r="C2" s="191" t="str">
        <f>'INIT-File+Corr'!Q14</f>
        <v>F3</v>
      </c>
      <c r="D2" s="191" t="str">
        <f>'INIT-File+Corr'!R14</f>
        <v>F4</v>
      </c>
      <c r="E2" s="191" t="str">
        <f>'INIT-File+Corr'!S14</f>
        <v>F5</v>
      </c>
      <c r="F2" s="191" t="str">
        <f>'INIT-File+Corr'!T14</f>
        <v>F6</v>
      </c>
      <c r="G2" s="191" t="str">
        <f>'INIT-File+Corr'!U14</f>
        <v>F7</v>
      </c>
      <c r="H2" s="191" t="str">
        <f>'INIT-File+Corr'!V14</f>
        <v>F8</v>
      </c>
      <c r="I2" s="191" t="str">
        <f>'INIT-File+Corr'!W14</f>
        <v>Clear</v>
      </c>
      <c r="J2" s="191" t="str">
        <f>'INIT-File+Corr'!X14</f>
        <v>NIR</v>
      </c>
    </row>
    <row r="3" spans="1:12" x14ac:dyDescent="0.3">
      <c r="A3" s="191">
        <f>'INIT-File+Corr'!O15</f>
        <v>415</v>
      </c>
      <c r="B3" s="191">
        <f>'INIT-File+Corr'!P15</f>
        <v>445</v>
      </c>
      <c r="C3" s="191">
        <f>'INIT-File+Corr'!Q15</f>
        <v>480</v>
      </c>
      <c r="D3" s="191">
        <f>'INIT-File+Corr'!R15</f>
        <v>515</v>
      </c>
      <c r="E3" s="191">
        <f>'INIT-File+Corr'!S15</f>
        <v>555</v>
      </c>
      <c r="F3" s="191">
        <f>'INIT-File+Corr'!T15</f>
        <v>590</v>
      </c>
      <c r="G3" s="191">
        <f>'INIT-File+Corr'!U15</f>
        <v>630</v>
      </c>
      <c r="H3" s="191">
        <f>'INIT-File+Corr'!V15</f>
        <v>680</v>
      </c>
      <c r="I3" s="191">
        <f>'INIT-File+Corr'!W15</f>
        <v>750</v>
      </c>
      <c r="J3" s="191">
        <f>'INIT-File+Corr'!X15</f>
        <v>900</v>
      </c>
    </row>
    <row r="4" spans="1:12" x14ac:dyDescent="0.3">
      <c r="A4" s="13">
        <v>1074</v>
      </c>
      <c r="B4" s="13">
        <v>1910</v>
      </c>
      <c r="C4" s="13">
        <v>2749</v>
      </c>
      <c r="D4" s="13">
        <v>3156</v>
      </c>
      <c r="E4" s="13">
        <v>3378</v>
      </c>
      <c r="F4" s="13">
        <v>3304</v>
      </c>
      <c r="G4" s="13">
        <v>3852</v>
      </c>
      <c r="H4" s="13">
        <v>4193</v>
      </c>
      <c r="I4" s="13">
        <v>12407</v>
      </c>
      <c r="J4" s="13">
        <v>5032</v>
      </c>
    </row>
    <row r="5" spans="1:12" x14ac:dyDescent="0.3">
      <c r="A5" t="s">
        <v>89</v>
      </c>
    </row>
    <row r="6" spans="1:12" x14ac:dyDescent="0.3">
      <c r="A6" s="18" t="s">
        <v>103</v>
      </c>
    </row>
    <row r="8" spans="1:12" x14ac:dyDescent="0.3">
      <c r="A8" t="s">
        <v>90</v>
      </c>
      <c r="C8" s="157">
        <v>181.99799999999999</v>
      </c>
    </row>
    <row r="9" spans="1:12" x14ac:dyDescent="0.3">
      <c r="A9" t="s">
        <v>91</v>
      </c>
      <c r="C9">
        <v>512</v>
      </c>
    </row>
    <row r="11" spans="1:12" x14ac:dyDescent="0.3">
      <c r="A11" t="s">
        <v>88</v>
      </c>
    </row>
    <row r="12" spans="1:12" x14ac:dyDescent="0.3">
      <c r="A12" s="191" t="str">
        <f>A2</f>
        <v>F1</v>
      </c>
      <c r="B12" s="191" t="str">
        <f t="shared" ref="B12:J12" si="0">B2</f>
        <v>F2</v>
      </c>
      <c r="C12" s="191" t="str">
        <f t="shared" si="0"/>
        <v>F3</v>
      </c>
      <c r="D12" s="191" t="str">
        <f t="shared" si="0"/>
        <v>F4</v>
      </c>
      <c r="E12" s="191" t="str">
        <f t="shared" si="0"/>
        <v>F5</v>
      </c>
      <c r="F12" s="191" t="str">
        <f t="shared" si="0"/>
        <v>F6</v>
      </c>
      <c r="G12" s="191" t="str">
        <f t="shared" si="0"/>
        <v>F7</v>
      </c>
      <c r="H12" s="191" t="str">
        <f t="shared" si="0"/>
        <v>F8</v>
      </c>
      <c r="I12" s="191" t="str">
        <f t="shared" si="0"/>
        <v>Clear</v>
      </c>
      <c r="J12" s="191" t="str">
        <f t="shared" si="0"/>
        <v>NIR</v>
      </c>
    </row>
    <row r="13" spans="1:12" x14ac:dyDescent="0.3">
      <c r="A13" s="191">
        <f>A3</f>
        <v>415</v>
      </c>
      <c r="B13" s="191">
        <f t="shared" ref="B13:J13" si="1">B3</f>
        <v>445</v>
      </c>
      <c r="C13" s="191">
        <f t="shared" si="1"/>
        <v>480</v>
      </c>
      <c r="D13" s="191">
        <f t="shared" si="1"/>
        <v>515</v>
      </c>
      <c r="E13" s="191">
        <f t="shared" si="1"/>
        <v>555</v>
      </c>
      <c r="F13" s="191">
        <f t="shared" si="1"/>
        <v>590</v>
      </c>
      <c r="G13" s="191">
        <f t="shared" si="1"/>
        <v>630</v>
      </c>
      <c r="H13" s="191">
        <f t="shared" si="1"/>
        <v>680</v>
      </c>
      <c r="I13" s="191">
        <f t="shared" si="1"/>
        <v>750</v>
      </c>
      <c r="J13" s="191">
        <f t="shared" si="1"/>
        <v>900</v>
      </c>
    </row>
    <row r="14" spans="1:12" x14ac:dyDescent="0.3">
      <c r="A14" s="77">
        <f>IF(A4&lt;&gt;0,A4/($C$8*$C$9),0)</f>
        <v>1.1525710447367554E-2</v>
      </c>
      <c r="B14" s="77">
        <f t="shared" ref="B14:J14" si="2">IF(B4&lt;&gt;0,B4/($C$8*$C$9),0)</f>
        <v>2.04973062890801E-2</v>
      </c>
      <c r="C14" s="77">
        <f t="shared" si="2"/>
        <v>2.9501096852712669E-2</v>
      </c>
      <c r="D14" s="77">
        <f t="shared" si="2"/>
        <v>3.3868847459862197E-2</v>
      </c>
      <c r="E14" s="77">
        <f t="shared" si="2"/>
        <v>3.6251256881943757E-2</v>
      </c>
      <c r="F14" s="77">
        <f t="shared" si="2"/>
        <v>3.545712040791657E-2</v>
      </c>
      <c r="G14" s="77">
        <f t="shared" si="2"/>
        <v>4.1338022945307092E-2</v>
      </c>
      <c r="H14" s="77">
        <f t="shared" si="2"/>
        <v>4.4997489670216162E-2</v>
      </c>
      <c r="I14" s="77">
        <f t="shared" si="2"/>
        <v>0.13314663828723394</v>
      </c>
      <c r="J14" s="77">
        <f t="shared" si="2"/>
        <v>5.4001280233848724E-2</v>
      </c>
    </row>
  </sheetData>
  <customSheetViews>
    <customSheetView guid="{90ADABFE-445D-4DCD-B9A1-AF8CF7BB6FDB}" scale="110">
      <selection activeCell="A14" sqref="A14"/>
      <pageMargins left="0.7" right="0.7" top="0.75" bottom="0.75" header="0.3" footer="0.3"/>
    </customSheetView>
  </customSheetViews>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T724"/>
  <sheetViews>
    <sheetView topLeftCell="A4" workbookViewId="0">
      <selection activeCell="K11" sqref="K11"/>
    </sheetView>
  </sheetViews>
  <sheetFormatPr defaultRowHeight="14.4" x14ac:dyDescent="0.3"/>
  <cols>
    <col min="1" max="8" width="12.109375" customWidth="1"/>
    <col min="9" max="9" width="9.88671875" customWidth="1"/>
    <col min="10" max="10" width="9.109375" customWidth="1"/>
    <col min="11" max="11" width="12.33203125" customWidth="1"/>
    <col min="12" max="12" width="7" customWidth="1"/>
    <col min="13" max="13" width="5.6640625" customWidth="1"/>
    <col min="14" max="14" width="8.88671875" style="19"/>
    <col min="15" max="15" width="13.5546875" style="18" customWidth="1"/>
    <col min="16" max="16" width="13.5546875" customWidth="1"/>
    <col min="17" max="17" width="5.6640625" customWidth="1"/>
    <col min="18" max="18" width="8.88671875" style="3"/>
    <col min="19" max="19" width="11.33203125" style="7" customWidth="1"/>
    <col min="20" max="20" width="11" style="7" customWidth="1"/>
    <col min="21" max="21" width="11.88671875" style="7" customWidth="1"/>
    <col min="22" max="22" width="5.5546875" style="7" customWidth="1"/>
    <col min="24" max="24" width="14.6640625" customWidth="1"/>
    <col min="26" max="26" width="5.33203125" customWidth="1"/>
  </cols>
  <sheetData>
    <row r="1" spans="1:46" ht="15" thickBot="1" x14ac:dyDescent="0.35"/>
    <row r="2" spans="1:46" s="104" customFormat="1" ht="43.2" customHeight="1" thickBot="1" x14ac:dyDescent="0.35">
      <c r="A2" s="253" t="s">
        <v>58</v>
      </c>
      <c r="B2" s="254"/>
      <c r="C2" s="254"/>
      <c r="D2" s="254"/>
      <c r="E2" s="254"/>
      <c r="F2" s="254"/>
      <c r="G2" s="254"/>
      <c r="H2" s="255"/>
      <c r="J2" s="256" t="s">
        <v>59</v>
      </c>
      <c r="K2" s="257"/>
      <c r="L2" s="258"/>
      <c r="N2" s="256" t="s">
        <v>60</v>
      </c>
      <c r="O2" s="257"/>
      <c r="P2" s="257"/>
      <c r="Q2" s="259"/>
      <c r="R2" s="259"/>
      <c r="S2" s="259"/>
      <c r="T2" s="259"/>
      <c r="U2" s="259"/>
      <c r="V2" s="259"/>
      <c r="W2" s="259"/>
      <c r="X2" s="259"/>
      <c r="Y2" s="260"/>
    </row>
    <row r="3" spans="1:46" ht="15" thickBot="1" x14ac:dyDescent="0.35"/>
    <row r="4" spans="1:46" s="107" customFormat="1" ht="165.6" customHeight="1" thickBot="1" x14ac:dyDescent="0.35">
      <c r="A4" s="261" t="s">
        <v>111</v>
      </c>
      <c r="B4" s="262"/>
      <c r="C4" s="262"/>
      <c r="D4" s="262"/>
      <c r="E4" s="262"/>
      <c r="F4" s="262"/>
      <c r="G4" s="262"/>
      <c r="H4" s="263"/>
      <c r="I4" s="105"/>
      <c r="J4" s="261" t="s">
        <v>112</v>
      </c>
      <c r="K4" s="262"/>
      <c r="L4" s="263"/>
      <c r="M4" s="105"/>
      <c r="N4" s="261" t="s">
        <v>113</v>
      </c>
      <c r="O4" s="262"/>
      <c r="P4" s="263"/>
      <c r="Q4" s="105"/>
      <c r="R4" s="261" t="s">
        <v>114</v>
      </c>
      <c r="S4" s="262"/>
      <c r="T4" s="262"/>
      <c r="U4" s="263"/>
      <c r="V4" s="106"/>
      <c r="W4" s="261" t="s">
        <v>115</v>
      </c>
      <c r="X4" s="262"/>
      <c r="Y4" s="263"/>
    </row>
    <row r="5" spans="1:46" ht="15" customHeight="1" thickBot="1" x14ac:dyDescent="0.35">
      <c r="A5" s="50"/>
      <c r="B5" s="50"/>
      <c r="C5" s="50"/>
      <c r="D5" s="50"/>
      <c r="E5" s="50"/>
      <c r="F5" s="50"/>
      <c r="G5" s="50"/>
      <c r="H5" s="50"/>
      <c r="I5" s="13"/>
      <c r="J5" s="51"/>
      <c r="K5" s="51"/>
      <c r="L5" s="51"/>
      <c r="M5" s="13"/>
      <c r="N5" s="50"/>
      <c r="O5" s="50"/>
      <c r="P5" s="50"/>
      <c r="Q5" s="13"/>
      <c r="R5" s="50"/>
      <c r="S5" s="50"/>
      <c r="T5" s="50"/>
      <c r="U5" s="50"/>
      <c r="W5" s="51"/>
      <c r="X5" s="51"/>
      <c r="Y5" s="51"/>
    </row>
    <row r="6" spans="1:46" ht="30.75" customHeight="1" thickBot="1" x14ac:dyDescent="0.35">
      <c r="B6" s="240" t="s">
        <v>61</v>
      </c>
      <c r="C6" s="241"/>
      <c r="D6" s="241"/>
      <c r="E6" s="241"/>
      <c r="F6" s="242"/>
      <c r="G6" s="243"/>
      <c r="J6" s="202" t="s">
        <v>36</v>
      </c>
      <c r="K6" s="203"/>
      <c r="L6" s="204"/>
      <c r="N6" s="202" t="s">
        <v>44</v>
      </c>
      <c r="O6" s="203"/>
      <c r="P6" s="204"/>
      <c r="R6" s="202" t="s">
        <v>44</v>
      </c>
      <c r="S6" s="203"/>
      <c r="T6" s="203"/>
      <c r="U6" s="204"/>
      <c r="W6" s="202" t="s">
        <v>35</v>
      </c>
      <c r="X6" s="203"/>
      <c r="Y6" s="204"/>
    </row>
    <row r="7" spans="1:46" ht="15" thickBot="1" x14ac:dyDescent="0.35">
      <c r="G7" s="13"/>
      <c r="H7" s="13"/>
      <c r="I7" s="13"/>
      <c r="J7" s="13"/>
      <c r="K7" s="13"/>
      <c r="L7" s="13"/>
      <c r="M7" s="13"/>
      <c r="N7" s="13"/>
      <c r="O7" s="13"/>
      <c r="P7" s="13"/>
      <c r="Q7" s="13"/>
      <c r="R7" s="13"/>
    </row>
    <row r="8" spans="1:46" ht="30.6" customHeight="1" thickBot="1" x14ac:dyDescent="0.35">
      <c r="A8" s="264" t="s">
        <v>85</v>
      </c>
      <c r="B8" s="265"/>
      <c r="C8" s="265"/>
      <c r="D8" s="265"/>
      <c r="E8" s="265"/>
      <c r="F8" s="265"/>
      <c r="G8" s="265"/>
      <c r="H8" s="266"/>
      <c r="J8" s="247" t="s">
        <v>42</v>
      </c>
      <c r="K8" s="248"/>
      <c r="L8" s="249"/>
      <c r="N8" s="244" t="s">
        <v>84</v>
      </c>
      <c r="O8" s="245"/>
      <c r="P8" s="246"/>
      <c r="R8" s="250" t="s">
        <v>83</v>
      </c>
      <c r="S8" s="251"/>
      <c r="T8" s="251"/>
      <c r="U8" s="252"/>
      <c r="W8" s="244" t="s">
        <v>41</v>
      </c>
      <c r="X8" s="245"/>
      <c r="Y8" s="246"/>
      <c r="AA8" s="237" t="s">
        <v>33</v>
      </c>
      <c r="AB8" s="237"/>
      <c r="AC8" s="237"/>
      <c r="AD8" s="237"/>
      <c r="AE8" s="237"/>
      <c r="AF8" s="237"/>
      <c r="AG8" s="237"/>
      <c r="AH8" s="237"/>
      <c r="AI8" s="237"/>
      <c r="AJ8" s="237"/>
      <c r="AK8" s="237"/>
      <c r="AL8" s="237"/>
      <c r="AM8" s="237"/>
      <c r="AN8" s="237"/>
      <c r="AO8" s="237"/>
      <c r="AP8" s="237"/>
      <c r="AQ8" s="237"/>
      <c r="AR8" s="237"/>
      <c r="AS8" s="237"/>
      <c r="AT8" s="237"/>
    </row>
    <row r="9" spans="1:46" s="1" customFormat="1" ht="43.8" thickBot="1" x14ac:dyDescent="0.35">
      <c r="A9" s="59" t="s">
        <v>40</v>
      </c>
      <c r="B9" s="59" t="s">
        <v>45</v>
      </c>
      <c r="C9" s="59" t="s">
        <v>62</v>
      </c>
      <c r="D9" s="59" t="s">
        <v>94</v>
      </c>
      <c r="E9" s="59" t="s">
        <v>53</v>
      </c>
      <c r="F9" s="59" t="s">
        <v>95</v>
      </c>
      <c r="G9" s="59" t="s">
        <v>75</v>
      </c>
      <c r="H9" s="59" t="s">
        <v>86</v>
      </c>
      <c r="I9" s="20"/>
      <c r="J9" s="35"/>
      <c r="K9" s="36"/>
      <c r="L9" s="37"/>
      <c r="M9" s="20"/>
      <c r="N9" s="54" t="s">
        <v>20</v>
      </c>
      <c r="O9" s="55" t="s">
        <v>43</v>
      </c>
      <c r="P9" s="54" t="s">
        <v>51</v>
      </c>
      <c r="Q9" s="20"/>
      <c r="R9" s="44" t="s">
        <v>20</v>
      </c>
      <c r="S9" s="60" t="s">
        <v>23</v>
      </c>
      <c r="T9" s="60" t="s">
        <v>24</v>
      </c>
      <c r="U9" s="60" t="s">
        <v>25</v>
      </c>
      <c r="V9" s="21"/>
      <c r="W9" s="25"/>
      <c r="X9" s="26"/>
      <c r="Y9" s="27"/>
      <c r="AA9" s="239" t="s">
        <v>46</v>
      </c>
      <c r="AB9" s="239"/>
      <c r="AC9" s="239"/>
      <c r="AD9" s="239"/>
      <c r="AE9" s="239"/>
      <c r="AF9" s="239"/>
      <c r="AG9" s="239"/>
      <c r="AH9" s="239"/>
      <c r="AI9" s="239"/>
      <c r="AJ9" s="239"/>
      <c r="AK9" s="239"/>
      <c r="AL9" s="239"/>
      <c r="AM9" s="239"/>
      <c r="AN9" s="239"/>
      <c r="AO9" s="239"/>
      <c r="AP9" s="239"/>
      <c r="AQ9" s="239"/>
      <c r="AR9" s="239"/>
      <c r="AS9" s="239"/>
      <c r="AT9" s="239"/>
    </row>
    <row r="10" spans="1:46" x14ac:dyDescent="0.3">
      <c r="A10" s="56" t="str">
        <f t="array" ref="A10:A19">TRANSPOSE('INIT-File+Corr'!O14:X14)</f>
        <v>F1</v>
      </c>
      <c r="B10" s="56">
        <f t="array" ref="B10:B19">TRANSPOSE('INIT-File+Corr'!O15:X15)</f>
        <v>415</v>
      </c>
      <c r="C10" s="163">
        <f t="array" ref="C10:C19">TRANSPOSE(Basic_Counts!A14:J14)</f>
        <v>1.1525710447367554E-2</v>
      </c>
      <c r="D10" s="163">
        <f>HLOOKUP(Basic_Counts!$C$9,'INIT-File+Corr'!$N$4:$X$5,2,FALSE)*C10</f>
        <v>1.1057181599639414E-2</v>
      </c>
      <c r="E10" s="84">
        <f t="array" ref="E10:E19">TRANSPOSE('INIT-File+Corr'!O26:X26)</f>
        <v>1</v>
      </c>
      <c r="F10" s="84">
        <f t="array" ref="F10:F19">TRANSPOSE('INIT-File+Corr'!O16:X16)</f>
        <v>0</v>
      </c>
      <c r="G10" s="161" t="str">
        <f>IF($G$20="ON",'INIT-File+Corr'!S30,"")</f>
        <v/>
      </c>
      <c r="H10" s="160">
        <f>IF($G$20="On",G10*E10-F10,D10*E10-F10)</f>
        <v>1.1057181599639414E-2</v>
      </c>
      <c r="I10" s="17"/>
      <c r="J10" s="38" t="str">
        <f t="shared" ref="J10:J15" si="0">W10</f>
        <v>X</v>
      </c>
      <c r="K10" s="162">
        <f t="array" ref="K10:K12">MMULT('INIT-File+Corr'!B7:K9,H10:H19)</f>
        <v>0.13498334043408297</v>
      </c>
      <c r="L10" s="37"/>
      <c r="M10" s="17"/>
      <c r="N10" s="52">
        <v>380</v>
      </c>
      <c r="O10" s="53">
        <f t="array" ref="O10:O630">MMULT('INIT-File+Corr'!B16:K636,'Demonstration Calculations'!H10:H19)</f>
        <v>8.4948722052117869E-4</v>
      </c>
      <c r="P10" s="49">
        <f t="shared" ref="P10:P73" si="1">O10/MAX($O$10:$O$630)</f>
        <v>0.48152542152758848</v>
      </c>
      <c r="Q10" s="17"/>
      <c r="R10" s="57">
        <f t="shared" ref="R10:R73" si="2">N10</f>
        <v>380</v>
      </c>
      <c r="S10" s="58">
        <f>O10*'used Standard Values'!B5</f>
        <v>1.1620985176729724E-6</v>
      </c>
      <c r="T10" s="58">
        <f>O10*'used Standard Values'!C5</f>
        <v>3.3130001600325969E-8</v>
      </c>
      <c r="U10" s="58">
        <f>O10*'used Standard Values'!D5</f>
        <v>5.4791934218488233E-6</v>
      </c>
      <c r="W10" s="28" t="s">
        <v>23</v>
      </c>
      <c r="X10" s="139">
        <f>S412</f>
        <v>0.13598123789173569</v>
      </c>
      <c r="Y10" s="27"/>
      <c r="AA10" s="239" t="s">
        <v>116</v>
      </c>
      <c r="AB10" s="239"/>
      <c r="AC10" s="239"/>
      <c r="AD10" s="239"/>
      <c r="AE10" s="239"/>
      <c r="AF10" s="239"/>
      <c r="AG10" s="239"/>
      <c r="AH10" s="239"/>
      <c r="AI10" s="239"/>
      <c r="AJ10" s="239"/>
      <c r="AK10" s="239"/>
      <c r="AL10" s="239"/>
      <c r="AM10" s="239"/>
      <c r="AN10" s="239"/>
      <c r="AO10" s="239"/>
      <c r="AP10" s="239"/>
      <c r="AQ10" s="239"/>
      <c r="AR10" s="239"/>
      <c r="AS10" s="239"/>
      <c r="AT10" s="239"/>
    </row>
    <row r="11" spans="1:46" x14ac:dyDescent="0.3">
      <c r="A11" s="43" t="str">
        <v>F2</v>
      </c>
      <c r="B11" s="43">
        <v>445</v>
      </c>
      <c r="C11" s="163">
        <v>2.04973062890801E-2</v>
      </c>
      <c r="D11" s="163">
        <f>HLOOKUP(Basic_Counts!$C$9,'INIT-File+Corr'!$N$4:$X$5,2,FALSE)*C11</f>
        <v>1.9664075284274933E-2</v>
      </c>
      <c r="E11" s="84">
        <v>1</v>
      </c>
      <c r="F11" s="84">
        <v>0</v>
      </c>
      <c r="G11" s="161" t="str">
        <f>IF($G$20="ON",'INIT-File+Corr'!S31,"")</f>
        <v/>
      </c>
      <c r="H11" s="160">
        <f t="shared" ref="H11:H19" si="3">IF($G$20="On",G11*E11-F11,D11*E11-F11)</f>
        <v>1.9664075284274933E-2</v>
      </c>
      <c r="I11" s="17"/>
      <c r="J11" s="38" t="str">
        <f t="shared" si="0"/>
        <v>Y</v>
      </c>
      <c r="K11" s="162">
        <v>0.14593972098787494</v>
      </c>
      <c r="L11" s="37"/>
      <c r="M11" s="17"/>
      <c r="N11" s="52">
        <v>381</v>
      </c>
      <c r="O11" s="53">
        <v>8.5817619915982675E-4</v>
      </c>
      <c r="P11" s="49">
        <f t="shared" si="1"/>
        <v>0.48645070351011466</v>
      </c>
      <c r="Q11" s="17"/>
      <c r="R11" s="46">
        <f t="shared" si="2"/>
        <v>381</v>
      </c>
      <c r="S11" s="45">
        <f>O11*'used Standard Values'!B6</f>
        <v>1.2890235599480178E-6</v>
      </c>
      <c r="T11" s="45">
        <f>O11*'used Standard Values'!C6</f>
        <v>3.6752597175698402E-8</v>
      </c>
      <c r="U11" s="45">
        <f>O11*'used Standard Values'!D6</f>
        <v>6.0786473847080709E-6</v>
      </c>
      <c r="W11" s="29" t="s">
        <v>24</v>
      </c>
      <c r="X11" s="140">
        <f>T412</f>
        <v>0.14677515889781531</v>
      </c>
      <c r="Y11" s="30"/>
      <c r="AA11" s="238" t="s">
        <v>117</v>
      </c>
      <c r="AB11" s="238"/>
      <c r="AC11" s="238"/>
      <c r="AD11" s="238"/>
      <c r="AE11" s="238"/>
      <c r="AF11" s="238"/>
      <c r="AG11" s="238"/>
      <c r="AH11" s="238"/>
      <c r="AI11" s="238"/>
      <c r="AJ11" s="238"/>
      <c r="AK11" s="238"/>
      <c r="AL11" s="238"/>
      <c r="AM11" s="238"/>
      <c r="AN11" s="238"/>
      <c r="AO11" s="238"/>
      <c r="AP11" s="238"/>
      <c r="AQ11" s="238"/>
      <c r="AR11" s="238"/>
      <c r="AS11" s="238"/>
      <c r="AT11" s="238"/>
    </row>
    <row r="12" spans="1:46" x14ac:dyDescent="0.3">
      <c r="A12" s="43" t="str">
        <v>F3</v>
      </c>
      <c r="B12" s="43">
        <v>480</v>
      </c>
      <c r="C12" s="163">
        <v>2.9501096852712669E-2</v>
      </c>
      <c r="D12" s="163">
        <f>HLOOKUP(Basic_Counts!$C$9,'INIT-File+Corr'!$N$4:$X$5,2,FALSE)*C12</f>
        <v>2.8301854951032355E-2</v>
      </c>
      <c r="E12" s="84">
        <v>1</v>
      </c>
      <c r="F12" s="84">
        <v>0</v>
      </c>
      <c r="G12" s="161" t="str">
        <f>IF($G$20="ON",'INIT-File+Corr'!S32,"")</f>
        <v/>
      </c>
      <c r="H12" s="160">
        <f t="shared" si="3"/>
        <v>2.8301854951032355E-2</v>
      </c>
      <c r="I12" s="17"/>
      <c r="J12" s="38" t="str">
        <f t="shared" si="0"/>
        <v>Z</v>
      </c>
      <c r="K12" s="162">
        <v>0.17119371871535694</v>
      </c>
      <c r="L12" s="37"/>
      <c r="M12" s="17"/>
      <c r="N12" s="52">
        <v>382</v>
      </c>
      <c r="O12" s="53">
        <v>8.6681721310367835E-4</v>
      </c>
      <c r="P12" s="49">
        <f t="shared" si="1"/>
        <v>0.49134879706729157</v>
      </c>
      <c r="Q12" s="17"/>
      <c r="R12" s="46">
        <f t="shared" si="2"/>
        <v>382</v>
      </c>
      <c r="S12" s="45">
        <f>O12*'used Standard Values'!B7</f>
        <v>1.4235981799621378E-6</v>
      </c>
      <c r="T12" s="45">
        <f>O12*'used Standard Values'!C7</f>
        <v>4.066638282587383E-8</v>
      </c>
      <c r="U12" s="45">
        <f>O12*'used Standard Values'!D7</f>
        <v>6.7139223222879832E-6</v>
      </c>
      <c r="W12" s="29" t="s">
        <v>25</v>
      </c>
      <c r="X12" s="140">
        <f>U412</f>
        <v>0.17376561591557815</v>
      </c>
      <c r="Y12" s="30"/>
      <c r="AA12" s="238" t="s">
        <v>47</v>
      </c>
      <c r="AB12" s="238"/>
      <c r="AC12" s="238"/>
      <c r="AD12" s="238"/>
      <c r="AE12" s="238"/>
      <c r="AF12" s="238"/>
      <c r="AG12" s="238"/>
      <c r="AH12" s="238"/>
      <c r="AI12" s="238"/>
      <c r="AJ12" s="238"/>
      <c r="AK12" s="238"/>
      <c r="AL12" s="238"/>
      <c r="AM12" s="238"/>
      <c r="AN12" s="238"/>
      <c r="AO12" s="238"/>
      <c r="AP12" s="238"/>
      <c r="AQ12" s="238"/>
      <c r="AR12" s="238"/>
      <c r="AS12" s="238"/>
      <c r="AT12" s="238"/>
    </row>
    <row r="13" spans="1:46" x14ac:dyDescent="0.3">
      <c r="A13" s="43" t="str">
        <v>F4</v>
      </c>
      <c r="B13" s="43">
        <v>515</v>
      </c>
      <c r="C13" s="163">
        <v>3.3868847459862197E-2</v>
      </c>
      <c r="D13" s="163">
        <f>HLOOKUP(Basic_Counts!$C$9,'INIT-File+Corr'!$N$4:$X$5,2,FALSE)*C13</f>
        <v>3.2492053192236491E-2</v>
      </c>
      <c r="E13" s="84">
        <v>1</v>
      </c>
      <c r="F13" s="84">
        <v>0</v>
      </c>
      <c r="G13" s="161" t="str">
        <f>IF($G$20="ON",'INIT-File+Corr'!S33,"")</f>
        <v/>
      </c>
      <c r="H13" s="160">
        <f t="shared" si="3"/>
        <v>3.2492053192236491E-2</v>
      </c>
      <c r="I13" s="17"/>
      <c r="J13" s="38" t="str">
        <f t="shared" si="0"/>
        <v>x</v>
      </c>
      <c r="K13" s="134">
        <f>K10/SUM($K$10:$K$12)</f>
        <v>0.29855857239602224</v>
      </c>
      <c r="L13" s="37"/>
      <c r="M13" s="17"/>
      <c r="N13" s="52">
        <v>383</v>
      </c>
      <c r="O13" s="53">
        <v>8.7555874269660769E-4</v>
      </c>
      <c r="P13" s="49">
        <f t="shared" si="1"/>
        <v>0.49630386716175245</v>
      </c>
      <c r="Q13" s="17"/>
      <c r="R13" s="46">
        <f t="shared" si="2"/>
        <v>383</v>
      </c>
      <c r="S13" s="45">
        <f>O13*'used Standard Values'!B8</f>
        <v>1.5780913177789971E-6</v>
      </c>
      <c r="T13" s="45">
        <f>O13*'used Standard Values'!C8</f>
        <v>4.5169725312220912E-8</v>
      </c>
      <c r="U13" s="45">
        <f>O13*'used Standard Values'!D8</f>
        <v>7.4432579565927519E-6</v>
      </c>
      <c r="W13" s="29" t="s">
        <v>27</v>
      </c>
      <c r="X13" s="140">
        <f>X10/SUM($X$10:$X$12)</f>
        <v>0.29786348545599478</v>
      </c>
      <c r="Y13" s="30"/>
      <c r="AA13" s="238" t="s">
        <v>52</v>
      </c>
      <c r="AB13" s="238"/>
      <c r="AC13" s="238"/>
      <c r="AD13" s="238"/>
      <c r="AE13" s="238"/>
      <c r="AF13" s="238"/>
      <c r="AG13" s="238"/>
      <c r="AH13" s="238"/>
      <c r="AI13" s="238"/>
      <c r="AJ13" s="238"/>
      <c r="AK13" s="238"/>
      <c r="AL13" s="238"/>
      <c r="AM13" s="238"/>
      <c r="AN13" s="238"/>
      <c r="AO13" s="238"/>
      <c r="AP13" s="238"/>
      <c r="AQ13" s="238"/>
      <c r="AR13" s="238"/>
      <c r="AS13" s="238"/>
      <c r="AT13" s="238"/>
    </row>
    <row r="14" spans="1:46" x14ac:dyDescent="0.3">
      <c r="A14" s="43" t="str">
        <v>F5</v>
      </c>
      <c r="B14" s="43">
        <v>555</v>
      </c>
      <c r="C14" s="163">
        <v>3.6251256881943757E-2</v>
      </c>
      <c r="D14" s="163">
        <f>HLOOKUP(Basic_Counts!$C$9,'INIT-File+Corr'!$N$4:$X$5,2,FALSE)*C14</f>
        <v>3.4777615869256921E-2</v>
      </c>
      <c r="E14" s="84">
        <v>1</v>
      </c>
      <c r="F14" s="84">
        <v>0</v>
      </c>
      <c r="G14" s="161" t="str">
        <f>IF($G$20="ON",'INIT-File+Corr'!S34,"")</f>
        <v/>
      </c>
      <c r="H14" s="160">
        <f t="shared" si="3"/>
        <v>3.4777615869256921E-2</v>
      </c>
      <c r="I14" s="17"/>
      <c r="J14" s="38" t="str">
        <f t="shared" si="0"/>
        <v>y</v>
      </c>
      <c r="K14" s="134">
        <f>K11/SUM($K$10:$K$12)</f>
        <v>0.32279209133434683</v>
      </c>
      <c r="L14" s="37"/>
      <c r="M14" s="17"/>
      <c r="N14" s="52">
        <v>384</v>
      </c>
      <c r="O14" s="53">
        <v>8.8439395245895809E-4</v>
      </c>
      <c r="P14" s="49">
        <f t="shared" si="1"/>
        <v>0.50131203915342792</v>
      </c>
      <c r="Q14" s="17"/>
      <c r="R14" s="46">
        <f t="shared" si="2"/>
        <v>384</v>
      </c>
      <c r="S14" s="45">
        <f>O14*'used Standard Values'!B9</f>
        <v>1.7650354213776328E-6</v>
      </c>
      <c r="T14" s="45">
        <f>O14*'used Standard Values'!C9</f>
        <v>5.0566462383374371E-8</v>
      </c>
      <c r="U14" s="45">
        <f>O14*'used Standard Values'!D9</f>
        <v>8.3261657787587689E-6</v>
      </c>
      <c r="W14" s="29" t="s">
        <v>28</v>
      </c>
      <c r="X14" s="140">
        <f>X11/SUM($X$10:$X$12)</f>
        <v>0.32150729825292879</v>
      </c>
      <c r="Y14" s="30"/>
      <c r="AA14" s="238" t="s">
        <v>48</v>
      </c>
      <c r="AB14" s="238"/>
      <c r="AC14" s="238"/>
      <c r="AD14" s="238"/>
      <c r="AE14" s="238"/>
      <c r="AF14" s="238"/>
      <c r="AG14" s="238"/>
      <c r="AH14" s="238"/>
      <c r="AI14" s="238"/>
      <c r="AJ14" s="238"/>
      <c r="AK14" s="238"/>
      <c r="AL14" s="238"/>
      <c r="AM14" s="238"/>
      <c r="AN14" s="238"/>
      <c r="AO14" s="238"/>
      <c r="AP14" s="238"/>
      <c r="AQ14" s="238"/>
      <c r="AR14" s="238"/>
      <c r="AS14" s="238"/>
      <c r="AT14" s="238"/>
    </row>
    <row r="15" spans="1:46" x14ac:dyDescent="0.3">
      <c r="A15" s="43" t="str">
        <v>F6</v>
      </c>
      <c r="B15" s="43">
        <v>590</v>
      </c>
      <c r="C15" s="163">
        <v>3.545712040791657E-2</v>
      </c>
      <c r="D15" s="163">
        <f>HLOOKUP(Basic_Counts!$C$9,'INIT-File+Corr'!$N$4:$X$5,2,FALSE)*C15</f>
        <v>3.4015761643583442E-2</v>
      </c>
      <c r="E15" s="84">
        <v>1</v>
      </c>
      <c r="F15" s="84">
        <v>0</v>
      </c>
      <c r="G15" s="161" t="str">
        <f>IF($G$20="ON",'INIT-File+Corr'!S35,"")</f>
        <v/>
      </c>
      <c r="H15" s="160">
        <f t="shared" si="3"/>
        <v>3.4015761643583442E-2</v>
      </c>
      <c r="I15" s="17"/>
      <c r="J15" s="38" t="str">
        <f t="shared" si="0"/>
        <v>z</v>
      </c>
      <c r="K15" s="134">
        <f>K12/SUM($K$10:$K$12)</f>
        <v>0.37864933626963099</v>
      </c>
      <c r="L15" s="37"/>
      <c r="M15" s="17"/>
      <c r="N15" s="52">
        <v>385</v>
      </c>
      <c r="O15" s="53">
        <v>8.9330482124378645E-4</v>
      </c>
      <c r="P15" s="49">
        <f t="shared" si="1"/>
        <v>0.50636309789114387</v>
      </c>
      <c r="Q15" s="17"/>
      <c r="R15" s="46">
        <f t="shared" si="2"/>
        <v>385</v>
      </c>
      <c r="S15" s="45">
        <f>O15*'used Standard Values'!B10</f>
        <v>1.9974295803011065E-6</v>
      </c>
      <c r="T15" s="45">
        <f>O15*'used Standard Values'!C10</f>
        <v>5.7171508559602328E-8</v>
      </c>
      <c r="U15" s="45">
        <f>O15*'used Standard Values'!D10</f>
        <v>9.4243569310737356E-6</v>
      </c>
      <c r="W15" s="29" t="s">
        <v>29</v>
      </c>
      <c r="X15" s="140">
        <f>X12/SUM($X$10:$X$12)</f>
        <v>0.38062921629107643</v>
      </c>
      <c r="Y15" s="30"/>
      <c r="AA15" s="239" t="s">
        <v>49</v>
      </c>
      <c r="AB15" s="239"/>
      <c r="AC15" s="239"/>
      <c r="AD15" s="239"/>
      <c r="AE15" s="239"/>
      <c r="AF15" s="239"/>
      <c r="AG15" s="239"/>
      <c r="AH15" s="239"/>
      <c r="AI15" s="239"/>
      <c r="AJ15" s="239"/>
      <c r="AK15" s="239"/>
      <c r="AL15" s="239"/>
      <c r="AM15" s="239"/>
      <c r="AN15" s="239"/>
      <c r="AO15" s="239"/>
      <c r="AP15" s="239"/>
      <c r="AQ15" s="239"/>
      <c r="AR15" s="239"/>
      <c r="AS15" s="239"/>
      <c r="AT15" s="239"/>
    </row>
    <row r="16" spans="1:46" x14ac:dyDescent="0.3">
      <c r="A16" s="43" t="str">
        <v>F7</v>
      </c>
      <c r="B16" s="43">
        <v>630</v>
      </c>
      <c r="C16" s="163">
        <v>4.1338022945307092E-2</v>
      </c>
      <c r="D16" s="163">
        <f>HLOOKUP(Basic_Counts!$C$9,'INIT-File+Corr'!$N$4:$X$5,2,FALSE)*C16</f>
        <v>3.965760104451678E-2</v>
      </c>
      <c r="E16" s="84">
        <v>1</v>
      </c>
      <c r="F16" s="84">
        <v>0</v>
      </c>
      <c r="G16" s="161" t="str">
        <f>IF($G$20="ON",'INIT-File+Corr'!S36,"")</f>
        <v/>
      </c>
      <c r="H16" s="160">
        <f t="shared" si="3"/>
        <v>3.965760104451678E-2</v>
      </c>
      <c r="I16" s="17"/>
      <c r="J16" s="38"/>
      <c r="K16" s="136"/>
      <c r="L16" s="39"/>
      <c r="M16" s="17"/>
      <c r="N16" s="52">
        <v>386</v>
      </c>
      <c r="O16" s="53">
        <v>9.0231695435389909E-4</v>
      </c>
      <c r="P16" s="49">
        <f t="shared" si="1"/>
        <v>0.51147155754760265</v>
      </c>
      <c r="Q16" s="17"/>
      <c r="R16" s="46">
        <f t="shared" si="2"/>
        <v>386</v>
      </c>
      <c r="S16" s="45">
        <f>O16*'used Standard Values'!B11</f>
        <v>2.2877208713145602E-6</v>
      </c>
      <c r="T16" s="45">
        <f>O16*'used Standard Values'!C11</f>
        <v>6.5277407232338891E-8</v>
      </c>
      <c r="U16" s="45">
        <f>O16*'used Standard Values'!D11</f>
        <v>1.0796944212407886E-5</v>
      </c>
      <c r="W16" s="32"/>
      <c r="X16" s="142"/>
      <c r="Y16" s="30"/>
      <c r="Z16" s="18"/>
      <c r="AA16" s="238"/>
      <c r="AB16" s="238"/>
      <c r="AC16" s="238"/>
      <c r="AD16" s="238"/>
      <c r="AE16" s="238"/>
      <c r="AF16" s="238"/>
      <c r="AG16" s="238"/>
      <c r="AH16" s="238"/>
      <c r="AI16" s="238"/>
      <c r="AJ16" s="238"/>
      <c r="AK16" s="238"/>
      <c r="AL16" s="238"/>
      <c r="AM16" s="238"/>
      <c r="AN16" s="238"/>
      <c r="AO16" s="238"/>
      <c r="AP16" s="238"/>
      <c r="AQ16" s="238"/>
      <c r="AR16" s="238"/>
      <c r="AS16" s="238"/>
      <c r="AT16" s="238"/>
    </row>
    <row r="17" spans="1:46" x14ac:dyDescent="0.3">
      <c r="A17" s="43" t="str">
        <v>F8</v>
      </c>
      <c r="B17" s="43">
        <v>680</v>
      </c>
      <c r="C17" s="163">
        <v>4.4997489670216162E-2</v>
      </c>
      <c r="D17" s="163">
        <f>HLOOKUP(Basic_Counts!$C$9,'INIT-File+Corr'!$N$4:$X$5,2,FALSE)*C17</f>
        <v>4.3168307679039168E-2</v>
      </c>
      <c r="E17" s="84">
        <v>1</v>
      </c>
      <c r="F17" s="84">
        <v>0</v>
      </c>
      <c r="G17" s="161" t="str">
        <f>IF($G$20="ON",'INIT-File+Corr'!S37,"")</f>
        <v/>
      </c>
      <c r="H17" s="160">
        <f t="shared" si="3"/>
        <v>4.3168307679039168E-2</v>
      </c>
      <c r="I17" s="17"/>
      <c r="J17" s="38" t="str">
        <f>W17</f>
        <v>Lx</v>
      </c>
      <c r="K17" s="135">
        <f>K11*'used Standard Values'!N13*'used Standard Values'!N12</f>
        <v>99.676829434718584</v>
      </c>
      <c r="L17" s="39" t="s">
        <v>30</v>
      </c>
      <c r="M17" s="17"/>
      <c r="N17" s="52">
        <v>387</v>
      </c>
      <c r="O17" s="53">
        <v>9.1138945195405E-4</v>
      </c>
      <c r="P17" s="49">
        <f t="shared" si="1"/>
        <v>0.51661423435978637</v>
      </c>
      <c r="Q17" s="17"/>
      <c r="R17" s="46">
        <f t="shared" si="2"/>
        <v>387</v>
      </c>
      <c r="S17" s="45">
        <f>O17*'used Standard Values'!B12</f>
        <v>2.636287862890641E-6</v>
      </c>
      <c r="T17" s="45">
        <f>O17*'used Standard Values'!C12</f>
        <v>7.4927368357514824E-8</v>
      </c>
      <c r="U17" s="45">
        <f>O17*'used Standard Values'!D12</f>
        <v>1.2445815875255753E-5</v>
      </c>
      <c r="W17" s="29" t="s">
        <v>55</v>
      </c>
      <c r="X17" s="141">
        <f>X11*'used Standard Values'!N13*'used Standard Values'!N12</f>
        <v>100.24743352720786</v>
      </c>
      <c r="Y17" s="31" t="s">
        <v>30</v>
      </c>
      <c r="AA17" s="238" t="s">
        <v>118</v>
      </c>
      <c r="AB17" s="238"/>
      <c r="AC17" s="238"/>
      <c r="AD17" s="238"/>
      <c r="AE17" s="238"/>
      <c r="AF17" s="238"/>
      <c r="AG17" s="238"/>
      <c r="AH17" s="238"/>
      <c r="AI17" s="238"/>
      <c r="AJ17" s="238"/>
      <c r="AK17" s="238"/>
      <c r="AL17" s="238"/>
      <c r="AM17" s="238"/>
      <c r="AN17" s="238"/>
      <c r="AO17" s="238"/>
      <c r="AP17" s="238"/>
      <c r="AQ17" s="238"/>
      <c r="AR17" s="238"/>
      <c r="AS17" s="238"/>
      <c r="AT17" s="238"/>
    </row>
    <row r="18" spans="1:46" x14ac:dyDescent="0.3">
      <c r="A18" s="43" t="str">
        <v>Clear</v>
      </c>
      <c r="B18" s="43">
        <v>750</v>
      </c>
      <c r="C18" s="163">
        <v>0.13314663828723394</v>
      </c>
      <c r="D18" s="163">
        <f>HLOOKUP(Basic_Counts!$C$9,'INIT-File+Corr'!$N$4:$X$5,2,FALSE)*C18</f>
        <v>0.12773412672879536</v>
      </c>
      <c r="E18" s="84">
        <v>1</v>
      </c>
      <c r="F18" s="84">
        <v>0</v>
      </c>
      <c r="G18" s="161" t="str">
        <f>IF($G$20="ON",'INIT-File+Corr'!S38,"")</f>
        <v/>
      </c>
      <c r="H18" s="160">
        <f t="shared" si="3"/>
        <v>0.12773412672879536</v>
      </c>
      <c r="I18" s="17"/>
      <c r="J18" s="38" t="s">
        <v>121</v>
      </c>
      <c r="K18" s="170">
        <f>IF(K11/100&gt;=216/24389,116*(K11/100)^(1/3)-16,(K11/100)*24389/27)</f>
        <v>1.3182680945086229</v>
      </c>
      <c r="L18" s="37"/>
      <c r="M18" s="17"/>
      <c r="N18" s="52">
        <v>388</v>
      </c>
      <c r="O18" s="53">
        <v>9.2066077590209248E-4</v>
      </c>
      <c r="P18" s="49">
        <f t="shared" si="1"/>
        <v>0.52186961438711743</v>
      </c>
      <c r="Q18" s="17"/>
      <c r="R18" s="46">
        <f t="shared" si="2"/>
        <v>388</v>
      </c>
      <c r="S18" s="45">
        <f>O18*'used Standard Values'!B13</f>
        <v>3.0389437882601279E-6</v>
      </c>
      <c r="T18" s="45">
        <f>O18*'used Standard Values'!C13</f>
        <v>8.6089295138777E-8</v>
      </c>
      <c r="U18" s="45">
        <f>O18*'used Standard Values'!D13</f>
        <v>1.4351306207800613E-5</v>
      </c>
      <c r="W18" s="29" t="s">
        <v>121</v>
      </c>
      <c r="X18" s="169">
        <f>IF(X11/100&gt;=216/24389,116*(X11/100)^(1/3)-16,(X11/100)*24389/27)</f>
        <v>1.3258145742069696</v>
      </c>
      <c r="Y18" s="30"/>
      <c r="AA18" s="239" t="s">
        <v>50</v>
      </c>
      <c r="AB18" s="239"/>
      <c r="AC18" s="239"/>
      <c r="AD18" s="239"/>
      <c r="AE18" s="239"/>
      <c r="AF18" s="239"/>
      <c r="AG18" s="239"/>
      <c r="AH18" s="239"/>
      <c r="AI18" s="239"/>
      <c r="AJ18" s="239"/>
      <c r="AK18" s="239"/>
      <c r="AL18" s="239"/>
      <c r="AM18" s="239"/>
      <c r="AN18" s="239"/>
      <c r="AO18" s="239"/>
      <c r="AP18" s="239"/>
      <c r="AQ18" s="239"/>
      <c r="AR18" s="239"/>
      <c r="AS18" s="239"/>
      <c r="AT18" s="239"/>
    </row>
    <row r="19" spans="1:46" ht="15" thickBot="1" x14ac:dyDescent="0.35">
      <c r="A19" s="43" t="str">
        <v>NIR</v>
      </c>
      <c r="B19" s="43">
        <v>900</v>
      </c>
      <c r="C19" s="163">
        <v>5.4001280233848724E-2</v>
      </c>
      <c r="D19" s="163">
        <f>HLOOKUP(Basic_Counts!$C$9,'INIT-File+Corr'!$N$4:$X$5,2,FALSE)*C19</f>
        <v>5.180608734579658E-2</v>
      </c>
      <c r="E19" s="84">
        <v>1</v>
      </c>
      <c r="F19" s="84">
        <v>0</v>
      </c>
      <c r="G19" s="161" t="str">
        <f>IF($G$20="ON",'INIT-File+Corr'!S39,"")</f>
        <v/>
      </c>
      <c r="H19" s="160">
        <f t="shared" si="3"/>
        <v>5.180608734579658E-2</v>
      </c>
      <c r="I19" s="17"/>
      <c r="J19" s="38" t="str">
        <f>W19</f>
        <v>u'</v>
      </c>
      <c r="K19" s="134">
        <f>4*K10/(K10+15*K11+3*K12)</f>
        <v>0.19027413519776645</v>
      </c>
      <c r="L19" s="37" t="s">
        <v>96</v>
      </c>
      <c r="M19" s="17"/>
      <c r="N19" s="52">
        <v>389</v>
      </c>
      <c r="O19" s="53">
        <v>9.2992141855093718E-4</v>
      </c>
      <c r="P19" s="49">
        <f t="shared" si="1"/>
        <v>0.52711893980058921</v>
      </c>
      <c r="Q19" s="17"/>
      <c r="R19" s="46">
        <f t="shared" si="2"/>
        <v>389</v>
      </c>
      <c r="S19" s="45">
        <f>O19*'used Standard Values'!B14</f>
        <v>3.4902145452764455E-6</v>
      </c>
      <c r="T19" s="45">
        <f>O19*'used Standard Values'!C14</f>
        <v>9.8698232671464123E-8</v>
      </c>
      <c r="U19" s="45">
        <f>O19*'used Standard Values'!D14</f>
        <v>1.6487646239120898E-5</v>
      </c>
      <c r="W19" s="29" t="s">
        <v>16</v>
      </c>
      <c r="X19" s="134">
        <f>4*X10/(X10+15*X11+3*X12)</f>
        <v>0.19025636120003961</v>
      </c>
      <c r="Y19" s="30" t="str">
        <f>L19</f>
        <v>***</v>
      </c>
      <c r="AA19" s="238"/>
      <c r="AB19" s="238"/>
      <c r="AC19" s="238"/>
      <c r="AD19" s="238"/>
      <c r="AE19" s="238"/>
      <c r="AF19" s="238"/>
      <c r="AG19" s="238"/>
      <c r="AH19" s="238"/>
      <c r="AI19" s="238"/>
      <c r="AJ19" s="238"/>
      <c r="AK19" s="238"/>
      <c r="AL19" s="238"/>
      <c r="AM19" s="238"/>
      <c r="AN19" s="238"/>
      <c r="AO19" s="238"/>
      <c r="AP19" s="238"/>
      <c r="AQ19" s="238"/>
      <c r="AR19" s="238"/>
      <c r="AS19" s="238"/>
      <c r="AT19" s="238"/>
    </row>
    <row r="20" spans="1:46" ht="15.6" thickTop="1" thickBot="1" x14ac:dyDescent="0.35">
      <c r="G20" s="145" t="s">
        <v>149</v>
      </c>
      <c r="I20" s="17"/>
      <c r="J20" s="38" t="str">
        <f>W20</f>
        <v>v'</v>
      </c>
      <c r="K20" s="134">
        <f>9*K11/(K10+15*K11+3*K12)</f>
        <v>0.46286635634821949</v>
      </c>
      <c r="L20" s="37" t="s">
        <v>96</v>
      </c>
      <c r="M20" s="17"/>
      <c r="N20" s="52">
        <v>390</v>
      </c>
      <c r="O20" s="53">
        <v>9.3933466029232429E-4</v>
      </c>
      <c r="P20" s="49">
        <f t="shared" si="1"/>
        <v>0.53245476485830068</v>
      </c>
      <c r="Q20" s="17"/>
      <c r="R20" s="46">
        <f t="shared" si="2"/>
        <v>390</v>
      </c>
      <c r="S20" s="45">
        <f>O20*'used Standard Values'!B15</f>
        <v>3.9855969636203319E-6</v>
      </c>
      <c r="T20" s="45">
        <f>O20*'used Standard Values'!C15</f>
        <v>1.1272015923507892E-7</v>
      </c>
      <c r="U20" s="45">
        <f>O20*'used Standard Values'!D15</f>
        <v>1.8833669332207705E-5</v>
      </c>
      <c r="W20" s="29" t="s">
        <v>15</v>
      </c>
      <c r="X20" s="134">
        <f>9*X11/(X10+15*X11+3*X12)</f>
        <v>0.46205670119395553</v>
      </c>
      <c r="Y20" s="30" t="str">
        <f>L20</f>
        <v>***</v>
      </c>
      <c r="AA20" s="238" t="s">
        <v>119</v>
      </c>
      <c r="AB20" s="238"/>
      <c r="AC20" s="238"/>
      <c r="AD20" s="238"/>
      <c r="AE20" s="238"/>
      <c r="AF20" s="238"/>
      <c r="AG20" s="238"/>
      <c r="AH20" s="238"/>
      <c r="AI20" s="238"/>
      <c r="AJ20" s="238"/>
      <c r="AK20" s="238"/>
      <c r="AL20" s="238"/>
      <c r="AM20" s="238"/>
      <c r="AN20" s="238"/>
      <c r="AO20" s="238"/>
      <c r="AP20" s="238"/>
      <c r="AQ20" s="238"/>
      <c r="AR20" s="238"/>
      <c r="AS20" s="238"/>
      <c r="AT20" s="238"/>
    </row>
    <row r="21" spans="1:46" ht="15" thickTop="1" x14ac:dyDescent="0.3">
      <c r="A21" s="164" t="s">
        <v>98</v>
      </c>
      <c r="B21" s="164"/>
      <c r="C21" s="164" t="str">
        <f>Basic_Counts!C8&amp;" / "&amp;Basic_Counts!C9</f>
        <v>181,998 / 512</v>
      </c>
      <c r="G21" t="s">
        <v>87</v>
      </c>
      <c r="I21" s="17"/>
      <c r="J21" s="38"/>
      <c r="K21" s="137"/>
      <c r="L21" s="37"/>
      <c r="M21" s="17"/>
      <c r="N21" s="52">
        <v>391</v>
      </c>
      <c r="O21" s="53">
        <v>9.488394921487221E-4</v>
      </c>
      <c r="P21" s="49">
        <f t="shared" si="1"/>
        <v>0.53784250708165371</v>
      </c>
      <c r="Q21" s="17"/>
      <c r="R21" s="46">
        <f t="shared" si="2"/>
        <v>391</v>
      </c>
      <c r="S21" s="45">
        <f>O21*'used Standard Values'!B16</f>
        <v>4.5187427601746605E-6</v>
      </c>
      <c r="T21" s="45">
        <f>O21*'used Standard Values'!C16</f>
        <v>1.280781500082031E-7</v>
      </c>
      <c r="U21" s="45">
        <f>O21*'used Standard Values'!D16</f>
        <v>2.1359667389977057E-5</v>
      </c>
      <c r="W21" s="29"/>
      <c r="X21" s="142"/>
      <c r="Y21" s="30"/>
      <c r="Z21" s="18"/>
      <c r="AA21" s="236" t="s">
        <v>120</v>
      </c>
      <c r="AB21" s="236"/>
      <c r="AC21" s="236"/>
      <c r="AD21" s="236"/>
      <c r="AE21" s="236"/>
      <c r="AF21" s="236"/>
      <c r="AG21" s="236"/>
      <c r="AH21" s="236"/>
      <c r="AI21" s="236"/>
      <c r="AJ21" s="236"/>
      <c r="AK21" s="236"/>
      <c r="AL21" s="236"/>
      <c r="AM21" s="236"/>
      <c r="AN21" s="236"/>
      <c r="AO21" s="236"/>
      <c r="AP21" s="236"/>
      <c r="AQ21" s="236"/>
      <c r="AR21" s="236"/>
      <c r="AS21" s="236"/>
      <c r="AT21" s="236"/>
    </row>
    <row r="22" spans="1:46" ht="15" thickBot="1" x14ac:dyDescent="0.35">
      <c r="I22" s="17"/>
      <c r="J22" s="40" t="str">
        <f>W22</f>
        <v>CCT</v>
      </c>
      <c r="K22" s="138">
        <f>437*((K13-0.332)/(0.1858-K14))^3+3601*((K13-0.332)/(0.1858-K14))^2+6861*((K13-0.332)/(0.1858-K14))+5517</f>
        <v>7412.7962816182853</v>
      </c>
      <c r="L22" s="41" t="s">
        <v>34</v>
      </c>
      <c r="M22" s="17"/>
      <c r="N22" s="52">
        <v>392</v>
      </c>
      <c r="O22" s="53">
        <v>9.5842731896311837E-4</v>
      </c>
      <c r="P22" s="49">
        <f t="shared" si="1"/>
        <v>0.54327729437074701</v>
      </c>
      <c r="Q22" s="17"/>
      <c r="R22" s="46">
        <f t="shared" si="2"/>
        <v>392</v>
      </c>
      <c r="S22" s="45">
        <f>O22*'used Standard Values'!B17</f>
        <v>5.1084636145847312E-6</v>
      </c>
      <c r="T22" s="45">
        <f>O22*'used Standard Values'!C17</f>
        <v>1.4519407140436073E-7</v>
      </c>
      <c r="U22" s="45">
        <f>O22*'used Standard Values'!D17</f>
        <v>2.4155128708549198E-5</v>
      </c>
      <c r="W22" s="33" t="s">
        <v>10</v>
      </c>
      <c r="X22" s="138">
        <f>437*((X13-0.332)/(0.1858-X14))^3+3601*((X13-0.332)/(0.1858-X14))^2+6861*((X13-0.332)/(0.1858-X14))+5517</f>
        <v>7477.6600481968917</v>
      </c>
      <c r="Y22" s="34" t="s">
        <v>34</v>
      </c>
    </row>
    <row r="23" spans="1:46" x14ac:dyDescent="0.3">
      <c r="I23" s="17"/>
      <c r="J23" s="17"/>
      <c r="K23" s="144" t="str">
        <f>IF(OR(K22&lt;'used Standard Values'!N4,K22&gt;'used Standard Values'!N5,K19&lt;'used Standard Values'!N7,K20&lt;'used Standard Values'!N8,K19&gt;'used Standard Values'!N9,K20&gt;'used Standard Values'!N10),"CCT outside range","CCT inside")</f>
        <v>CCT outside range</v>
      </c>
      <c r="L23" s="17"/>
      <c r="M23" s="17"/>
      <c r="N23" s="52">
        <v>393</v>
      </c>
      <c r="O23" s="53">
        <v>9.6812190389539371E-4</v>
      </c>
      <c r="P23" s="49">
        <f t="shared" si="1"/>
        <v>0.54877259669346456</v>
      </c>
      <c r="Q23" s="17"/>
      <c r="R23" s="46">
        <f t="shared" si="2"/>
        <v>393</v>
      </c>
      <c r="S23" s="45">
        <f>O23*'used Standard Values'!B18</f>
        <v>5.7881220442822369E-6</v>
      </c>
      <c r="T23" s="45">
        <f>O23*'used Standard Values'!C18</f>
        <v>1.6478209301822719E-7</v>
      </c>
      <c r="U23" s="45">
        <f>O23*'used Standard Values'!D18</f>
        <v>2.7378216368028645E-5</v>
      </c>
      <c r="X23" s="143" t="str">
        <f>IF(OR(X22&lt;'used Standard Values'!N4,X22&gt;'used Standard Values'!N5,X19&lt;'used Standard Values'!N7,X20&lt;'used Standard Values'!N8,X19&gt;'used Standard Values'!N9,X20&gt;'used Standard Values'!N10),"CCT outside range","CCT inside")</f>
        <v>CCT outside range</v>
      </c>
    </row>
    <row r="24" spans="1:46" x14ac:dyDescent="0.3">
      <c r="I24" s="17"/>
      <c r="M24" s="17"/>
      <c r="N24" s="52">
        <v>394</v>
      </c>
      <c r="O24" s="53">
        <v>9.7786289388331949E-4</v>
      </c>
      <c r="P24" s="49">
        <f t="shared" si="1"/>
        <v>0.55429420337184898</v>
      </c>
      <c r="Q24" s="17"/>
      <c r="R24" s="46">
        <f t="shared" si="2"/>
        <v>394</v>
      </c>
      <c r="S24" s="45">
        <f>O24*'used Standard Values'!B19</f>
        <v>6.5918881776260405E-6</v>
      </c>
      <c r="T24" s="45">
        <f>O24*'used Standard Values'!C19</f>
        <v>1.8756974885312281E-7</v>
      </c>
      <c r="U24" s="45">
        <f>O24*'used Standard Values'!D19</f>
        <v>3.1190931840711999E-5</v>
      </c>
    </row>
    <row r="25" spans="1:46" x14ac:dyDescent="0.3">
      <c r="I25" s="17"/>
      <c r="J25" s="17" t="s">
        <v>97</v>
      </c>
      <c r="K25" s="17"/>
      <c r="L25" s="17"/>
      <c r="M25" s="17"/>
      <c r="N25" s="52">
        <v>395</v>
      </c>
      <c r="O25" s="53">
        <v>9.8774668520958684E-4</v>
      </c>
      <c r="P25" s="49">
        <f t="shared" si="1"/>
        <v>0.55989675591142885</v>
      </c>
      <c r="Q25" s="17"/>
      <c r="R25" s="46">
        <f t="shared" si="2"/>
        <v>395</v>
      </c>
      <c r="S25" s="45">
        <f>O25*'used Standard Values'!B20</f>
        <v>7.5562621418533389E-6</v>
      </c>
      <c r="T25" s="45">
        <f>O25*'used Standard Values'!C20</f>
        <v>2.1434103069048032E-7</v>
      </c>
      <c r="U25" s="45">
        <f>O25*'used Standard Values'!D20</f>
        <v>3.5766307471439141E-5</v>
      </c>
      <c r="W25" s="17" t="str">
        <f>J25</f>
        <v>*** for 2° observer and illuminant C</v>
      </c>
    </row>
    <row r="26" spans="1:46" x14ac:dyDescent="0.3">
      <c r="I26" s="17"/>
      <c r="J26" s="17"/>
      <c r="K26" s="17"/>
      <c r="L26" s="17"/>
      <c r="M26" s="17"/>
      <c r="N26" s="52">
        <v>396</v>
      </c>
      <c r="O26" s="53">
        <v>9.9778097908792942E-4</v>
      </c>
      <c r="P26" s="49">
        <f t="shared" si="1"/>
        <v>0.56558461968710316</v>
      </c>
      <c r="Q26" s="17"/>
      <c r="R26" s="46">
        <f t="shared" si="2"/>
        <v>396</v>
      </c>
      <c r="S26" s="45">
        <f>O26*'used Standard Values'!B21</f>
        <v>8.7319535203036693E-6</v>
      </c>
      <c r="T26" s="45">
        <f>O26*'used Standard Values'!C21</f>
        <v>2.4635880886936964E-7</v>
      </c>
      <c r="U26" s="45">
        <f>O26*'used Standard Values'!D21</f>
        <v>4.1345758854961689E-5</v>
      </c>
      <c r="AC26" t="str">
        <f t="array" ref="AC26:AD27">TRANSPOSE(W13:X14)</f>
        <v>x</v>
      </c>
      <c r="AD26" t="str">
        <v>y</v>
      </c>
    </row>
    <row r="27" spans="1:46" x14ac:dyDescent="0.3">
      <c r="I27" s="17"/>
      <c r="J27" s="17"/>
      <c r="K27" s="17"/>
      <c r="L27" s="17"/>
      <c r="M27" s="17"/>
      <c r="N27" s="52">
        <v>397</v>
      </c>
      <c r="O27" s="53">
        <v>1.0078185426592933E-3</v>
      </c>
      <c r="P27" s="49">
        <f t="shared" si="1"/>
        <v>0.57127433686359652</v>
      </c>
      <c r="Q27" s="17"/>
      <c r="R27" s="46">
        <f t="shared" si="2"/>
        <v>397</v>
      </c>
      <c r="S27" s="45">
        <f>O27*'used Standard Values'!B22</f>
        <v>1.0107291226104935E-5</v>
      </c>
      <c r="T27" s="45">
        <f>O27*'used Standard Values'!C22</f>
        <v>2.8343888693749965E-7</v>
      </c>
      <c r="U27" s="45">
        <f>O27*'used Standard Values'!D22</f>
        <v>4.7875129861295123E-5</v>
      </c>
      <c r="AC27">
        <v>0.29786348545599478</v>
      </c>
      <c r="AD27">
        <v>0.32150729825292879</v>
      </c>
    </row>
    <row r="28" spans="1:46" x14ac:dyDescent="0.3">
      <c r="I28" s="17"/>
      <c r="J28" s="17"/>
      <c r="K28" s="17"/>
      <c r="L28" s="17"/>
      <c r="M28" s="17"/>
      <c r="N28" s="52">
        <v>398</v>
      </c>
      <c r="O28" s="53">
        <v>1.018108045245891E-3</v>
      </c>
      <c r="P28" s="49">
        <f t="shared" si="1"/>
        <v>0.57710686376998233</v>
      </c>
      <c r="Q28" s="17"/>
      <c r="R28" s="46">
        <f t="shared" si="2"/>
        <v>398</v>
      </c>
      <c r="S28" s="45">
        <f>O28*'used Standard Values'!B23</f>
        <v>1.1628524660384993E-5</v>
      </c>
      <c r="T28" s="45">
        <f>O28*'used Standard Values'!C23</f>
        <v>3.2428777457172117E-7</v>
      </c>
      <c r="U28" s="45">
        <f>O28*'used Standard Values'!D23</f>
        <v>5.5099885235742195E-5</v>
      </c>
      <c r="AC28">
        <f t="array" ref="AC28:AD28">TRANSPOSE(K13:K14)</f>
        <v>0.29855857239602224</v>
      </c>
      <c r="AD28">
        <v>0.32279209133434683</v>
      </c>
    </row>
    <row r="29" spans="1:46" x14ac:dyDescent="0.3">
      <c r="I29" s="17"/>
      <c r="J29" s="17"/>
      <c r="K29" s="17"/>
      <c r="L29" s="17"/>
      <c r="M29" s="17"/>
      <c r="N29" s="52">
        <v>399</v>
      </c>
      <c r="O29" s="53">
        <v>1.0284294363735907E-3</v>
      </c>
      <c r="P29" s="49">
        <f t="shared" si="1"/>
        <v>0.58295746645529112</v>
      </c>
      <c r="Q29" s="17"/>
      <c r="R29" s="46">
        <f t="shared" si="2"/>
        <v>399</v>
      </c>
      <c r="S29" s="45">
        <f>O29*'used Standard Values'!B24</f>
        <v>1.3234868700986102E-5</v>
      </c>
      <c r="T29" s="45">
        <f>O29*'used Standard Values'!C24</f>
        <v>3.6742359091605268E-7</v>
      </c>
      <c r="U29" s="45">
        <f>O29*'used Standard Values'!D24</f>
        <v>6.2732169612799373E-5</v>
      </c>
    </row>
    <row r="30" spans="1:46" x14ac:dyDescent="0.3">
      <c r="I30" s="17"/>
      <c r="J30" s="17"/>
      <c r="K30" s="17"/>
      <c r="L30" s="17"/>
      <c r="M30" s="17"/>
      <c r="N30" s="52">
        <v>400</v>
      </c>
      <c r="O30" s="53">
        <v>1.0389997171435074E-3</v>
      </c>
      <c r="P30" s="49">
        <f t="shared" si="1"/>
        <v>0.58894915035640538</v>
      </c>
      <c r="Q30" s="17"/>
      <c r="R30" s="46">
        <f t="shared" si="2"/>
        <v>400</v>
      </c>
      <c r="S30" s="45">
        <f>O30*'used Standard Values'!B25</f>
        <v>1.4868085952323591E-5</v>
      </c>
      <c r="T30" s="45">
        <f>O30*'used Standard Values'!C25</f>
        <v>4.1144388798882891E-7</v>
      </c>
      <c r="U30" s="45">
        <f>O30*'used Standard Values'!D25</f>
        <v>7.0496141198184151E-5</v>
      </c>
    </row>
    <row r="31" spans="1:46" x14ac:dyDescent="0.3">
      <c r="I31" s="17"/>
      <c r="J31" s="17"/>
      <c r="K31" s="17"/>
      <c r="L31" s="17"/>
      <c r="M31" s="17"/>
      <c r="N31" s="52">
        <v>401</v>
      </c>
      <c r="O31" s="53">
        <v>1.0495796921995879E-3</v>
      </c>
      <c r="P31" s="49">
        <f t="shared" si="1"/>
        <v>0.59494632939048786</v>
      </c>
      <c r="Q31" s="17"/>
      <c r="R31" s="46">
        <f t="shared" si="2"/>
        <v>401</v>
      </c>
      <c r="S31" s="45">
        <f>O31*'used Standard Values'!B26</f>
        <v>1.6483050805569974E-5</v>
      </c>
      <c r="T31" s="45">
        <f>O31*'used Standard Values'!C26</f>
        <v>4.552181413284366E-7</v>
      </c>
      <c r="U31" s="45">
        <f>O31*'used Standard Values'!D26</f>
        <v>7.8179328818680005E-5</v>
      </c>
    </row>
    <row r="32" spans="1:46" x14ac:dyDescent="0.3">
      <c r="I32" s="17"/>
      <c r="J32" s="17"/>
      <c r="K32" s="17"/>
      <c r="L32" s="17"/>
      <c r="M32" s="17"/>
      <c r="N32" s="52">
        <v>402</v>
      </c>
      <c r="O32" s="53">
        <v>1.0604489226115487E-3</v>
      </c>
      <c r="P32" s="49">
        <f t="shared" si="1"/>
        <v>0.60110747064060432</v>
      </c>
      <c r="Q32" s="17"/>
      <c r="R32" s="46">
        <f t="shared" si="2"/>
        <v>402</v>
      </c>
      <c r="S32" s="45">
        <f>O32*'used Standard Values'!B27</f>
        <v>1.8183984273546174E-5</v>
      </c>
      <c r="T32" s="45">
        <f>O32*'used Standard Values'!C27</f>
        <v>5.0161779116940516E-7</v>
      </c>
      <c r="U32" s="45">
        <f>O32*'used Standard Values'!D27</f>
        <v>8.6279778643994867E-5</v>
      </c>
    </row>
    <row r="33" spans="9:21" x14ac:dyDescent="0.3">
      <c r="I33" s="17"/>
      <c r="J33" s="17"/>
      <c r="K33" s="17"/>
      <c r="L33" s="17"/>
      <c r="M33" s="17"/>
      <c r="N33" s="52">
        <v>403</v>
      </c>
      <c r="O33" s="53">
        <v>1.0714253875061825E-3</v>
      </c>
      <c r="P33" s="49">
        <f t="shared" si="1"/>
        <v>0.60732939694813448</v>
      </c>
      <c r="Q33" s="17"/>
      <c r="R33" s="46">
        <f t="shared" si="2"/>
        <v>403</v>
      </c>
      <c r="S33" s="45">
        <f>O33*'used Standard Values'!B28</f>
        <v>2.0122675916338865E-5</v>
      </c>
      <c r="T33" s="45">
        <f>O33*'used Standard Values'!C28</f>
        <v>5.5486549398015175E-7</v>
      </c>
      <c r="U33" s="45">
        <f>O33*'used Standard Values'!D28</f>
        <v>9.5521473284586702E-5</v>
      </c>
    </row>
    <row r="34" spans="9:21" x14ac:dyDescent="0.3">
      <c r="I34" s="17"/>
      <c r="J34" s="17"/>
      <c r="K34" s="17"/>
      <c r="L34" s="17"/>
      <c r="M34" s="17"/>
      <c r="N34" s="52">
        <v>404</v>
      </c>
      <c r="O34" s="53">
        <v>1.0827094360132559E-3</v>
      </c>
      <c r="P34" s="49">
        <f t="shared" si="1"/>
        <v>0.61372567470564177</v>
      </c>
      <c r="Q34" s="17"/>
      <c r="R34" s="46">
        <f t="shared" si="2"/>
        <v>404</v>
      </c>
      <c r="S34" s="45">
        <f>O34*'used Standard Values'!B29</f>
        <v>2.2464066205497394E-5</v>
      </c>
      <c r="T34" s="45">
        <f>O34*'used Standard Values'!C29</f>
        <v>6.1954658595323856E-7</v>
      </c>
      <c r="U34" s="45">
        <f>O34*'used Standard Values'!D29</f>
        <v>1.0669070752527553E-4</v>
      </c>
    </row>
    <row r="35" spans="9:21" x14ac:dyDescent="0.3">
      <c r="I35" s="17"/>
      <c r="J35" s="17"/>
      <c r="K35" s="17"/>
      <c r="L35" s="17"/>
      <c r="M35" s="17"/>
      <c r="N35" s="52">
        <v>405</v>
      </c>
      <c r="O35" s="53">
        <v>1.0941595135585713E-3</v>
      </c>
      <c r="P35" s="49">
        <f t="shared" si="1"/>
        <v>0.62021606477077873</v>
      </c>
      <c r="Q35" s="17"/>
      <c r="R35" s="46">
        <f t="shared" si="2"/>
        <v>405</v>
      </c>
      <c r="S35" s="45">
        <f>O35*'used Standard Values'!B30</f>
        <v>2.5373559119423265E-5</v>
      </c>
      <c r="T35" s="45">
        <f>O35*'used Standard Values'!C30</f>
        <v>7.0026208867748565E-7</v>
      </c>
      <c r="U35" s="45">
        <f>O35*'used Standard Values'!D30</f>
        <v>1.2057637839415456E-4</v>
      </c>
    </row>
    <row r="36" spans="9:21" x14ac:dyDescent="0.3">
      <c r="I36" s="17"/>
      <c r="J36" s="17"/>
      <c r="K36" s="17"/>
      <c r="L36" s="17"/>
      <c r="M36" s="17"/>
      <c r="N36" s="52">
        <v>406</v>
      </c>
      <c r="O36" s="53">
        <v>1.1058588817491053E-3</v>
      </c>
      <c r="P36" s="49">
        <f t="shared" si="1"/>
        <v>0.62684776335724723</v>
      </c>
      <c r="Q36" s="17"/>
      <c r="R36" s="46">
        <f t="shared" si="2"/>
        <v>406</v>
      </c>
      <c r="S36" s="45">
        <f>O36*'used Standard Values'!B31</f>
        <v>2.898164182319623E-5</v>
      </c>
      <c r="T36" s="45">
        <f>O36*'used Standard Values'!C31</f>
        <v>8.0126111136013164E-7</v>
      </c>
      <c r="U36" s="45">
        <f>O36*'used Standard Values'!D31</f>
        <v>1.3780472458906577E-4</v>
      </c>
    </row>
    <row r="37" spans="9:21" x14ac:dyDescent="0.3">
      <c r="I37" s="17"/>
      <c r="J37" s="17"/>
      <c r="K37" s="17"/>
      <c r="L37" s="17"/>
      <c r="M37" s="17"/>
      <c r="N37" s="52">
        <v>407</v>
      </c>
      <c r="O37" s="53">
        <v>1.1178887147112605E-3</v>
      </c>
      <c r="P37" s="49">
        <f t="shared" si="1"/>
        <v>0.63366678340613547</v>
      </c>
      <c r="Q37" s="17"/>
      <c r="R37" s="46">
        <f t="shared" si="2"/>
        <v>407</v>
      </c>
      <c r="S37" s="45">
        <f>O37*'used Standard Values'!B32</f>
        <v>3.3293498288113822E-5</v>
      </c>
      <c r="T37" s="45">
        <f>O37*'used Standard Values'!C32</f>
        <v>9.228171339941455E-7</v>
      </c>
      <c r="U37" s="45">
        <f>O37*'used Standard Values'!D32</f>
        <v>1.5840673128540063E-4</v>
      </c>
    </row>
    <row r="38" spans="9:21" x14ac:dyDescent="0.3">
      <c r="I38" s="17"/>
      <c r="J38" s="17"/>
      <c r="K38" s="17"/>
      <c r="L38" s="17"/>
      <c r="M38" s="17"/>
      <c r="N38" s="52">
        <v>408</v>
      </c>
      <c r="O38" s="53">
        <v>1.1301135892530566E-3</v>
      </c>
      <c r="P38" s="49">
        <f t="shared" si="1"/>
        <v>0.64059636130284436</v>
      </c>
      <c r="Q38" s="17"/>
      <c r="R38" s="46">
        <f t="shared" si="2"/>
        <v>408</v>
      </c>
      <c r="S38" s="45">
        <f>O38*'used Standard Values'!B33</f>
        <v>3.8289288108395674E-5</v>
      </c>
      <c r="T38" s="45">
        <f>O38*'used Standard Values'!C33</f>
        <v>1.0636177056614068E-6</v>
      </c>
      <c r="U38" s="45">
        <f>O38*'used Standard Values'!D33</f>
        <v>1.8229127734408041E-4</v>
      </c>
    </row>
    <row r="39" spans="9:21" x14ac:dyDescent="0.3">
      <c r="I39" s="17"/>
      <c r="J39" s="17"/>
      <c r="K39" s="17"/>
      <c r="L39" s="17"/>
      <c r="M39" s="17"/>
      <c r="N39" s="52">
        <v>409</v>
      </c>
      <c r="O39" s="53">
        <v>1.1426758632930854E-3</v>
      </c>
      <c r="P39" s="49">
        <f t="shared" si="1"/>
        <v>0.64771719155942997</v>
      </c>
      <c r="Q39" s="17"/>
      <c r="R39" s="46">
        <f t="shared" si="2"/>
        <v>409</v>
      </c>
      <c r="S39" s="45">
        <f>O39*'used Standard Values'!B34</f>
        <v>4.3956729351365595E-5</v>
      </c>
      <c r="T39" s="45">
        <f>O39*'used Standard Values'!C34</f>
        <v>1.2225260526200063E-6</v>
      </c>
      <c r="U39" s="45">
        <f>O39*'used Standard Values'!D34</f>
        <v>2.0940312214432828E-4</v>
      </c>
    </row>
    <row r="40" spans="9:21" x14ac:dyDescent="0.3">
      <c r="I40" s="17"/>
      <c r="J40" s="17"/>
      <c r="K40" s="17"/>
      <c r="L40" s="17"/>
      <c r="M40" s="17"/>
      <c r="N40" s="52">
        <v>410</v>
      </c>
      <c r="O40" s="53">
        <v>1.1555109281749614E-3</v>
      </c>
      <c r="P40" s="49">
        <f t="shared" si="1"/>
        <v>0.65499265124649564</v>
      </c>
      <c r="Q40" s="17"/>
      <c r="R40" s="46">
        <f t="shared" si="2"/>
        <v>410</v>
      </c>
      <c r="S40" s="45">
        <f>O40*'used Standard Values'!B35</f>
        <v>5.0276280484892566E-5</v>
      </c>
      <c r="T40" s="45">
        <f>O40*'used Standard Values'!C35</f>
        <v>1.3981682230917032E-6</v>
      </c>
      <c r="U40" s="45">
        <f>O40*'used Standard Values'!D35</f>
        <v>2.39652966503487E-4</v>
      </c>
    </row>
    <row r="41" spans="9:21" x14ac:dyDescent="0.3">
      <c r="I41" s="17"/>
      <c r="J41" s="17"/>
      <c r="K41" s="17"/>
      <c r="L41" s="17"/>
      <c r="M41" s="17"/>
      <c r="N41" s="52">
        <v>411</v>
      </c>
      <c r="O41" s="53">
        <v>1.1686087309233149E-3</v>
      </c>
      <c r="P41" s="49">
        <f t="shared" si="1"/>
        <v>0.66241704191080331</v>
      </c>
      <c r="Q41" s="17"/>
      <c r="R41" s="46">
        <f t="shared" si="2"/>
        <v>411</v>
      </c>
      <c r="S41" s="45">
        <f>O41*'used Standard Values'!B36</f>
        <v>5.725668593682637E-5</v>
      </c>
      <c r="T41" s="45">
        <f>O41*'used Standard Values'!C36</f>
        <v>1.5917514349120689E-6</v>
      </c>
      <c r="U41" s="45">
        <f>O41*'used Standard Values'!D36</f>
        <v>2.730946284078044E-4</v>
      </c>
    </row>
    <row r="42" spans="9:21" x14ac:dyDescent="0.3">
      <c r="I42" s="17"/>
      <c r="J42" s="17"/>
      <c r="K42" s="17"/>
      <c r="L42" s="17"/>
      <c r="M42" s="17"/>
      <c r="N42" s="52">
        <v>412</v>
      </c>
      <c r="O42" s="53">
        <v>1.1821292085429135E-3</v>
      </c>
      <c r="P42" s="49">
        <f t="shared" si="1"/>
        <v>0.67008102263677261</v>
      </c>
      <c r="Q42" s="17"/>
      <c r="R42" s="46">
        <f t="shared" si="2"/>
        <v>412</v>
      </c>
      <c r="S42" s="45">
        <f>O42*'used Standard Values'!B37</f>
        <v>6.5043822589973304E-5</v>
      </c>
      <c r="T42" s="45">
        <f>O42*'used Standard Values'!C37</f>
        <v>1.809546650235482E-6</v>
      </c>
      <c r="U42" s="45">
        <f>O42*'used Standard Values'!D37</f>
        <v>3.1044060643634644E-4</v>
      </c>
    </row>
    <row r="43" spans="9:21" x14ac:dyDescent="0.3">
      <c r="I43" s="17"/>
      <c r="J43" s="17"/>
      <c r="K43" s="17"/>
      <c r="L43" s="17"/>
      <c r="M43" s="17"/>
      <c r="N43" s="52">
        <v>413</v>
      </c>
      <c r="O43" s="53">
        <v>1.1958348393396549E-3</v>
      </c>
      <c r="P43" s="49">
        <f t="shared" si="1"/>
        <v>0.67784995604421505</v>
      </c>
      <c r="Q43" s="17"/>
      <c r="R43" s="46">
        <f t="shared" si="2"/>
        <v>413</v>
      </c>
      <c r="S43" s="45">
        <f>O43*'used Standard Values'!B38</f>
        <v>7.380549128223629E-5</v>
      </c>
      <c r="T43" s="45">
        <f>O43*'used Standard Values'!C38</f>
        <v>2.0572759908850831E-6</v>
      </c>
      <c r="U43" s="45">
        <f>O43*'used Standard Values'!D38</f>
        <v>3.52501736432411E-4</v>
      </c>
    </row>
    <row r="44" spans="9:21" x14ac:dyDescent="0.3">
      <c r="I44" s="17"/>
      <c r="J44" s="17"/>
      <c r="K44" s="17"/>
      <c r="L44" s="17"/>
      <c r="M44" s="17"/>
      <c r="N44" s="52">
        <v>414</v>
      </c>
      <c r="O44" s="53">
        <v>1.2098760858929747E-3</v>
      </c>
      <c r="P44" s="49">
        <f t="shared" si="1"/>
        <v>0.68580913071103577</v>
      </c>
      <c r="Q44" s="17"/>
      <c r="R44" s="46">
        <f t="shared" si="2"/>
        <v>414</v>
      </c>
      <c r="S44" s="45">
        <f>O44*'used Standard Values'!B39</f>
        <v>8.3737943656824558E-5</v>
      </c>
      <c r="T44" s="45">
        <f>O44*'used Standard Values'!C39</f>
        <v>2.3415010161786497E-6</v>
      </c>
      <c r="U44" s="45">
        <f>O44*'used Standard Values'!D39</f>
        <v>4.0022519439926718E-4</v>
      </c>
    </row>
    <row r="45" spans="9:21" x14ac:dyDescent="0.3">
      <c r="I45" s="17"/>
      <c r="J45" s="17"/>
      <c r="K45" s="17"/>
      <c r="L45" s="17"/>
      <c r="M45" s="17"/>
      <c r="N45" s="52">
        <v>415</v>
      </c>
      <c r="O45" s="53">
        <v>1.2242415659833741E-3</v>
      </c>
      <c r="P45" s="49">
        <f t="shared" si="1"/>
        <v>0.69395209471199137</v>
      </c>
      <c r="Q45" s="17"/>
      <c r="R45" s="46">
        <f t="shared" si="2"/>
        <v>415</v>
      </c>
      <c r="S45" s="45">
        <f>O45*'used Standard Values'!B40</f>
        <v>9.5037872767289339E-5</v>
      </c>
      <c r="T45" s="45">
        <f>O45*'used Standard Values'!C40</f>
        <v>2.6688466138437555E-6</v>
      </c>
      <c r="U45" s="45">
        <f>O45*'used Standard Values'!D40</f>
        <v>4.5456089344962685E-4</v>
      </c>
    </row>
    <row r="46" spans="9:21" x14ac:dyDescent="0.3">
      <c r="I46" s="17"/>
      <c r="J46" s="17"/>
      <c r="K46" s="17"/>
      <c r="L46" s="17"/>
      <c r="M46" s="17"/>
      <c r="N46" s="52">
        <v>416</v>
      </c>
      <c r="O46" s="53">
        <v>1.2388623679791546E-3</v>
      </c>
      <c r="P46" s="49">
        <f t="shared" si="1"/>
        <v>0.70223978600859516</v>
      </c>
      <c r="Q46" s="17"/>
      <c r="R46" s="46">
        <f t="shared" si="2"/>
        <v>416</v>
      </c>
      <c r="S46" s="45">
        <f>O46*'used Standard Values'!B41</f>
        <v>1.0772913006959181E-4</v>
      </c>
      <c r="T46" s="45">
        <f>O46*'used Standard Values'!C41</f>
        <v>3.0411593409152289E-6</v>
      </c>
      <c r="U46" s="45">
        <f>O46*'used Standard Values'!D41</f>
        <v>5.1562579120047278E-4</v>
      </c>
    </row>
    <row r="47" spans="9:21" x14ac:dyDescent="0.3">
      <c r="I47" s="17"/>
      <c r="J47" s="17"/>
      <c r="K47" s="17"/>
      <c r="L47" s="17"/>
      <c r="M47" s="17"/>
      <c r="N47" s="52">
        <v>417</v>
      </c>
      <c r="O47" s="53">
        <v>1.2536997614249754E-3</v>
      </c>
      <c r="P47" s="49">
        <f t="shared" si="1"/>
        <v>0.71065025053446085</v>
      </c>
      <c r="Q47" s="17"/>
      <c r="R47" s="46">
        <f t="shared" si="2"/>
        <v>417</v>
      </c>
      <c r="S47" s="45">
        <f>O47*'used Standard Values'!B42</f>
        <v>1.2183043068006163E-4</v>
      </c>
      <c r="T47" s="45">
        <f>O47*'used Standard Values'!C42</f>
        <v>3.4652261405786322E-6</v>
      </c>
      <c r="U47" s="45">
        <f>O47*'used Standard Values'!D42</f>
        <v>5.8355235649186704E-4</v>
      </c>
    </row>
    <row r="48" spans="9:21" x14ac:dyDescent="0.3">
      <c r="I48" s="17"/>
      <c r="J48" s="17"/>
      <c r="K48" s="17"/>
      <c r="L48" s="17"/>
      <c r="M48" s="17"/>
      <c r="N48" s="52">
        <v>418</v>
      </c>
      <c r="O48" s="53">
        <v>1.2688651301293039E-3</v>
      </c>
      <c r="P48" s="49">
        <f t="shared" si="1"/>
        <v>0.71924662536102124</v>
      </c>
      <c r="Q48" s="17"/>
      <c r="R48" s="46">
        <f t="shared" si="2"/>
        <v>418</v>
      </c>
      <c r="S48" s="45">
        <f>O48*'used Standard Values'!B43</f>
        <v>1.3755297395633636E-4</v>
      </c>
      <c r="T48" s="45">
        <f>O48*'used Standard Values'!C43</f>
        <v>3.9560677027171439E-6</v>
      </c>
      <c r="U48" s="45">
        <f>O48*'used Standard Values'!D43</f>
        <v>6.5942261002952256E-4</v>
      </c>
    </row>
    <row r="49" spans="9:21" x14ac:dyDescent="0.3">
      <c r="I49" s="17"/>
      <c r="J49" s="17"/>
      <c r="K49" s="17"/>
      <c r="L49" s="17"/>
      <c r="M49" s="17"/>
      <c r="N49" s="52">
        <v>419</v>
      </c>
      <c r="O49" s="53">
        <v>1.2841949307577385E-3</v>
      </c>
      <c r="P49" s="49">
        <f t="shared" si="1"/>
        <v>0.72793620718311391</v>
      </c>
      <c r="Q49" s="17"/>
      <c r="R49" s="46">
        <f t="shared" si="2"/>
        <v>419</v>
      </c>
      <c r="S49" s="45">
        <f>O49*'used Standard Values'!B44</f>
        <v>1.5508862604180596E-4</v>
      </c>
      <c r="T49" s="45">
        <f>O49*'used Standard Values'!C44</f>
        <v>4.5285850038240886E-6</v>
      </c>
      <c r="U49" s="45">
        <f>O49*'used Standard Values'!D44</f>
        <v>7.4422987348051145E-4</v>
      </c>
    </row>
    <row r="50" spans="9:21" x14ac:dyDescent="0.3">
      <c r="I50" s="17"/>
      <c r="J50" s="17"/>
      <c r="K50" s="17"/>
      <c r="L50" s="17"/>
      <c r="M50" s="17"/>
      <c r="N50" s="52">
        <v>420</v>
      </c>
      <c r="O50" s="53">
        <v>1.2996918667602959E-3</v>
      </c>
      <c r="P50" s="49">
        <f t="shared" si="1"/>
        <v>0.73672052843098312</v>
      </c>
      <c r="Q50" s="17"/>
      <c r="R50" s="46">
        <f t="shared" si="2"/>
        <v>420</v>
      </c>
      <c r="S50" s="45">
        <f>O50*'used Standard Values'!B45</f>
        <v>1.7465259305524857E-4</v>
      </c>
      <c r="T50" s="45">
        <f>O50*'used Standard Values'!C45</f>
        <v>5.1987674670411835E-6</v>
      </c>
      <c r="U50" s="45">
        <f>O50*'used Standard Values'!D45</f>
        <v>8.3908106918044695E-4</v>
      </c>
    </row>
    <row r="51" spans="9:21" x14ac:dyDescent="0.3">
      <c r="I51" s="17"/>
      <c r="J51" s="17"/>
      <c r="K51" s="17"/>
      <c r="L51" s="17"/>
      <c r="M51" s="17"/>
      <c r="N51" s="52">
        <v>421</v>
      </c>
      <c r="O51" s="53">
        <v>1.3154023408247005E-3</v>
      </c>
      <c r="P51" s="49">
        <f t="shared" si="1"/>
        <v>0.74562589211805474</v>
      </c>
      <c r="Q51" s="17"/>
      <c r="R51" s="46">
        <f t="shared" si="2"/>
        <v>421</v>
      </c>
      <c r="S51" s="45">
        <f>O51*'used Standard Values'!B46</f>
        <v>1.9646612590136378E-4</v>
      </c>
      <c r="T51" s="45">
        <f>O51*'used Standard Values'!C46</f>
        <v>5.9801347379508866E-6</v>
      </c>
      <c r="U51" s="45">
        <f>O51*'used Standard Values'!D46</f>
        <v>9.4509527236462593E-4</v>
      </c>
    </row>
    <row r="52" spans="9:21" x14ac:dyDescent="0.3">
      <c r="I52" s="17"/>
      <c r="J52" s="17"/>
      <c r="K52" s="17"/>
      <c r="L52" s="17"/>
      <c r="M52" s="17"/>
      <c r="N52" s="52">
        <v>422</v>
      </c>
      <c r="O52" s="53">
        <v>1.3312448228533155E-3</v>
      </c>
      <c r="P52" s="49">
        <f t="shared" si="1"/>
        <v>0.75460608352363201</v>
      </c>
      <c r="Q52" s="17"/>
      <c r="R52" s="46">
        <f t="shared" si="2"/>
        <v>422</v>
      </c>
      <c r="S52" s="45">
        <f>O52*'used Standard Values'!B47</f>
        <v>2.2018216934720014E-4</v>
      </c>
      <c r="T52" s="45">
        <f>O52*'used Standard Values'!C47</f>
        <v>6.8683180394435681E-6</v>
      </c>
      <c r="U52" s="45">
        <f>O52*'used Standard Values'!D47</f>
        <v>1.0606204559233804E-3</v>
      </c>
    </row>
    <row r="53" spans="9:21" x14ac:dyDescent="0.3">
      <c r="I53" s="17"/>
      <c r="J53" s="17"/>
      <c r="K53" s="17"/>
      <c r="L53" s="17"/>
      <c r="M53" s="17"/>
      <c r="N53" s="52">
        <v>423</v>
      </c>
      <c r="O53" s="53">
        <v>1.3472975705122003E-3</v>
      </c>
      <c r="P53" s="49">
        <f t="shared" si="1"/>
        <v>0.76370546241526283</v>
      </c>
      <c r="Q53" s="17"/>
      <c r="R53" s="46">
        <f t="shared" si="2"/>
        <v>423</v>
      </c>
      <c r="S53" s="45">
        <f>O53*'used Standard Values'!B48</f>
        <v>2.451853885042788E-4</v>
      </c>
      <c r="T53" s="45">
        <f>O53*'used Standard Values'!C48</f>
        <v>7.8537747818353591E-6</v>
      </c>
      <c r="U53" s="45">
        <f>O53*'used Standard Values'!D48</f>
        <v>1.1827196483540959E-3</v>
      </c>
    </row>
    <row r="54" spans="9:21" x14ac:dyDescent="0.3">
      <c r="I54" s="17"/>
      <c r="J54" s="17"/>
      <c r="K54" s="17"/>
      <c r="L54" s="17"/>
      <c r="M54" s="17"/>
      <c r="N54" s="52">
        <v>424</v>
      </c>
      <c r="O54" s="53">
        <v>1.3633133734917582E-3</v>
      </c>
      <c r="P54" s="49">
        <f t="shared" si="1"/>
        <v>0.7727838994941667</v>
      </c>
      <c r="Q54" s="17"/>
      <c r="R54" s="46">
        <f t="shared" si="2"/>
        <v>424</v>
      </c>
      <c r="S54" s="45">
        <f>O54*'used Standard Values'!B49</f>
        <v>2.7076903242257159E-4</v>
      </c>
      <c r="T54" s="45">
        <f>O54*'used Standard Values'!C49</f>
        <v>8.9244674730168084E-6</v>
      </c>
      <c r="U54" s="45">
        <f>O54*'used Standard Values'!D49</f>
        <v>1.3080160197495591E-3</v>
      </c>
    </row>
    <row r="55" spans="9:21" x14ac:dyDescent="0.3">
      <c r="I55" s="17"/>
      <c r="J55" s="17"/>
      <c r="K55" s="17"/>
      <c r="L55" s="17"/>
      <c r="M55" s="17"/>
      <c r="N55" s="52">
        <v>425</v>
      </c>
      <c r="O55" s="53">
        <v>1.3794576064798127E-3</v>
      </c>
      <c r="P55" s="49">
        <f t="shared" si="1"/>
        <v>0.78193513615437571</v>
      </c>
      <c r="Q55" s="17"/>
      <c r="R55" s="46">
        <f t="shared" si="2"/>
        <v>425</v>
      </c>
      <c r="S55" s="45">
        <f>O55*'used Standard Values'!B50</f>
        <v>2.9626611014366936E-4</v>
      </c>
      <c r="T55" s="45">
        <f>O55*'used Standard Values'!C50</f>
        <v>1.0070040527302632E-5</v>
      </c>
      <c r="U55" s="45">
        <f>O55*'used Standard Values'!D50</f>
        <v>1.4333255639586101E-3</v>
      </c>
    </row>
    <row r="56" spans="9:21" x14ac:dyDescent="0.3">
      <c r="I56" s="17"/>
      <c r="J56" s="17"/>
      <c r="K56" s="17"/>
      <c r="L56" s="17"/>
      <c r="M56" s="17"/>
      <c r="N56" s="52">
        <v>426</v>
      </c>
      <c r="O56" s="53">
        <v>1.3956461743390904E-3</v>
      </c>
      <c r="P56" s="49">
        <f t="shared" si="1"/>
        <v>0.79111150370182881</v>
      </c>
      <c r="Q56" s="17"/>
      <c r="R56" s="46">
        <f t="shared" si="2"/>
        <v>426</v>
      </c>
      <c r="S56" s="45">
        <f>O56*'used Standard Values'!B51</f>
        <v>3.2125932680335733E-4</v>
      </c>
      <c r="T56" s="45">
        <f>O56*'used Standard Values'!C51</f>
        <v>1.1285902558316275E-5</v>
      </c>
      <c r="U56" s="45">
        <f>O56*'used Standard Values'!D51</f>
        <v>1.5566581052279206E-3</v>
      </c>
    </row>
    <row r="57" spans="9:21" x14ac:dyDescent="0.3">
      <c r="I57" s="17"/>
      <c r="J57" s="17"/>
      <c r="K57" s="17"/>
      <c r="L57" s="17"/>
      <c r="M57" s="17"/>
      <c r="N57" s="52">
        <v>427</v>
      </c>
      <c r="O57" s="53">
        <v>1.4118085055860883E-3</v>
      </c>
      <c r="P57" s="49">
        <f t="shared" si="1"/>
        <v>0.80027299922356765</v>
      </c>
      <c r="Q57" s="17"/>
      <c r="R57" s="46">
        <f t="shared" si="2"/>
        <v>427</v>
      </c>
      <c r="S57" s="45">
        <f>O57*'used Standard Values'!B52</f>
        <v>3.4572324330536965E-4</v>
      </c>
      <c r="T57" s="45">
        <f>O57*'used Standard Values'!C52</f>
        <v>1.2577406669884896E-5</v>
      </c>
      <c r="U57" s="45">
        <f>O57*'used Standard Values'!D52</f>
        <v>1.6779303146443997E-3</v>
      </c>
    </row>
    <row r="58" spans="9:21" x14ac:dyDescent="0.3">
      <c r="I58" s="17"/>
      <c r="J58" s="17"/>
      <c r="K58" s="17"/>
      <c r="L58" s="17"/>
      <c r="M58" s="17"/>
      <c r="N58" s="52">
        <v>428</v>
      </c>
      <c r="O58" s="53">
        <v>1.4279702243640596E-3</v>
      </c>
      <c r="P58" s="49">
        <f t="shared" si="1"/>
        <v>0.80943414757185994</v>
      </c>
      <c r="Q58" s="17"/>
      <c r="R58" s="46">
        <f t="shared" si="2"/>
        <v>428</v>
      </c>
      <c r="S58" s="45">
        <f>O58*'used Standard Values'!B53</f>
        <v>3.6952627914132557E-4</v>
      </c>
      <c r="T58" s="45">
        <f>O58*'used Standard Values'!C53</f>
        <v>1.3947956201116339E-5</v>
      </c>
      <c r="U58" s="45">
        <f>O58*'used Standard Values'!D53</f>
        <v>1.7965626109786512E-3</v>
      </c>
    </row>
    <row r="59" spans="9:21" x14ac:dyDescent="0.3">
      <c r="I59" s="17"/>
      <c r="J59" s="17"/>
      <c r="K59" s="17"/>
      <c r="L59" s="17"/>
      <c r="M59" s="17"/>
      <c r="N59" s="52">
        <v>429</v>
      </c>
      <c r="O59" s="53">
        <v>1.4439960948559873E-3</v>
      </c>
      <c r="P59" s="49">
        <f t="shared" si="1"/>
        <v>0.81851829134419074</v>
      </c>
      <c r="Q59" s="17"/>
      <c r="R59" s="46">
        <f t="shared" si="2"/>
        <v>429</v>
      </c>
      <c r="S59" s="45">
        <f>O59*'used Standard Values'!B54</f>
        <v>3.9248954615100673E-4</v>
      </c>
      <c r="T59" s="45">
        <f>O59*'used Standard Values'!C54</f>
        <v>1.5399395273865037E-5</v>
      </c>
      <c r="U59" s="45">
        <f>O59*'used Standard Values'!D54</f>
        <v>1.9117491722642494E-3</v>
      </c>
    </row>
    <row r="60" spans="9:21" x14ac:dyDescent="0.3">
      <c r="I60" s="17"/>
      <c r="J60" s="17"/>
      <c r="K60" s="17"/>
      <c r="L60" s="17"/>
      <c r="M60" s="17"/>
      <c r="N60" s="52">
        <v>430</v>
      </c>
      <c r="O60" s="53">
        <v>1.4599342013883697E-3</v>
      </c>
      <c r="P60" s="49">
        <f t="shared" si="1"/>
        <v>0.82755268677823679</v>
      </c>
      <c r="Q60" s="17"/>
      <c r="R60" s="46">
        <f t="shared" si="2"/>
        <v>430</v>
      </c>
      <c r="S60" s="45">
        <f>O60*'used Standard Values'!B55</f>
        <v>4.1447531977415814E-4</v>
      </c>
      <c r="T60" s="45">
        <f>O60*'used Standard Values'!C55</f>
        <v>1.6935236736105087E-5</v>
      </c>
      <c r="U60" s="45">
        <f>O60*'used Standard Values'!D55</f>
        <v>2.022884829443725E-3</v>
      </c>
    </row>
    <row r="61" spans="9:21" x14ac:dyDescent="0.3">
      <c r="I61" s="17"/>
      <c r="J61" s="17"/>
      <c r="K61" s="17"/>
      <c r="L61" s="17"/>
      <c r="M61" s="17"/>
      <c r="N61" s="52">
        <v>431</v>
      </c>
      <c r="O61" s="53">
        <v>1.4757152827640178E-3</v>
      </c>
      <c r="P61" s="49">
        <f t="shared" si="1"/>
        <v>0.83649807368695095</v>
      </c>
      <c r="Q61" s="17"/>
      <c r="R61" s="46">
        <f t="shared" si="2"/>
        <v>431</v>
      </c>
      <c r="S61" s="45">
        <f>O61*'used Standard Values'!B56</f>
        <v>4.3525307321649388E-4</v>
      </c>
      <c r="T61" s="45">
        <f>O61*'used Standard Values'!C56</f>
        <v>1.8554419121790065E-5</v>
      </c>
      <c r="U61" s="45">
        <f>O61*'used Standard Values'!D56</f>
        <v>2.1289188120933254E-3</v>
      </c>
    </row>
    <row r="62" spans="9:21" x14ac:dyDescent="0.3">
      <c r="I62" s="17"/>
      <c r="J62" s="17"/>
      <c r="K62" s="17"/>
      <c r="L62" s="17"/>
      <c r="M62" s="17"/>
      <c r="N62" s="52">
        <v>432</v>
      </c>
      <c r="O62" s="53">
        <v>1.4913226869086235E-3</v>
      </c>
      <c r="P62" s="49">
        <f t="shared" si="1"/>
        <v>0.84534501296765241</v>
      </c>
      <c r="Q62" s="17"/>
      <c r="R62" s="46">
        <f t="shared" si="2"/>
        <v>432</v>
      </c>
      <c r="S62" s="45">
        <f>O62*'used Standard Values'!B57</f>
        <v>4.5469906760903516E-4</v>
      </c>
      <c r="T62" s="45">
        <f>O62*'used Standard Values'!C57</f>
        <v>2.0256218485927498E-5</v>
      </c>
      <c r="U62" s="45">
        <f>O62*'used Standard Values'!D57</f>
        <v>2.2292343720204146E-3</v>
      </c>
    </row>
    <row r="63" spans="9:21" x14ac:dyDescent="0.3">
      <c r="I63" s="17"/>
      <c r="J63" s="17"/>
      <c r="K63" s="17"/>
      <c r="L63" s="17"/>
      <c r="M63" s="17"/>
      <c r="N63" s="52">
        <v>433</v>
      </c>
      <c r="O63" s="53">
        <v>1.506748501039476E-3</v>
      </c>
      <c r="P63" s="49">
        <f t="shared" si="1"/>
        <v>0.85408901931916381</v>
      </c>
      <c r="Q63" s="17"/>
      <c r="R63" s="46">
        <f t="shared" si="2"/>
        <v>433</v>
      </c>
      <c r="S63" s="45">
        <f>O63*'used Standard Values'!B58</f>
        <v>4.7279854392022437E-4</v>
      </c>
      <c r="T63" s="45">
        <f>O63*'used Standard Values'!C58</f>
        <v>2.2043248410687201E-5</v>
      </c>
      <c r="U63" s="45">
        <f>O63*'used Standard Values'!D58</f>
        <v>2.3236929228426196E-3</v>
      </c>
    </row>
    <row r="64" spans="9:21" x14ac:dyDescent="0.3">
      <c r="I64" s="17"/>
      <c r="J64" s="17"/>
      <c r="K64" s="17"/>
      <c r="L64" s="17"/>
      <c r="M64" s="17"/>
      <c r="N64" s="52">
        <v>434</v>
      </c>
      <c r="O64" s="53">
        <v>1.5218104400023132E-3</v>
      </c>
      <c r="P64" s="49">
        <f t="shared" si="1"/>
        <v>0.8626267657771427</v>
      </c>
      <c r="Q64" s="17"/>
      <c r="R64" s="46">
        <f t="shared" si="2"/>
        <v>434</v>
      </c>
      <c r="S64" s="45">
        <f>O64*'used Standard Values'!B59</f>
        <v>4.8948332769872002E-4</v>
      </c>
      <c r="T64" s="45">
        <f>O64*'used Standard Values'!C59</f>
        <v>2.3915388027575952E-5</v>
      </c>
      <c r="U64" s="45">
        <f>O64*'used Standard Values'!D59</f>
        <v>2.4118879954181742E-3</v>
      </c>
    </row>
    <row r="65" spans="9:21" x14ac:dyDescent="0.3">
      <c r="I65" s="17"/>
      <c r="J65" s="17"/>
      <c r="K65" s="17"/>
      <c r="L65" s="17"/>
      <c r="M65" s="17"/>
      <c r="N65" s="52">
        <v>435</v>
      </c>
      <c r="O65" s="53">
        <v>1.5368002109852311E-3</v>
      </c>
      <c r="P65" s="49">
        <f t="shared" si="1"/>
        <v>0.87112360436021541</v>
      </c>
      <c r="Q65" s="17"/>
      <c r="R65" s="46">
        <f t="shared" si="2"/>
        <v>435</v>
      </c>
      <c r="S65" s="45">
        <f>O65*'used Standard Values'!B60</f>
        <v>5.0483886930864847E-4</v>
      </c>
      <c r="T65" s="45">
        <f>O65*'used Standard Values'!C60</f>
        <v>2.5879715552991294E-5</v>
      </c>
      <c r="U65" s="45">
        <f>O65*'used Standard Values'!D60</f>
        <v>2.4941652704205904E-3</v>
      </c>
    </row>
    <row r="66" spans="9:21" x14ac:dyDescent="0.3">
      <c r="I66" s="17"/>
      <c r="J66" s="17"/>
      <c r="K66" s="17"/>
      <c r="L66" s="17"/>
      <c r="M66" s="17"/>
      <c r="N66" s="52">
        <v>436</v>
      </c>
      <c r="O66" s="53">
        <v>1.5512166063597764E-3</v>
      </c>
      <c r="P66" s="49">
        <f t="shared" si="1"/>
        <v>0.8792954293058306</v>
      </c>
      <c r="Q66" s="17"/>
      <c r="R66" s="46">
        <f t="shared" si="2"/>
        <v>436</v>
      </c>
      <c r="S66" s="45">
        <f>O66*'used Standard Values'!B61</f>
        <v>5.1865128891797957E-4</v>
      </c>
      <c r="T66" s="45">
        <f>O66*'used Standard Values'!C61</f>
        <v>2.7933315868698783E-5</v>
      </c>
      <c r="U66" s="45">
        <f>O66*'used Standard Values'!D61</f>
        <v>2.5694426326140444E-3</v>
      </c>
    </row>
    <row r="67" spans="9:21" x14ac:dyDescent="0.3">
      <c r="I67" s="17"/>
      <c r="J67" s="17"/>
      <c r="K67" s="17"/>
      <c r="L67" s="17"/>
      <c r="M67" s="17"/>
      <c r="N67" s="52">
        <v>437</v>
      </c>
      <c r="O67" s="53">
        <v>1.5655441011706345E-3</v>
      </c>
      <c r="P67" s="49">
        <f t="shared" si="1"/>
        <v>0.88741686163767908</v>
      </c>
      <c r="Q67" s="17"/>
      <c r="R67" s="46">
        <f t="shared" si="2"/>
        <v>437</v>
      </c>
      <c r="S67" s="45">
        <f>O67*'used Standard Values'!B62</f>
        <v>5.3104837111250108E-4</v>
      </c>
      <c r="T67" s="45">
        <f>O67*'used Standard Values'!C62</f>
        <v>3.0081115821061132E-5</v>
      </c>
      <c r="U67" s="45">
        <f>O67*'used Standard Values'!D62</f>
        <v>2.6384050549720555E-3</v>
      </c>
    </row>
    <row r="68" spans="9:21" x14ac:dyDescent="0.3">
      <c r="I68" s="17"/>
      <c r="J68" s="17"/>
      <c r="K68" s="17"/>
      <c r="L68" s="17"/>
      <c r="M68" s="17"/>
      <c r="N68" s="52">
        <v>438</v>
      </c>
      <c r="O68" s="53">
        <v>1.5793098776075813E-3</v>
      </c>
      <c r="P68" s="49">
        <f t="shared" si="1"/>
        <v>0.89521988814747</v>
      </c>
      <c r="Q68" s="17"/>
      <c r="R68" s="46">
        <f t="shared" si="2"/>
        <v>438</v>
      </c>
      <c r="S68" s="45">
        <f>O68*'used Standard Values'!B63</f>
        <v>5.4189485830755427E-4</v>
      </c>
      <c r="T68" s="45">
        <f>O68*'used Standard Values'!C63</f>
        <v>3.230307789179526E-5</v>
      </c>
      <c r="U68" s="45">
        <f>O68*'used Standard Values'!D63</f>
        <v>2.7004216873193244E-3</v>
      </c>
    </row>
    <row r="69" spans="9:21" x14ac:dyDescent="0.3">
      <c r="I69" s="17"/>
      <c r="J69" s="17"/>
      <c r="K69" s="17"/>
      <c r="L69" s="17"/>
      <c r="M69" s="17"/>
      <c r="N69" s="52">
        <v>439</v>
      </c>
      <c r="O69" s="53">
        <v>1.5926962898035668E-3</v>
      </c>
      <c r="P69" s="49">
        <f t="shared" si="1"/>
        <v>0.90280787489959469</v>
      </c>
      <c r="Q69" s="17"/>
      <c r="R69" s="46">
        <f t="shared" si="2"/>
        <v>439</v>
      </c>
      <c r="S69" s="45">
        <f>O69*'used Standard Values'!B64</f>
        <v>5.512793297111926E-4</v>
      </c>
      <c r="T69" s="45">
        <f>O69*'used Standard Values'!C64</f>
        <v>3.4590560269063415E-5</v>
      </c>
      <c r="U69" s="45">
        <f>O69*'used Standard Values'!D64</f>
        <v>2.7559731506125043E-3</v>
      </c>
    </row>
    <row r="70" spans="9:21" x14ac:dyDescent="0.3">
      <c r="I70" s="17"/>
      <c r="J70" s="17"/>
      <c r="K70" s="17"/>
      <c r="L70" s="17"/>
      <c r="M70" s="17"/>
      <c r="N70" s="52">
        <v>440</v>
      </c>
      <c r="O70" s="53">
        <v>1.6056917709994694E-3</v>
      </c>
      <c r="P70" s="49">
        <f t="shared" si="1"/>
        <v>0.91017426536391699</v>
      </c>
      <c r="Q70" s="17"/>
      <c r="R70" s="46">
        <f t="shared" si="2"/>
        <v>440</v>
      </c>
      <c r="S70" s="45">
        <f>O70*'used Standard Values'!B65</f>
        <v>5.5923033000369513E-4</v>
      </c>
      <c r="T70" s="45">
        <f>O70*'used Standard Values'!C65</f>
        <v>3.6930910732987797E-5</v>
      </c>
      <c r="U70" s="45">
        <f>O70*'used Standard Values'!D65</f>
        <v>2.805239865442333E-3</v>
      </c>
    </row>
    <row r="71" spans="9:21" x14ac:dyDescent="0.3">
      <c r="I71" s="17"/>
      <c r="J71" s="17"/>
      <c r="K71" s="17"/>
      <c r="L71" s="17"/>
      <c r="M71" s="17"/>
      <c r="N71" s="52">
        <v>441</v>
      </c>
      <c r="O71" s="53">
        <v>1.6182305461194923E-3</v>
      </c>
      <c r="P71" s="49">
        <f t="shared" si="1"/>
        <v>0.91728177543499778</v>
      </c>
      <c r="Q71" s="17"/>
      <c r="R71" s="46">
        <f t="shared" si="2"/>
        <v>441</v>
      </c>
      <c r="S71" s="45">
        <f>O71*'used Standard Values'!B66</f>
        <v>5.6573323710031997E-4</v>
      </c>
      <c r="T71" s="45">
        <f>O71*'used Standard Values'!C66</f>
        <v>3.9314280008060084E-5</v>
      </c>
      <c r="U71" s="45">
        <f>O71*'used Standard Values'!D66</f>
        <v>2.8481579342526635E-3</v>
      </c>
    </row>
    <row r="72" spans="9:21" x14ac:dyDescent="0.3">
      <c r="I72" s="17"/>
      <c r="J72" s="17"/>
      <c r="K72" s="17"/>
      <c r="L72" s="17"/>
      <c r="M72" s="17"/>
      <c r="N72" s="52">
        <v>442</v>
      </c>
      <c r="O72" s="53">
        <v>1.6301585610736565E-3</v>
      </c>
      <c r="P72" s="49">
        <f t="shared" si="1"/>
        <v>0.92404308071427843</v>
      </c>
      <c r="Q72" s="17"/>
      <c r="R72" s="46">
        <f t="shared" si="2"/>
        <v>442</v>
      </c>
      <c r="S72" s="45">
        <f>O72*'used Standard Values'!B67</f>
        <v>5.7079578174768202E-4</v>
      </c>
      <c r="T72" s="45">
        <f>O72*'used Standard Values'!C67</f>
        <v>4.1748751987151003E-5</v>
      </c>
      <c r="U72" s="45">
        <f>O72*'used Standard Values'!D67</f>
        <v>2.8847665723704154E-3</v>
      </c>
    </row>
    <row r="73" spans="9:21" x14ac:dyDescent="0.3">
      <c r="I73" s="17"/>
      <c r="J73" s="17"/>
      <c r="K73" s="17"/>
      <c r="L73" s="17"/>
      <c r="M73" s="17"/>
      <c r="N73" s="52">
        <v>443</v>
      </c>
      <c r="O73" s="53">
        <v>1.6416898556768863E-3</v>
      </c>
      <c r="P73" s="49">
        <f t="shared" si="1"/>
        <v>0.93057950805590739</v>
      </c>
      <c r="Q73" s="17"/>
      <c r="R73" s="46">
        <f t="shared" si="2"/>
        <v>443</v>
      </c>
      <c r="S73" s="45">
        <f>O73*'used Standard Values'!B68</f>
        <v>5.7461279145503406E-4</v>
      </c>
      <c r="T73" s="45">
        <f>O73*'used Standard Values'!C68</f>
        <v>4.4257610892555237E-5</v>
      </c>
      <c r="U73" s="45">
        <f>O73*'used Standard Values'!D68</f>
        <v>2.9160740972970921E-3</v>
      </c>
    </row>
    <row r="74" spans="9:21" x14ac:dyDescent="0.3">
      <c r="I74" s="17"/>
      <c r="J74" s="17"/>
      <c r="K74" s="17"/>
      <c r="L74" s="17"/>
      <c r="M74" s="17"/>
      <c r="N74" s="52">
        <v>444</v>
      </c>
      <c r="O74" s="53">
        <v>1.6525475483831365E-3</v>
      </c>
      <c r="P74" s="49">
        <f t="shared" ref="P74:P137" si="4">O74/MAX($O$10:$O$630)</f>
        <v>0.93673410924459444</v>
      </c>
      <c r="Q74" s="17"/>
      <c r="R74" s="46">
        <f t="shared" ref="R74:R137" si="5">N74</f>
        <v>444</v>
      </c>
      <c r="S74" s="45">
        <f>O74*'used Standard Values'!B69</f>
        <v>5.7721337553210067E-4</v>
      </c>
      <c r="T74" s="45">
        <f>O74*'used Standard Values'!C69</f>
        <v>4.6851788681097402E-5</v>
      </c>
      <c r="U74" s="45">
        <f>O74*'used Standard Values'!D69</f>
        <v>2.9422508502294524E-3</v>
      </c>
    </row>
    <row r="75" spans="9:21" x14ac:dyDescent="0.3">
      <c r="I75" s="17"/>
      <c r="J75" s="17"/>
      <c r="K75" s="17"/>
      <c r="L75" s="17"/>
      <c r="M75" s="17"/>
      <c r="N75" s="52">
        <v>445</v>
      </c>
      <c r="O75" s="53">
        <v>1.6631145516149953E-3</v>
      </c>
      <c r="P75" s="49">
        <f t="shared" si="4"/>
        <v>0.94272393529798981</v>
      </c>
      <c r="Q75" s="17"/>
      <c r="R75" s="46">
        <f t="shared" si="5"/>
        <v>445</v>
      </c>
      <c r="S75" s="45">
        <f>O75*'used Standard Values'!B70</f>
        <v>5.7886365083511518E-4</v>
      </c>
      <c r="T75" s="45">
        <f>O75*'used Standard Values'!C70</f>
        <v>4.9560813638126857E-5</v>
      </c>
      <c r="U75" s="45">
        <f>O75*'used Standard Values'!D70</f>
        <v>2.9646679997088906E-3</v>
      </c>
    </row>
    <row r="76" spans="9:21" x14ac:dyDescent="0.3">
      <c r="I76" s="17"/>
      <c r="J76" s="17"/>
      <c r="K76" s="17"/>
      <c r="L76" s="17"/>
      <c r="M76" s="17"/>
      <c r="N76" s="52">
        <v>446</v>
      </c>
      <c r="O76" s="53">
        <v>1.6729745339259948E-3</v>
      </c>
      <c r="P76" s="49">
        <f t="shared" si="4"/>
        <v>0.94831299187690543</v>
      </c>
      <c r="Q76" s="17"/>
      <c r="R76" s="46">
        <f t="shared" si="5"/>
        <v>446</v>
      </c>
      <c r="S76" s="45">
        <f>O76*'used Standard Values'!B71</f>
        <v>5.7947371013190873E-4</v>
      </c>
      <c r="T76" s="45">
        <f>O76*'used Standard Values'!C71</f>
        <v>5.2382221226086055E-5</v>
      </c>
      <c r="U76" s="45">
        <f>O76*'used Standard Values'!D71</f>
        <v>2.9828603933998699E-3</v>
      </c>
    </row>
    <row r="77" spans="9:21" x14ac:dyDescent="0.3">
      <c r="I77" s="17"/>
      <c r="J77" s="17"/>
      <c r="K77" s="17"/>
      <c r="L77" s="17"/>
      <c r="M77" s="17"/>
      <c r="N77" s="52">
        <v>447</v>
      </c>
      <c r="O77" s="53">
        <v>1.6821452014878346E-3</v>
      </c>
      <c r="P77" s="49">
        <f t="shared" si="4"/>
        <v>0.95351131559117508</v>
      </c>
      <c r="Q77" s="17"/>
      <c r="R77" s="46">
        <f t="shared" si="5"/>
        <v>447</v>
      </c>
      <c r="S77" s="45">
        <f>O77*'used Standard Values'!B72</f>
        <v>5.790993442126855E-4</v>
      </c>
      <c r="T77" s="45">
        <f>O77*'used Standard Values'!C72</f>
        <v>5.5315124519261474E-5</v>
      </c>
      <c r="U77" s="45">
        <f>O77*'used Standard Values'!D72</f>
        <v>2.9970777690618345E-3</v>
      </c>
    </row>
    <row r="78" spans="9:21" x14ac:dyDescent="0.3">
      <c r="I78" s="17"/>
      <c r="J78" s="17"/>
      <c r="K78" s="17"/>
      <c r="L78" s="17"/>
      <c r="M78" s="17"/>
      <c r="N78" s="52">
        <v>448</v>
      </c>
      <c r="O78" s="53">
        <v>1.6909293789390534E-3</v>
      </c>
      <c r="P78" s="49">
        <f t="shared" si="4"/>
        <v>0.95849056030232715</v>
      </c>
      <c r="Q78" s="17"/>
      <c r="R78" s="46">
        <f t="shared" si="5"/>
        <v>448</v>
      </c>
      <c r="S78" s="45">
        <f>O78*'used Standard Values'!B73</f>
        <v>5.7797454189990318E-4</v>
      </c>
      <c r="T78" s="45">
        <f>O78*'used Standard Values'!C73</f>
        <v>5.8372776001880541E-5</v>
      </c>
      <c r="U78" s="45">
        <f>O78*'used Standard Values'!D73</f>
        <v>3.0084985073354814E-3</v>
      </c>
    </row>
    <row r="79" spans="9:21" x14ac:dyDescent="0.3">
      <c r="I79" s="17"/>
      <c r="J79" s="17"/>
      <c r="K79" s="17"/>
      <c r="L79" s="17"/>
      <c r="M79" s="17"/>
      <c r="N79" s="52">
        <v>449</v>
      </c>
      <c r="O79" s="53">
        <v>1.6991058344578845E-3</v>
      </c>
      <c r="P79" s="49">
        <f t="shared" si="4"/>
        <v>0.96312532242139848</v>
      </c>
      <c r="Q79" s="17"/>
      <c r="R79" s="46">
        <f t="shared" si="5"/>
        <v>449</v>
      </c>
      <c r="S79" s="45">
        <f>O79*'used Standard Values'!B74</f>
        <v>5.7615676374024539E-4</v>
      </c>
      <c r="T79" s="45">
        <f>O79*'used Standard Values'!C74</f>
        <v>6.1551315218379333E-5</v>
      </c>
      <c r="U79" s="45">
        <f>O79*'used Standard Values'!D74</f>
        <v>3.0173861508318032E-3</v>
      </c>
    </row>
    <row r="80" spans="9:21" x14ac:dyDescent="0.3">
      <c r="I80" s="17"/>
      <c r="J80" s="17"/>
      <c r="K80" s="17"/>
      <c r="L80" s="17"/>
      <c r="M80" s="17"/>
      <c r="N80" s="52">
        <v>450</v>
      </c>
      <c r="O80" s="53">
        <v>1.7066097139885191E-3</v>
      </c>
      <c r="P80" s="49">
        <f t="shared" si="4"/>
        <v>0.96737883991618101</v>
      </c>
      <c r="Q80" s="17"/>
      <c r="R80" s="46">
        <f t="shared" si="5"/>
        <v>450</v>
      </c>
      <c r="S80" s="45">
        <f>O80*'used Standard Values'!B75</f>
        <v>5.7376218584294012E-4</v>
      </c>
      <c r="T80" s="45">
        <f>O80*'used Standard Values'!C75</f>
        <v>6.4851169131563728E-5</v>
      </c>
      <c r="U80" s="45">
        <f>O80*'used Standard Values'!D75</f>
        <v>3.0243001402561948E-3</v>
      </c>
    </row>
    <row r="81" spans="9:21" x14ac:dyDescent="0.3">
      <c r="I81" s="17"/>
      <c r="J81" s="17"/>
      <c r="K81" s="17"/>
      <c r="L81" s="17"/>
      <c r="M81" s="17"/>
      <c r="N81" s="52">
        <v>451</v>
      </c>
      <c r="O81" s="53">
        <v>1.7135344120462242E-3</v>
      </c>
      <c r="P81" s="49">
        <f t="shared" si="4"/>
        <v>0.97130405276298759</v>
      </c>
      <c r="Q81" s="17"/>
      <c r="R81" s="46">
        <f t="shared" si="5"/>
        <v>451</v>
      </c>
      <c r="S81" s="45">
        <f>O81*'used Standard Values'!B76</f>
        <v>5.7094572496465418E-4</v>
      </c>
      <c r="T81" s="45">
        <f>O81*'used Standard Values'!C76</f>
        <v>6.8278640250449919E-5</v>
      </c>
      <c r="U81" s="45">
        <f>O81*'used Standard Values'!D76</f>
        <v>3.0299724745570032E-3</v>
      </c>
    </row>
    <row r="82" spans="9:21" x14ac:dyDescent="0.3">
      <c r="I82" s="17"/>
      <c r="J82" s="17"/>
      <c r="K82" s="17"/>
      <c r="L82" s="17"/>
      <c r="M82" s="17"/>
      <c r="N82" s="52">
        <v>452</v>
      </c>
      <c r="O82" s="53">
        <v>1.7201524937580891E-3</v>
      </c>
      <c r="P82" s="49">
        <f t="shared" si="4"/>
        <v>0.97505546244759067</v>
      </c>
      <c r="Q82" s="17"/>
      <c r="R82" s="46">
        <f t="shared" si="5"/>
        <v>452</v>
      </c>
      <c r="S82" s="45">
        <f>O82*'used Standard Values'!B77</f>
        <v>5.6772102120766278E-4</v>
      </c>
      <c r="T82" s="45">
        <f>O82*'used Standard Values'!C77</f>
        <v>7.1847329359287868E-5</v>
      </c>
      <c r="U82" s="45">
        <f>O82*'used Standard Values'!D77</f>
        <v>3.0344160849365255E-3</v>
      </c>
    </row>
    <row r="83" spans="9:21" x14ac:dyDescent="0.3">
      <c r="I83" s="17"/>
      <c r="J83" s="17"/>
      <c r="K83" s="17"/>
      <c r="L83" s="17"/>
      <c r="M83" s="17"/>
      <c r="N83" s="52">
        <v>453</v>
      </c>
      <c r="O83" s="53">
        <v>1.7259855351786828E-3</v>
      </c>
      <c r="P83" s="49">
        <f t="shared" si="4"/>
        <v>0.97836187796625629</v>
      </c>
      <c r="Q83" s="17"/>
      <c r="R83" s="46">
        <f t="shared" si="5"/>
        <v>453</v>
      </c>
      <c r="S83" s="45">
        <f>O83*'used Standard Values'!B78</f>
        <v>5.6376849347296364E-4</v>
      </c>
      <c r="T83" s="45">
        <f>O83*'used Standard Values'!C78</f>
        <v>7.5539482932630229E-5</v>
      </c>
      <c r="U83" s="45">
        <f>O83*'used Standard Values'!D78</f>
        <v>3.0359115559922259E-3</v>
      </c>
    </row>
    <row r="84" spans="9:21" x14ac:dyDescent="0.3">
      <c r="I84" s="17"/>
      <c r="J84" s="17"/>
      <c r="K84" s="17"/>
      <c r="L84" s="17"/>
      <c r="M84" s="17"/>
      <c r="N84" s="52">
        <v>454</v>
      </c>
      <c r="O84" s="53">
        <v>1.7313100797966799E-3</v>
      </c>
      <c r="P84" s="49">
        <f t="shared" si="4"/>
        <v>0.98138005590900446</v>
      </c>
      <c r="Q84" s="17"/>
      <c r="R84" s="46">
        <f t="shared" si="5"/>
        <v>454</v>
      </c>
      <c r="S84" s="45">
        <f>O84*'used Standard Values'!B79</f>
        <v>5.5901717147329463E-4</v>
      </c>
      <c r="T84" s="45">
        <f>O84*'used Standard Values'!C79</f>
        <v>7.9367876655792868E-5</v>
      </c>
      <c r="U84" s="45">
        <f>O84*'used Standard Values'!D79</f>
        <v>3.0340625696939926E-3</v>
      </c>
    </row>
    <row r="85" spans="9:21" x14ac:dyDescent="0.3">
      <c r="I85" s="17"/>
      <c r="J85" s="17"/>
      <c r="K85" s="17"/>
      <c r="L85" s="17"/>
      <c r="M85" s="17"/>
      <c r="N85" s="52">
        <v>455</v>
      </c>
      <c r="O85" s="53">
        <v>1.7362619777512845E-3</v>
      </c>
      <c r="P85" s="49">
        <f t="shared" si="4"/>
        <v>0.98418700190224684</v>
      </c>
      <c r="Q85" s="17"/>
      <c r="R85" s="46">
        <f t="shared" si="5"/>
        <v>455</v>
      </c>
      <c r="S85" s="45">
        <f>O85*'used Standard Values'!B80</f>
        <v>5.5334669230933434E-4</v>
      </c>
      <c r="T85" s="45">
        <f>O85*'used Standard Values'!C80</f>
        <v>8.334057493206166E-5</v>
      </c>
      <c r="U85" s="45">
        <f>O85*'used Standard Values'!D80</f>
        <v>3.0282145153960154E-3</v>
      </c>
    </row>
    <row r="86" spans="9:21" x14ac:dyDescent="0.3">
      <c r="I86" s="17"/>
      <c r="J86" s="17"/>
      <c r="K86" s="17"/>
      <c r="L86" s="17"/>
      <c r="M86" s="17"/>
      <c r="N86" s="52">
        <v>456</v>
      </c>
      <c r="O86" s="53">
        <v>1.7407170227126446E-3</v>
      </c>
      <c r="P86" s="49">
        <f t="shared" si="4"/>
        <v>0.98671231052505015</v>
      </c>
      <c r="Q86" s="17"/>
      <c r="R86" s="46">
        <f t="shared" si="5"/>
        <v>456</v>
      </c>
      <c r="S86" s="45">
        <f>O86*'used Standard Values'!B81</f>
        <v>5.4662883712904052E-4</v>
      </c>
      <c r="T86" s="45">
        <f>O86*'used Standard Values'!C81</f>
        <v>8.746002905972684E-5</v>
      </c>
      <c r="U86" s="45">
        <f>O86*'used Standard Values'!D81</f>
        <v>3.0176365315352205E-3</v>
      </c>
    </row>
    <row r="87" spans="9:21" x14ac:dyDescent="0.3">
      <c r="I87" s="17"/>
      <c r="J87" s="17"/>
      <c r="K87" s="17"/>
      <c r="L87" s="17"/>
      <c r="M87" s="17"/>
      <c r="N87" s="52">
        <v>457</v>
      </c>
      <c r="O87" s="53">
        <v>1.7446252335019657E-3</v>
      </c>
      <c r="P87" s="49">
        <f t="shared" si="4"/>
        <v>0.98892765032332508</v>
      </c>
      <c r="Q87" s="17"/>
      <c r="R87" s="46">
        <f t="shared" si="5"/>
        <v>457</v>
      </c>
      <c r="S87" s="45">
        <f>O87*'used Standard Values'!B82</f>
        <v>5.388868206250212E-4</v>
      </c>
      <c r="T87" s="45">
        <f>O87*'used Standard Values'!C82</f>
        <v>9.1720252185908179E-5</v>
      </c>
      <c r="U87" s="45">
        <f>O87*'used Standard Values'!D82</f>
        <v>3.0022524645362493E-3</v>
      </c>
    </row>
    <row r="88" spans="9:21" x14ac:dyDescent="0.3">
      <c r="I88" s="17"/>
      <c r="J88" s="17"/>
      <c r="K88" s="17"/>
      <c r="L88" s="17"/>
      <c r="M88" s="17"/>
      <c r="N88" s="52">
        <v>458</v>
      </c>
      <c r="O88" s="53">
        <v>1.7481535423047874E-3</v>
      </c>
      <c r="P88" s="49">
        <f t="shared" si="4"/>
        <v>0.9909276455469328</v>
      </c>
      <c r="Q88" s="17"/>
      <c r="R88" s="46">
        <f t="shared" si="5"/>
        <v>458</v>
      </c>
      <c r="S88" s="45">
        <f>O88*'used Standard Values'!B83</f>
        <v>5.3019818710703587E-4</v>
      </c>
      <c r="T88" s="45">
        <f>O88*'used Standard Values'!C83</f>
        <v>9.6114460721900892E-5</v>
      </c>
      <c r="U88" s="45">
        <f>O88*'used Standard Values'!D83</f>
        <v>2.9822396346834475E-3</v>
      </c>
    </row>
    <row r="89" spans="9:21" x14ac:dyDescent="0.3">
      <c r="I89" s="17"/>
      <c r="J89" s="17"/>
      <c r="K89" s="17"/>
      <c r="L89" s="17"/>
      <c r="M89" s="17"/>
      <c r="N89" s="52">
        <v>459</v>
      </c>
      <c r="O89" s="53">
        <v>1.7512817186380941E-3</v>
      </c>
      <c r="P89" s="49">
        <f t="shared" si="4"/>
        <v>0.99270082869921616</v>
      </c>
      <c r="Q89" s="17"/>
      <c r="R89" s="46">
        <f t="shared" si="5"/>
        <v>459</v>
      </c>
      <c r="S89" s="45">
        <f>O89*'used Standard Values'!B84</f>
        <v>5.2058232599075068E-4</v>
      </c>
      <c r="T89" s="45">
        <f>O89*'used Standard Values'!C84</f>
        <v>1.0062640591234502E-4</v>
      </c>
      <c r="U89" s="45">
        <f>O89*'used Standard Values'!D84</f>
        <v>2.9574545859440827E-3</v>
      </c>
    </row>
    <row r="90" spans="9:21" x14ac:dyDescent="0.3">
      <c r="I90" s="17"/>
      <c r="J90" s="17"/>
      <c r="K90" s="17"/>
      <c r="L90" s="17"/>
      <c r="M90" s="17"/>
      <c r="N90" s="52">
        <v>460</v>
      </c>
      <c r="O90" s="53">
        <v>1.7540013518371415E-3</v>
      </c>
      <c r="P90" s="49">
        <f t="shared" si="4"/>
        <v>0.99424243225832354</v>
      </c>
      <c r="Q90" s="17"/>
      <c r="R90" s="46">
        <f t="shared" si="5"/>
        <v>460</v>
      </c>
      <c r="S90" s="45">
        <f>O90*'used Standard Values'!B85</f>
        <v>5.1006359311424072E-4</v>
      </c>
      <c r="T90" s="45">
        <f>O90*'used Standard Values'!C85</f>
        <v>1.0524008111022848E-4</v>
      </c>
      <c r="U90" s="45">
        <f>O90*'used Standard Values'!D85</f>
        <v>2.9277790564865565E-3</v>
      </c>
    </row>
    <row r="91" spans="9:21" x14ac:dyDescent="0.3">
      <c r="I91" s="17"/>
      <c r="J91" s="17"/>
      <c r="K91" s="17"/>
      <c r="L91" s="17"/>
      <c r="M91" s="17"/>
      <c r="N91" s="52">
        <v>461</v>
      </c>
      <c r="O91" s="53">
        <v>1.7563550322299301E-3</v>
      </c>
      <c r="P91" s="49">
        <f t="shared" si="4"/>
        <v>0.99557659823033595</v>
      </c>
      <c r="Q91" s="17"/>
      <c r="R91" s="46">
        <f t="shared" si="5"/>
        <v>461</v>
      </c>
      <c r="S91" s="45">
        <f>O91*'used Standard Values'!B86</f>
        <v>4.987523141378365E-4</v>
      </c>
      <c r="T91" s="45">
        <f>O91*'used Standard Values'!C86</f>
        <v>1.0995128503700713E-4</v>
      </c>
      <c r="U91" s="45">
        <f>O91*'used Standard Values'!D86</f>
        <v>2.8936453229882349E-3</v>
      </c>
    </row>
    <row r="92" spans="9:21" x14ac:dyDescent="0.3">
      <c r="I92" s="17"/>
      <c r="J92" s="17"/>
      <c r="K92" s="17"/>
      <c r="L92" s="17"/>
      <c r="M92" s="17"/>
      <c r="N92" s="52">
        <v>462</v>
      </c>
      <c r="O92" s="53">
        <v>1.7584176481513216E-3</v>
      </c>
      <c r="P92" s="49">
        <f t="shared" si="4"/>
        <v>0.99674577650283336</v>
      </c>
      <c r="Q92" s="17"/>
      <c r="R92" s="46">
        <f t="shared" si="5"/>
        <v>462</v>
      </c>
      <c r="S92" s="45">
        <f>O92*'used Standard Values'!B87</f>
        <v>4.8659179338114114E-4</v>
      </c>
      <c r="T92" s="45">
        <f>O92*'used Standard Values'!C87</f>
        <v>1.1478514319555087E-4</v>
      </c>
      <c r="U92" s="45">
        <f>O92*'used Standard Values'!D87</f>
        <v>2.8546375419129873E-3</v>
      </c>
    </row>
    <row r="93" spans="9:21" x14ac:dyDescent="0.3">
      <c r="I93" s="17"/>
      <c r="J93" s="17"/>
      <c r="K93" s="17"/>
      <c r="L93" s="17"/>
      <c r="M93" s="17"/>
      <c r="N93" s="52">
        <v>463</v>
      </c>
      <c r="O93" s="53">
        <v>1.7601053535286036E-3</v>
      </c>
      <c r="P93" s="49">
        <f t="shared" si="4"/>
        <v>0.99770243956212168</v>
      </c>
      <c r="Q93" s="17"/>
      <c r="R93" s="46">
        <f t="shared" si="5"/>
        <v>463</v>
      </c>
      <c r="S93" s="45">
        <f>O93*'used Standard Values'!B88</f>
        <v>4.7332365943913432E-4</v>
      </c>
      <c r="T93" s="45">
        <f>O93*'used Standard Values'!C88</f>
        <v>1.1976122927322154E-4</v>
      </c>
      <c r="U93" s="45">
        <f>O93*'used Standard Values'!D88</f>
        <v>2.8091673945810349E-3</v>
      </c>
    </row>
    <row r="94" spans="9:21" x14ac:dyDescent="0.3">
      <c r="I94" s="17"/>
      <c r="J94" s="17"/>
      <c r="K94" s="17"/>
      <c r="L94" s="17"/>
      <c r="M94" s="17"/>
      <c r="N94" s="52">
        <v>464</v>
      </c>
      <c r="O94" s="53">
        <v>1.7615024875806693E-3</v>
      </c>
      <c r="P94" s="49">
        <f t="shared" si="4"/>
        <v>0.99849439445808663</v>
      </c>
      <c r="Q94" s="17"/>
      <c r="R94" s="46">
        <f t="shared" si="5"/>
        <v>464</v>
      </c>
      <c r="S94" s="45">
        <f>O94*'used Standard Values'!B89</f>
        <v>4.5873523387247438E-4</v>
      </c>
      <c r="T94" s="45">
        <f>O94*'used Standard Values'!C89</f>
        <v>1.249100614320567E-4</v>
      </c>
      <c r="U94" s="45">
        <f>O94*'used Standard Values'!D89</f>
        <v>2.7559199638896091E-3</v>
      </c>
    </row>
    <row r="95" spans="9:21" x14ac:dyDescent="0.3">
      <c r="I95" s="17"/>
      <c r="J95" s="17"/>
      <c r="K95" s="17"/>
      <c r="L95" s="17"/>
      <c r="M95" s="17"/>
      <c r="N95" s="52">
        <v>465</v>
      </c>
      <c r="O95" s="53">
        <v>1.7625561981325485E-3</v>
      </c>
      <c r="P95" s="49">
        <f t="shared" si="4"/>
        <v>0.99909168233411905</v>
      </c>
      <c r="Q95" s="17"/>
      <c r="R95" s="46">
        <f t="shared" si="5"/>
        <v>465</v>
      </c>
      <c r="S95" s="45">
        <f>O95*'used Standard Values'!B90</f>
        <v>4.4257786135108289E-4</v>
      </c>
      <c r="T95" s="45">
        <f>O95*'used Standard Values'!C90</f>
        <v>1.3025290304199532E-4</v>
      </c>
      <c r="U95" s="45">
        <f>O95*'used Standard Values'!D90</f>
        <v>2.6933621263663474E-3</v>
      </c>
    </row>
    <row r="96" spans="9:21" x14ac:dyDescent="0.3">
      <c r="I96" s="17"/>
      <c r="J96" s="17"/>
      <c r="K96" s="17"/>
      <c r="L96" s="17"/>
      <c r="M96" s="17"/>
      <c r="N96" s="52">
        <v>466</v>
      </c>
      <c r="O96" s="53">
        <v>1.7633981553381714E-3</v>
      </c>
      <c r="P96" s="49">
        <f t="shared" si="4"/>
        <v>0.99956893942351588</v>
      </c>
      <c r="Q96" s="17"/>
      <c r="R96" s="46">
        <f t="shared" si="5"/>
        <v>466</v>
      </c>
      <c r="S96" s="45">
        <f>O96*'used Standard Values'!B91</f>
        <v>4.2471003721781023E-4</v>
      </c>
      <c r="T96" s="45">
        <f>O96*'used Standard Values'!C91</f>
        <v>1.3580987233152462E-4</v>
      </c>
      <c r="U96" s="45">
        <f>O96*'used Standard Values'!D91</f>
        <v>2.6206061013870274E-3</v>
      </c>
    </row>
    <row r="97" spans="9:21" x14ac:dyDescent="0.3">
      <c r="I97" s="17"/>
      <c r="J97" s="17"/>
      <c r="K97" s="17"/>
      <c r="L97" s="17"/>
      <c r="M97" s="17"/>
      <c r="N97" s="52">
        <v>467</v>
      </c>
      <c r="O97" s="53">
        <v>1.7639058969373233E-3</v>
      </c>
      <c r="P97" s="49">
        <f t="shared" si="4"/>
        <v>0.99985674891805865</v>
      </c>
      <c r="Q97" s="17"/>
      <c r="R97" s="46">
        <f t="shared" si="5"/>
        <v>467</v>
      </c>
      <c r="S97" s="45">
        <f>O97*'used Standard Values'!B92</f>
        <v>4.0543588709812011E-4</v>
      </c>
      <c r="T97" s="45">
        <f>O97*'used Standard Values'!C92</f>
        <v>1.4158237628592997E-4</v>
      </c>
      <c r="U97" s="45">
        <f>O97*'used Standard Values'!D92</f>
        <v>2.5391804626180609E-3</v>
      </c>
    </row>
    <row r="98" spans="9:21" x14ac:dyDescent="0.3">
      <c r="I98" s="17"/>
      <c r="J98" s="17"/>
      <c r="K98" s="17"/>
      <c r="L98" s="17"/>
      <c r="M98" s="17"/>
      <c r="N98" s="52">
        <v>468</v>
      </c>
      <c r="O98" s="53">
        <v>1.7641586145675763E-3</v>
      </c>
      <c r="P98" s="49">
        <f t="shared" si="4"/>
        <v>1</v>
      </c>
      <c r="Q98" s="17"/>
      <c r="R98" s="46">
        <f t="shared" si="5"/>
        <v>468</v>
      </c>
      <c r="S98" s="45">
        <f>O98*'used Standard Values'!B93</f>
        <v>3.8530494336358353E-4</v>
      </c>
      <c r="T98" s="45">
        <f>O98*'used Standard Values'!C93</f>
        <v>1.4760150597330251E-4</v>
      </c>
      <c r="U98" s="45">
        <f>O98*'used Standard Values'!D93</f>
        <v>2.4519685987993214E-3</v>
      </c>
    </row>
    <row r="99" spans="9:21" x14ac:dyDescent="0.3">
      <c r="I99" s="17"/>
      <c r="J99" s="17"/>
      <c r="K99" s="17"/>
      <c r="L99" s="17"/>
      <c r="M99" s="17"/>
      <c r="N99" s="52">
        <v>469</v>
      </c>
      <c r="O99" s="53">
        <v>1.7640684889628838E-3</v>
      </c>
      <c r="P99" s="49">
        <f t="shared" si="4"/>
        <v>0.99994891298098232</v>
      </c>
      <c r="Q99" s="17"/>
      <c r="R99" s="46">
        <f t="shared" si="5"/>
        <v>469</v>
      </c>
      <c r="S99" s="45">
        <f>O99*'used Standard Values'!B94</f>
        <v>3.6482965030514746E-4</v>
      </c>
      <c r="T99" s="45">
        <f>O99*'used Standard Values'!C94</f>
        <v>1.5388463368400145E-4</v>
      </c>
      <c r="U99" s="45">
        <f>O99*'used Standard Values'!D94</f>
        <v>2.3616223454539132E-3</v>
      </c>
    </row>
    <row r="100" spans="9:21" x14ac:dyDescent="0.3">
      <c r="I100" s="17"/>
      <c r="J100" s="17"/>
      <c r="K100" s="17"/>
      <c r="L100" s="17"/>
      <c r="M100" s="17"/>
      <c r="N100" s="52">
        <v>470</v>
      </c>
      <c r="O100" s="53">
        <v>1.7637547744829957E-3</v>
      </c>
      <c r="P100" s="49">
        <f t="shared" si="4"/>
        <v>0.99977108629504974</v>
      </c>
      <c r="Q100" s="17"/>
      <c r="R100" s="46">
        <f t="shared" si="5"/>
        <v>470</v>
      </c>
      <c r="S100" s="45">
        <f>O100*'used Standard Values'!B95</f>
        <v>3.4456713274299807E-4</v>
      </c>
      <c r="T100" s="45">
        <f>O100*'used Standard Values'!C95</f>
        <v>1.6046640938246297E-4</v>
      </c>
      <c r="U100" s="45">
        <f>O100*'used Standard Values'!D95</f>
        <v>2.2710811978152844E-3</v>
      </c>
    </row>
    <row r="101" spans="9:21" x14ac:dyDescent="0.3">
      <c r="I101" s="17"/>
      <c r="J101" s="17"/>
      <c r="K101" s="17"/>
      <c r="L101" s="17"/>
      <c r="M101" s="17"/>
      <c r="N101" s="52">
        <v>471</v>
      </c>
      <c r="O101" s="53">
        <v>1.76312811355464E-3</v>
      </c>
      <c r="P101" s="49">
        <f t="shared" si="4"/>
        <v>0.99941586827600026</v>
      </c>
      <c r="Q101" s="17"/>
      <c r="R101" s="46">
        <f t="shared" si="5"/>
        <v>471</v>
      </c>
      <c r="S101" s="45">
        <f>O101*'used Standard Values'!B96</f>
        <v>3.2479217705910904E-4</v>
      </c>
      <c r="T101" s="45">
        <f>O101*'used Standard Values'!C96</f>
        <v>1.6735180087472823E-4</v>
      </c>
      <c r="U101" s="45">
        <f>O101*'used Standard Values'!D96</f>
        <v>2.1817340454694436E-3</v>
      </c>
    </row>
    <row r="102" spans="9:21" x14ac:dyDescent="0.3">
      <c r="I102" s="17"/>
      <c r="J102" s="17"/>
      <c r="K102" s="17"/>
      <c r="L102" s="17"/>
      <c r="M102" s="17"/>
      <c r="N102" s="52">
        <v>472</v>
      </c>
      <c r="O102" s="53">
        <v>1.762229965461153E-3</v>
      </c>
      <c r="P102" s="49">
        <f t="shared" si="4"/>
        <v>0.99890675980578081</v>
      </c>
      <c r="Q102" s="17"/>
      <c r="R102" s="46">
        <f t="shared" si="5"/>
        <v>472</v>
      </c>
      <c r="S102" s="45">
        <f>O102*'used Standard Values'!B97</f>
        <v>3.0544256189247488E-4</v>
      </c>
      <c r="T102" s="45">
        <f>O102*'used Standard Values'!C97</f>
        <v>1.7454154720227089E-4</v>
      </c>
      <c r="U102" s="45">
        <f>O102*'used Standard Values'!D97</f>
        <v>2.0932195751629181E-3</v>
      </c>
    </row>
    <row r="103" spans="9:21" x14ac:dyDescent="0.3">
      <c r="I103" s="17"/>
      <c r="J103" s="17"/>
      <c r="K103" s="17"/>
      <c r="L103" s="17"/>
      <c r="M103" s="17"/>
      <c r="N103" s="52">
        <v>473</v>
      </c>
      <c r="O103" s="53">
        <v>1.7610185865622567E-3</v>
      </c>
      <c r="P103" s="49">
        <f t="shared" si="4"/>
        <v>0.99822009881685758</v>
      </c>
      <c r="Q103" s="17"/>
      <c r="R103" s="46">
        <f t="shared" si="5"/>
        <v>473</v>
      </c>
      <c r="S103" s="45">
        <f>O103*'used Standard Values'!B98</f>
        <v>2.8649676791249907E-4</v>
      </c>
      <c r="T103" s="45">
        <f>O103*'used Standard Values'!C98</f>
        <v>1.820319126446154E-4</v>
      </c>
      <c r="U103" s="45">
        <f>O103*'used Standard Values'!D98</f>
        <v>2.0053794627540806E-3</v>
      </c>
    </row>
    <row r="104" spans="9:21" x14ac:dyDescent="0.3">
      <c r="I104" s="17"/>
      <c r="J104" s="17"/>
      <c r="K104" s="17"/>
      <c r="L104" s="17"/>
      <c r="M104" s="17"/>
      <c r="N104" s="52">
        <v>474</v>
      </c>
      <c r="O104" s="53">
        <v>1.7595359147710549E-3</v>
      </c>
      <c r="P104" s="49">
        <f t="shared" si="4"/>
        <v>0.99737965749884994</v>
      </c>
      <c r="Q104" s="17"/>
      <c r="R104" s="46">
        <f t="shared" si="5"/>
        <v>474</v>
      </c>
      <c r="S104" s="45">
        <f>O104*'used Standard Values'!B99</f>
        <v>2.6794793556985503E-4</v>
      </c>
      <c r="T104" s="45">
        <f>O104*'used Standard Values'!C99</f>
        <v>1.8982682835070935E-4</v>
      </c>
      <c r="U104" s="45">
        <f>O104*'used Standard Values'!D99</f>
        <v>1.9181545584158357E-3</v>
      </c>
    </row>
    <row r="105" spans="9:21" x14ac:dyDescent="0.3">
      <c r="I105" s="17"/>
      <c r="J105" s="17"/>
      <c r="K105" s="17"/>
      <c r="L105" s="17"/>
      <c r="M105" s="17"/>
      <c r="N105" s="52">
        <v>475</v>
      </c>
      <c r="O105" s="53">
        <v>1.7577249521695639E-3</v>
      </c>
      <c r="P105" s="49">
        <f t="shared" si="4"/>
        <v>0.99635312701200085</v>
      </c>
      <c r="Q105" s="17"/>
      <c r="R105" s="46">
        <f t="shared" si="5"/>
        <v>475</v>
      </c>
      <c r="S105" s="45">
        <f>O105*'used Standard Values'!B100</f>
        <v>2.4977271570329502E-4</v>
      </c>
      <c r="T105" s="45">
        <f>O105*'used Standard Values'!C100</f>
        <v>1.9791982961429291E-4</v>
      </c>
      <c r="U105" s="45">
        <f>O105*'used Standard Values'!D100</f>
        <v>1.8313736276654687E-3</v>
      </c>
    </row>
    <row r="106" spans="9:21" x14ac:dyDescent="0.3">
      <c r="I106" s="17"/>
      <c r="J106" s="17"/>
      <c r="K106" s="17"/>
      <c r="L106" s="17"/>
      <c r="M106" s="17"/>
      <c r="N106" s="52">
        <v>476</v>
      </c>
      <c r="O106" s="53">
        <v>1.7555644082266769E-3</v>
      </c>
      <c r="P106" s="49">
        <f t="shared" si="4"/>
        <v>0.99512843897939074</v>
      </c>
      <c r="Q106" s="17"/>
      <c r="R106" s="46">
        <f t="shared" si="5"/>
        <v>476</v>
      </c>
      <c r="S106" s="45">
        <f>O106*'used Standard Values'!B101</f>
        <v>2.3204804568923064E-4</v>
      </c>
      <c r="T106" s="45">
        <f>O106*'used Standard Values'!C101</f>
        <v>2.0633499602769779E-4</v>
      </c>
      <c r="U106" s="45">
        <f>O106*'used Standard Values'!D101</f>
        <v>1.7453779213043824E-3</v>
      </c>
    </row>
    <row r="107" spans="9:21" x14ac:dyDescent="0.3">
      <c r="I107" s="17"/>
      <c r="J107" s="17"/>
      <c r="K107" s="17"/>
      <c r="L107" s="17"/>
      <c r="M107" s="17"/>
      <c r="N107" s="52">
        <v>477</v>
      </c>
      <c r="O107" s="53">
        <v>1.7530975131249921E-3</v>
      </c>
      <c r="P107" s="49">
        <f t="shared" si="4"/>
        <v>0.99373009810385127</v>
      </c>
      <c r="Q107" s="17"/>
      <c r="R107" s="46">
        <f t="shared" si="5"/>
        <v>477</v>
      </c>
      <c r="S107" s="45">
        <f>O107*'used Standard Values'!B102</f>
        <v>2.1487646094472504E-4</v>
      </c>
      <c r="T107" s="45">
        <f>O107*'used Standard Values'!C102</f>
        <v>2.1506018556410053E-4</v>
      </c>
      <c r="U107" s="45">
        <f>O107*'used Standard Values'!D102</f>
        <v>1.6607921956956757E-3</v>
      </c>
    </row>
    <row r="108" spans="9:21" x14ac:dyDescent="0.3">
      <c r="I108" s="17"/>
      <c r="J108" s="17"/>
      <c r="K108" s="17"/>
      <c r="L108" s="17"/>
      <c r="M108" s="17"/>
      <c r="N108" s="52">
        <v>478</v>
      </c>
      <c r="O108" s="53">
        <v>1.7502992859733098E-3</v>
      </c>
      <c r="P108" s="49">
        <f t="shared" si="4"/>
        <v>0.99214394415568818</v>
      </c>
      <c r="Q108" s="17"/>
      <c r="R108" s="46">
        <f t="shared" si="5"/>
        <v>478</v>
      </c>
      <c r="S108" s="45">
        <f>O108*'used Standard Values'!B103</f>
        <v>1.9826550167848387E-4</v>
      </c>
      <c r="T108" s="45">
        <f>O108*'used Standard Values'!C103</f>
        <v>2.2402570644972463E-4</v>
      </c>
      <c r="U108" s="45">
        <f>O108*'used Standard Values'!D103</f>
        <v>1.5778127172684266E-3</v>
      </c>
    </row>
    <row r="109" spans="9:21" x14ac:dyDescent="0.3">
      <c r="I109" s="17"/>
      <c r="J109" s="17"/>
      <c r="K109" s="17"/>
      <c r="L109" s="17"/>
      <c r="M109" s="17"/>
      <c r="N109" s="52">
        <v>479</v>
      </c>
      <c r="O109" s="53">
        <v>1.7471634561965872E-3</v>
      </c>
      <c r="P109" s="49">
        <f t="shared" si="4"/>
        <v>0.99036642270675024</v>
      </c>
      <c r="Q109" s="17"/>
      <c r="R109" s="46">
        <f t="shared" si="5"/>
        <v>479</v>
      </c>
      <c r="S109" s="45">
        <f>O109*'used Standard Values'!B104</f>
        <v>1.8222547943804604E-4</v>
      </c>
      <c r="T109" s="45">
        <f>O109*'used Standard Values'!C104</f>
        <v>2.3316385528711193E-4</v>
      </c>
      <c r="U109" s="45">
        <f>O109*'used Standard Values'!D104</f>
        <v>1.4966539368327012E-3</v>
      </c>
    </row>
    <row r="110" spans="9:21" x14ac:dyDescent="0.3">
      <c r="I110" s="17"/>
      <c r="J110" s="17"/>
      <c r="K110" s="17"/>
      <c r="L110" s="17"/>
      <c r="M110" s="17"/>
      <c r="N110" s="52">
        <v>480</v>
      </c>
      <c r="O110" s="53">
        <v>1.7437091754716628E-3</v>
      </c>
      <c r="P110" s="49">
        <f t="shared" si="4"/>
        <v>0.9884083897405529</v>
      </c>
      <c r="Q110" s="17"/>
      <c r="R110" s="46">
        <f t="shared" si="5"/>
        <v>480</v>
      </c>
      <c r="S110" s="45">
        <f>O110*'used Standard Values'!B105</f>
        <v>1.6676834554210984E-4</v>
      </c>
      <c r="T110" s="45">
        <f>O110*'used Standard Values'!C105</f>
        <v>2.4241044957407058E-4</v>
      </c>
      <c r="U110" s="45">
        <f>O110*'used Standard Values'!D105</f>
        <v>1.4175485485706059E-3</v>
      </c>
    </row>
    <row r="111" spans="9:21" x14ac:dyDescent="0.3">
      <c r="I111" s="17"/>
      <c r="J111" s="17"/>
      <c r="K111" s="17"/>
      <c r="L111" s="17"/>
      <c r="M111" s="17"/>
      <c r="N111" s="52">
        <v>481</v>
      </c>
      <c r="O111" s="53">
        <v>1.7398866296511326E-3</v>
      </c>
      <c r="P111" s="49">
        <f t="shared" si="4"/>
        <v>0.98624160848349052</v>
      </c>
      <c r="Q111" s="17"/>
      <c r="R111" s="46">
        <f t="shared" si="5"/>
        <v>481</v>
      </c>
      <c r="S111" s="45">
        <f>O111*'used Standard Values'!B106</f>
        <v>1.5189131981956054E-4</v>
      </c>
      <c r="T111" s="45">
        <f>O111*'used Standard Values'!C106</f>
        <v>2.5172053398605913E-4</v>
      </c>
      <c r="U111" s="45">
        <f>O111*'used Standard Values'!D106</f>
        <v>1.3406127481848905E-3</v>
      </c>
    </row>
    <row r="112" spans="9:21" x14ac:dyDescent="0.3">
      <c r="I112" s="17"/>
      <c r="J112" s="17"/>
      <c r="K112" s="17"/>
      <c r="L112" s="17"/>
      <c r="M112" s="17"/>
      <c r="N112" s="52">
        <v>482</v>
      </c>
      <c r="O112" s="53">
        <v>1.7358046345799559E-3</v>
      </c>
      <c r="P112" s="49">
        <f t="shared" si="4"/>
        <v>0.98392776037625707</v>
      </c>
      <c r="Q112" s="17"/>
      <c r="R112" s="46">
        <f t="shared" si="5"/>
        <v>482</v>
      </c>
      <c r="S112" s="45">
        <f>O112*'used Standard Values'!B107</f>
        <v>1.3766326339145253E-4</v>
      </c>
      <c r="T112" s="45">
        <f>O112*'used Standard Values'!C107</f>
        <v>2.6118530830200175E-4</v>
      </c>
      <c r="U112" s="45">
        <f>O112*'used Standard Values'!D107</f>
        <v>1.2661736645102491E-3</v>
      </c>
    </row>
    <row r="113" spans="9:21" x14ac:dyDescent="0.3">
      <c r="I113" s="17"/>
      <c r="J113" s="17"/>
      <c r="K113" s="17"/>
      <c r="L113" s="17"/>
      <c r="M113" s="17"/>
      <c r="N113" s="52">
        <v>483</v>
      </c>
      <c r="O113" s="53">
        <v>1.7313986931207332E-3</v>
      </c>
      <c r="P113" s="49">
        <f t="shared" si="4"/>
        <v>0.98143028570315194</v>
      </c>
      <c r="Q113" s="17"/>
      <c r="R113" s="46">
        <f t="shared" si="5"/>
        <v>483</v>
      </c>
      <c r="S113" s="45">
        <f>O113*'used Standard Values'!B108</f>
        <v>1.241720359375464E-4</v>
      </c>
      <c r="T113" s="45">
        <f>O113*'used Standard Values'!C108</f>
        <v>2.7089792918318681E-4</v>
      </c>
      <c r="U113" s="45">
        <f>O113*'used Standard Values'!D108</f>
        <v>1.1945155054062203E-3</v>
      </c>
    </row>
    <row r="114" spans="9:21" x14ac:dyDescent="0.3">
      <c r="I114" s="17"/>
      <c r="J114" s="17"/>
      <c r="K114" s="17"/>
      <c r="L114" s="17"/>
      <c r="M114" s="17"/>
      <c r="N114" s="52">
        <v>484</v>
      </c>
      <c r="O114" s="53">
        <v>1.7266711858620134E-3</v>
      </c>
      <c r="P114" s="49">
        <f t="shared" si="4"/>
        <v>0.97875053388283251</v>
      </c>
      <c r="Q114" s="17"/>
      <c r="R114" s="46">
        <f t="shared" si="5"/>
        <v>484</v>
      </c>
      <c r="S114" s="45">
        <f>O114*'used Standard Values'!B109</f>
        <v>1.1151013458744284E-4</v>
      </c>
      <c r="T114" s="45">
        <f>O114*'used Standard Values'!C109</f>
        <v>2.8095996401973931E-4</v>
      </c>
      <c r="U114" s="45">
        <f>O114*'used Standard Values'!D109</f>
        <v>1.1259707409894298E-3</v>
      </c>
    </row>
    <row r="115" spans="9:21" x14ac:dyDescent="0.3">
      <c r="I115" s="17"/>
      <c r="J115" s="17"/>
      <c r="K115" s="17"/>
      <c r="L115" s="17"/>
      <c r="M115" s="17"/>
      <c r="N115" s="52">
        <v>485</v>
      </c>
      <c r="O115" s="53">
        <v>1.7216355541773076E-3</v>
      </c>
      <c r="P115" s="49">
        <f t="shared" si="4"/>
        <v>0.97589612405645743</v>
      </c>
      <c r="Q115" s="17"/>
      <c r="R115" s="46">
        <f t="shared" si="5"/>
        <v>485</v>
      </c>
      <c r="S115" s="45">
        <f>O115*'used Standard Values'!B110</f>
        <v>9.9768797580930524E-5</v>
      </c>
      <c r="T115" s="45">
        <f>O115*'used Standard Values'!C110</f>
        <v>2.9147289932221818E-4</v>
      </c>
      <c r="U115" s="45">
        <f>O115*'used Standard Values'!D110</f>
        <v>1.0608718284840569E-3</v>
      </c>
    </row>
    <row r="116" spans="9:21" x14ac:dyDescent="0.3">
      <c r="I116" s="17"/>
      <c r="J116" s="17"/>
      <c r="K116" s="17"/>
      <c r="L116" s="17"/>
      <c r="M116" s="17"/>
      <c r="N116" s="52">
        <v>486</v>
      </c>
      <c r="O116" s="53">
        <v>1.7163749967691454E-3</v>
      </c>
      <c r="P116" s="49">
        <f t="shared" si="4"/>
        <v>0.97291421678081735</v>
      </c>
      <c r="Q116" s="17"/>
      <c r="R116" s="46">
        <f t="shared" si="5"/>
        <v>486</v>
      </c>
      <c r="S116" s="45">
        <f>O116*'used Standard Values'!B111</f>
        <v>8.9014828883691066E-5</v>
      </c>
      <c r="T116" s="45">
        <f>O116*'used Standard Values'!C111</f>
        <v>3.0249925019308421E-4</v>
      </c>
      <c r="U116" s="45">
        <f>O116*'used Standard Values'!D111</f>
        <v>9.9949424894358089E-4</v>
      </c>
    </row>
    <row r="117" spans="9:21" x14ac:dyDescent="0.3">
      <c r="I117" s="17"/>
      <c r="J117" s="17"/>
      <c r="K117" s="17"/>
      <c r="L117" s="17"/>
      <c r="M117" s="17"/>
      <c r="N117" s="52">
        <v>487</v>
      </c>
      <c r="O117" s="53">
        <v>1.7108337347274819E-3</v>
      </c>
      <c r="P117" s="49">
        <f t="shared" si="4"/>
        <v>0.96977319420160801</v>
      </c>
      <c r="Q117" s="17"/>
      <c r="R117" s="46">
        <f t="shared" si="5"/>
        <v>487</v>
      </c>
      <c r="S117" s="45">
        <f>O117*'used Standard Values'!B112</f>
        <v>7.9179985710464649E-5</v>
      </c>
      <c r="T117" s="45">
        <f>O117*'used Standard Values'!C112</f>
        <v>3.1403738976248062E-4</v>
      </c>
      <c r="U117" s="45">
        <f>O117*'used Standard Values'!D112</f>
        <v>9.4167060310050869E-4</v>
      </c>
    </row>
    <row r="118" spans="9:21" x14ac:dyDescent="0.3">
      <c r="I118" s="17"/>
      <c r="J118" s="17"/>
      <c r="K118" s="17"/>
      <c r="L118" s="17"/>
      <c r="M118" s="17"/>
      <c r="N118" s="52">
        <v>488</v>
      </c>
      <c r="O118" s="53">
        <v>1.7050996060146747E-3</v>
      </c>
      <c r="P118" s="49">
        <f t="shared" si="4"/>
        <v>0.96652284660504972</v>
      </c>
      <c r="Q118" s="17"/>
      <c r="R118" s="46">
        <f t="shared" si="5"/>
        <v>488</v>
      </c>
      <c r="S118" s="45">
        <f>O118*'used Standard Values'!B113</f>
        <v>7.0166349275157155E-5</v>
      </c>
      <c r="T118" s="45">
        <f>O118*'used Standard Values'!C113</f>
        <v>3.2614036949104788E-4</v>
      </c>
      <c r="U118" s="45">
        <f>O118*'used Standard Values'!D113</f>
        <v>8.8722743675462127E-4</v>
      </c>
    </row>
    <row r="119" spans="9:21" x14ac:dyDescent="0.3">
      <c r="I119" s="17"/>
      <c r="J119" s="17"/>
      <c r="K119" s="17"/>
      <c r="L119" s="17"/>
      <c r="M119" s="17"/>
      <c r="N119" s="52">
        <v>489</v>
      </c>
      <c r="O119" s="53">
        <v>1.6991026165297705E-3</v>
      </c>
      <c r="P119" s="49">
        <f t="shared" si="4"/>
        <v>0.96312349836312638</v>
      </c>
      <c r="Q119" s="17"/>
      <c r="R119" s="46">
        <f t="shared" si="5"/>
        <v>489</v>
      </c>
      <c r="S119" s="45">
        <f>O119*'used Standard Values'!B114</f>
        <v>6.1869134728253727E-5</v>
      </c>
      <c r="T119" s="45">
        <f>O119*'used Standard Values'!C114</f>
        <v>3.3883164558313377E-4</v>
      </c>
      <c r="U119" s="45">
        <f>O119*'used Standard Values'!D114</f>
        <v>8.3590292667708654E-4</v>
      </c>
    </row>
    <row r="120" spans="9:21" x14ac:dyDescent="0.3">
      <c r="I120" s="17"/>
      <c r="J120" s="17"/>
      <c r="K120" s="17"/>
      <c r="L120" s="17"/>
      <c r="M120" s="17"/>
      <c r="N120" s="52">
        <v>490</v>
      </c>
      <c r="O120" s="53">
        <v>1.6929314288702598E-3</v>
      </c>
      <c r="P120" s="49">
        <f t="shared" si="4"/>
        <v>0.95962540720026157</v>
      </c>
      <c r="Q120" s="17"/>
      <c r="R120" s="46">
        <f t="shared" si="5"/>
        <v>490</v>
      </c>
      <c r="S120" s="45">
        <f>O120*'used Standard Values'!B115</f>
        <v>5.4190735038137013E-5</v>
      </c>
      <c r="T120" s="45">
        <f>O120*'used Standard Values'!C115</f>
        <v>3.5216359583359146E-4</v>
      </c>
      <c r="U120" s="45">
        <f>O120*'used Standard Values'!D115</f>
        <v>7.875178420818674E-4</v>
      </c>
    </row>
    <row r="121" spans="9:21" x14ac:dyDescent="0.3">
      <c r="I121" s="17"/>
      <c r="J121" s="17"/>
      <c r="K121" s="17"/>
      <c r="L121" s="17"/>
      <c r="M121" s="17"/>
      <c r="N121" s="52">
        <v>491</v>
      </c>
      <c r="O121" s="53">
        <v>1.6866150582543272E-3</v>
      </c>
      <c r="P121" s="49">
        <f t="shared" si="4"/>
        <v>0.95604502017396187</v>
      </c>
      <c r="Q121" s="17"/>
      <c r="R121" s="46">
        <f t="shared" si="5"/>
        <v>491</v>
      </c>
      <c r="S121" s="45">
        <f>O121*'used Standard Values'!B116</f>
        <v>4.7085569904297705E-5</v>
      </c>
      <c r="T121" s="45">
        <f>O121*'used Standard Values'!C116</f>
        <v>3.6619769278667369E-4</v>
      </c>
      <c r="U121" s="45">
        <f>O121*'used Standard Values'!D116</f>
        <v>7.419834548565116E-4</v>
      </c>
    </row>
    <row r="122" spans="9:21" x14ac:dyDescent="0.3">
      <c r="I122" s="17"/>
      <c r="J122" s="17"/>
      <c r="K122" s="17"/>
      <c r="L122" s="17"/>
      <c r="M122" s="17"/>
      <c r="N122" s="52">
        <v>492</v>
      </c>
      <c r="O122" s="53">
        <v>1.6801482588008614E-3</v>
      </c>
      <c r="P122" s="49">
        <f t="shared" si="4"/>
        <v>0.95237936369609988</v>
      </c>
      <c r="Q122" s="17"/>
      <c r="R122" s="46">
        <f t="shared" si="5"/>
        <v>492</v>
      </c>
      <c r="S122" s="45">
        <f>O122*'used Standard Values'!B117</f>
        <v>4.0566171619791516E-5</v>
      </c>
      <c r="T122" s="45">
        <f>O122*'used Standard Values'!C117</f>
        <v>3.8094757538508389E-4</v>
      </c>
      <c r="U122" s="45">
        <f>O122*'used Standard Values'!D117</f>
        <v>6.992501508814742E-4</v>
      </c>
    </row>
    <row r="123" spans="9:21" x14ac:dyDescent="0.3">
      <c r="I123" s="17"/>
      <c r="J123" s="17"/>
      <c r="K123" s="17"/>
      <c r="L123" s="17"/>
      <c r="M123" s="17"/>
      <c r="N123" s="52">
        <v>493</v>
      </c>
      <c r="O123" s="53">
        <v>1.673550819055656E-3</v>
      </c>
      <c r="P123" s="49">
        <f t="shared" si="4"/>
        <v>0.94863965475455292</v>
      </c>
      <c r="Q123" s="17"/>
      <c r="R123" s="46">
        <f t="shared" si="5"/>
        <v>493</v>
      </c>
      <c r="S123" s="45">
        <f>O123*'used Standard Values'!B118</f>
        <v>3.4620745793804355E-5</v>
      </c>
      <c r="T123" s="45">
        <f>O123*'used Standard Values'!C118</f>
        <v>3.9639239370414738E-4</v>
      </c>
      <c r="U123" s="45">
        <f>O123*'used Standard Values'!D118</f>
        <v>6.5918187842144377E-4</v>
      </c>
    </row>
    <row r="124" spans="9:21" x14ac:dyDescent="0.3">
      <c r="I124" s="17"/>
      <c r="J124" s="17"/>
      <c r="K124" s="17"/>
      <c r="L124" s="17"/>
      <c r="M124" s="17"/>
      <c r="N124" s="52">
        <v>494</v>
      </c>
      <c r="O124" s="53">
        <v>1.6668848892332829E-3</v>
      </c>
      <c r="P124" s="49">
        <f t="shared" si="4"/>
        <v>0.94486112272952461</v>
      </c>
      <c r="Q124" s="17"/>
      <c r="R124" s="46">
        <f t="shared" si="5"/>
        <v>494</v>
      </c>
      <c r="S124" s="45">
        <f>O124*'used Standard Values'!B119</f>
        <v>2.9237827711107477E-5</v>
      </c>
      <c r="T124" s="45">
        <f>O124*'used Standard Values'!C119</f>
        <v>4.1252267264931994E-4</v>
      </c>
      <c r="U124" s="45">
        <f>O124*'used Standard Values'!D119</f>
        <v>6.2165788521150703E-4</v>
      </c>
    </row>
    <row r="125" spans="9:21" x14ac:dyDescent="0.3">
      <c r="I125" s="17"/>
      <c r="J125" s="17"/>
      <c r="K125" s="17"/>
      <c r="L125" s="17"/>
      <c r="M125" s="17"/>
      <c r="N125" s="52">
        <v>495</v>
      </c>
      <c r="O125" s="53">
        <v>1.6601014351603379E-3</v>
      </c>
      <c r="P125" s="49">
        <f t="shared" si="4"/>
        <v>0.94101597296978623</v>
      </c>
      <c r="Q125" s="17"/>
      <c r="R125" s="46">
        <f t="shared" si="5"/>
        <v>495</v>
      </c>
      <c r="S125" s="45">
        <f>O125*'used Standard Values'!B120</f>
        <v>2.4403491096856967E-5</v>
      </c>
      <c r="T125" s="45">
        <f>O125*'used Standard Values'!C120</f>
        <v>4.2930223113246338E-4</v>
      </c>
      <c r="U125" s="45">
        <f>O125*'used Standard Values'!D120</f>
        <v>5.8651383704214739E-4</v>
      </c>
    </row>
    <row r="126" spans="9:21" x14ac:dyDescent="0.3">
      <c r="I126" s="17"/>
      <c r="J126" s="17"/>
      <c r="K126" s="17"/>
      <c r="L126" s="17"/>
      <c r="M126" s="17"/>
      <c r="N126" s="52">
        <v>496</v>
      </c>
      <c r="O126" s="53">
        <v>1.6532994085227152E-3</v>
      </c>
      <c r="P126" s="49">
        <f t="shared" si="4"/>
        <v>0.93716029549189117</v>
      </c>
      <c r="Q126" s="17"/>
      <c r="R126" s="46">
        <f t="shared" si="5"/>
        <v>496</v>
      </c>
      <c r="S126" s="45">
        <f>O126*'used Standard Values'!B121</f>
        <v>2.0107080213577475E-5</v>
      </c>
      <c r="T126" s="45">
        <f>O126*'used Standard Values'!C121</f>
        <v>4.4669653536176898E-4</v>
      </c>
      <c r="U126" s="45">
        <f>O126*'used Standard Values'!D121</f>
        <v>5.5362020267921759E-4</v>
      </c>
    </row>
    <row r="127" spans="9:21" x14ac:dyDescent="0.3">
      <c r="I127" s="17"/>
      <c r="J127" s="17"/>
      <c r="K127" s="17"/>
      <c r="L127" s="17"/>
      <c r="M127" s="17"/>
      <c r="N127" s="52">
        <v>497</v>
      </c>
      <c r="O127" s="53">
        <v>1.6464988699717129E-3</v>
      </c>
      <c r="P127" s="49">
        <f t="shared" si="4"/>
        <v>0.9333054615246692</v>
      </c>
      <c r="Q127" s="17"/>
      <c r="R127" s="46">
        <f t="shared" si="5"/>
        <v>497</v>
      </c>
      <c r="S127" s="45">
        <f>O127*'used Standard Values'!B122</f>
        <v>1.6333202930164593E-5</v>
      </c>
      <c r="T127" s="45">
        <f>O127*'used Standard Values'!C122</f>
        <v>4.6479658734990771E-4</v>
      </c>
      <c r="U127" s="45">
        <f>O127*'used Standard Values'!D122</f>
        <v>5.2284917380714438E-4</v>
      </c>
    </row>
    <row r="128" spans="9:21" x14ac:dyDescent="0.3">
      <c r="I128" s="17"/>
      <c r="J128" s="17"/>
      <c r="K128" s="17"/>
      <c r="L128" s="17"/>
      <c r="M128" s="17"/>
      <c r="N128" s="52">
        <v>498</v>
      </c>
      <c r="O128" s="53">
        <v>1.6397141431903971E-3</v>
      </c>
      <c r="P128" s="49">
        <f t="shared" si="4"/>
        <v>0.92945959033979342</v>
      </c>
      <c r="Q128" s="17"/>
      <c r="R128" s="46">
        <f t="shared" si="5"/>
        <v>498</v>
      </c>
      <c r="S128" s="45">
        <f>O128*'used Standard Values'!B123</f>
        <v>1.3063996110192259E-5</v>
      </c>
      <c r="T128" s="45">
        <f>O128*'used Standard Values'!C123</f>
        <v>4.8379847780539824E-4</v>
      </c>
      <c r="U128" s="45">
        <f>O128*'used Standard Values'!D123</f>
        <v>4.9410736062363624E-4</v>
      </c>
    </row>
    <row r="129" spans="9:21" x14ac:dyDescent="0.3">
      <c r="I129" s="17"/>
      <c r="J129" s="17"/>
      <c r="K129" s="17"/>
      <c r="L129" s="17"/>
      <c r="M129" s="17"/>
      <c r="N129" s="52">
        <v>499</v>
      </c>
      <c r="O129" s="53">
        <v>1.6329493885205609E-3</v>
      </c>
      <c r="P129" s="49">
        <f t="shared" si="4"/>
        <v>0.92562504019561931</v>
      </c>
      <c r="Q129" s="17"/>
      <c r="R129" s="46">
        <f t="shared" si="5"/>
        <v>499</v>
      </c>
      <c r="S129" s="45">
        <f>O129*'used Standard Values'!B124</f>
        <v>1.0281614350613879E-5</v>
      </c>
      <c r="T129" s="45">
        <f>O129*'used Standard Values'!C124</f>
        <v>5.0389225641089765E-4</v>
      </c>
      <c r="U129" s="45">
        <f>O129*'used Standard Values'!D124</f>
        <v>4.6729884038378497E-4</v>
      </c>
    </row>
    <row r="130" spans="9:21" x14ac:dyDescent="0.3">
      <c r="I130" s="17"/>
      <c r="J130" s="17"/>
      <c r="K130" s="17"/>
      <c r="L130" s="17"/>
      <c r="M130" s="17"/>
      <c r="N130" s="52">
        <v>500</v>
      </c>
      <c r="O130" s="53">
        <v>1.6262573670441168E-3</v>
      </c>
      <c r="P130" s="49">
        <f t="shared" si="4"/>
        <v>0.92183171831334376</v>
      </c>
      <c r="Q130" s="17"/>
      <c r="R130" s="46">
        <f t="shared" si="5"/>
        <v>500</v>
      </c>
      <c r="S130" s="45">
        <f>O130*'used Standard Values'!B125</f>
        <v>7.9686610985161715E-6</v>
      </c>
      <c r="T130" s="45">
        <f>O130*'used Standard Values'!C125</f>
        <v>5.2528112955524972E-4</v>
      </c>
      <c r="U130" s="45">
        <f>O130*'used Standard Values'!D125</f>
        <v>4.423420038359998E-4</v>
      </c>
    </row>
    <row r="131" spans="9:21" x14ac:dyDescent="0.3">
      <c r="I131" s="17"/>
      <c r="J131" s="17"/>
      <c r="K131" s="17"/>
      <c r="L131" s="17"/>
      <c r="M131" s="17"/>
      <c r="N131" s="52">
        <v>501</v>
      </c>
      <c r="O131" s="53">
        <v>1.6195962733488243E-3</v>
      </c>
      <c r="P131" s="49">
        <f t="shared" si="4"/>
        <v>0.91805592761046229</v>
      </c>
      <c r="Q131" s="17"/>
      <c r="R131" s="46">
        <f t="shared" si="5"/>
        <v>501</v>
      </c>
      <c r="S131" s="45">
        <f>O131*'used Standard Values'!B126</f>
        <v>6.1174953145937989E-6</v>
      </c>
      <c r="T131" s="45">
        <f>O131*'used Standard Values'!C126</f>
        <v>5.4807478005341613E-4</v>
      </c>
      <c r="U131" s="45">
        <f>O131*'used Standard Values'!D126</f>
        <v>4.1917921063895001E-4</v>
      </c>
    </row>
    <row r="132" spans="9:21" x14ac:dyDescent="0.3">
      <c r="I132" s="17"/>
      <c r="J132" s="17"/>
      <c r="K132" s="17"/>
      <c r="L132" s="17"/>
      <c r="M132" s="17"/>
      <c r="N132" s="52">
        <v>502</v>
      </c>
      <c r="O132" s="53">
        <v>1.6130689511661392E-3</v>
      </c>
      <c r="P132" s="49">
        <f t="shared" si="4"/>
        <v>0.91435596428018939</v>
      </c>
      <c r="Q132" s="17"/>
      <c r="R132" s="46">
        <f t="shared" si="5"/>
        <v>502</v>
      </c>
      <c r="S132" s="45">
        <f>O132*'used Standard Values'!B127</f>
        <v>4.7510042432486526E-6</v>
      </c>
      <c r="T132" s="45">
        <f>O132*'used Standard Values'!C127</f>
        <v>5.7213265139952302E-4</v>
      </c>
      <c r="U132" s="45">
        <f>O132*'used Standard Values'!D127</f>
        <v>3.975953647454444E-4</v>
      </c>
    </row>
    <row r="133" spans="9:21" x14ac:dyDescent="0.3">
      <c r="I133" s="17"/>
      <c r="J133" s="17"/>
      <c r="K133" s="17"/>
      <c r="L133" s="17"/>
      <c r="M133" s="17"/>
      <c r="N133" s="52">
        <v>503</v>
      </c>
      <c r="O133" s="53">
        <v>1.6066521592063279E-3</v>
      </c>
      <c r="P133" s="49">
        <f t="shared" si="4"/>
        <v>0.91071865417279618</v>
      </c>
      <c r="Q133" s="17"/>
      <c r="R133" s="46">
        <f t="shared" si="5"/>
        <v>503</v>
      </c>
      <c r="S133" s="45">
        <f>O133*'used Standard Values'!B128</f>
        <v>3.8959386878162404E-6</v>
      </c>
      <c r="T133" s="45">
        <f>O133*'used Standard Values'!C128</f>
        <v>5.9719035826396921E-4</v>
      </c>
      <c r="U133" s="45">
        <f>O133*'used Standard Values'!D128</f>
        <v>3.7719661939075619E-4</v>
      </c>
    </row>
    <row r="134" spans="9:21" x14ac:dyDescent="0.3">
      <c r="I134" s="17"/>
      <c r="J134" s="17"/>
      <c r="K134" s="17"/>
      <c r="L134" s="17"/>
      <c r="M134" s="17"/>
      <c r="N134" s="52">
        <v>504</v>
      </c>
      <c r="O134" s="53">
        <v>1.600387160729691E-3</v>
      </c>
      <c r="P134" s="49">
        <f t="shared" si="4"/>
        <v>0.90716738705605093</v>
      </c>
      <c r="Q134" s="17"/>
      <c r="R134" s="46">
        <f t="shared" si="5"/>
        <v>504</v>
      </c>
      <c r="S134" s="45">
        <f>O134*'used Standard Values'!B129</f>
        <v>3.5789346048296826E-6</v>
      </c>
      <c r="T134" s="45">
        <f>O134*'used Standard Values'!C129</f>
        <v>6.2301071683255958E-4</v>
      </c>
      <c r="U134" s="45">
        <f>O134*'used Standard Values'!D129</f>
        <v>3.5761179234267989E-4</v>
      </c>
    </row>
    <row r="135" spans="9:21" x14ac:dyDescent="0.3">
      <c r="I135" s="17"/>
      <c r="J135" s="17"/>
      <c r="K135" s="17"/>
      <c r="L135" s="17"/>
      <c r="M135" s="17"/>
      <c r="N135" s="52">
        <v>505</v>
      </c>
      <c r="O135" s="53">
        <v>1.594264986447023E-3</v>
      </c>
      <c r="P135" s="49">
        <f t="shared" si="4"/>
        <v>0.90369707875604088</v>
      </c>
      <c r="Q135" s="17"/>
      <c r="R135" s="46">
        <f t="shared" si="5"/>
        <v>505</v>
      </c>
      <c r="S135" s="45">
        <f>O135*'used Standard Values'!B130</f>
        <v>3.8262359674728549E-6</v>
      </c>
      <c r="T135" s="45">
        <f>O135*'used Standard Values'!C130</f>
        <v>6.4934412897987241E-4</v>
      </c>
      <c r="U135" s="45">
        <f>O135*'used Standard Values'!D130</f>
        <v>3.3846245662270296E-4</v>
      </c>
    </row>
    <row r="136" spans="9:21" x14ac:dyDescent="0.3">
      <c r="I136" s="17"/>
      <c r="J136" s="17"/>
      <c r="K136" s="17"/>
      <c r="L136" s="17"/>
      <c r="M136" s="17"/>
      <c r="N136" s="52">
        <v>506</v>
      </c>
      <c r="O136" s="53">
        <v>1.5882973192899192E-3</v>
      </c>
      <c r="P136" s="49">
        <f t="shared" si="4"/>
        <v>0.90031435165439266</v>
      </c>
      <c r="Q136" s="17"/>
      <c r="R136" s="46">
        <f t="shared" si="5"/>
        <v>506</v>
      </c>
      <c r="S136" s="45">
        <f>O136*'used Standard Values'!B131</f>
        <v>4.6465955735290445E-6</v>
      </c>
      <c r="T136" s="45">
        <f>O136*'used Standard Values'!C131</f>
        <v>6.7602682917963634E-4</v>
      </c>
      <c r="U136" s="45">
        <f>O136*'used Standard Values'!D131</f>
        <v>3.1951650108369759E-4</v>
      </c>
    </row>
    <row r="137" spans="9:21" x14ac:dyDescent="0.3">
      <c r="I137" s="17"/>
      <c r="J137" s="17"/>
      <c r="K137" s="17"/>
      <c r="L137" s="17"/>
      <c r="M137" s="17"/>
      <c r="N137" s="52">
        <v>507</v>
      </c>
      <c r="O137" s="53">
        <v>1.5825139969702683E-3</v>
      </c>
      <c r="P137" s="49">
        <f t="shared" si="4"/>
        <v>0.89703611903296343</v>
      </c>
      <c r="Q137" s="17"/>
      <c r="R137" s="46">
        <f t="shared" si="5"/>
        <v>507</v>
      </c>
      <c r="S137" s="45">
        <f>O137*'used Standard Values'!B132</f>
        <v>6.0714099002162525E-6</v>
      </c>
      <c r="T137" s="45">
        <f>O137*'used Standard Values'!C132</f>
        <v>7.0312616098826112E-4</v>
      </c>
      <c r="U137" s="45">
        <f>O137*'used Standard Values'!D132</f>
        <v>3.0086692809838862E-4</v>
      </c>
    </row>
    <row r="138" spans="9:21" x14ac:dyDescent="0.3">
      <c r="I138" s="17"/>
      <c r="J138" s="17"/>
      <c r="K138" s="17"/>
      <c r="L138" s="17"/>
      <c r="M138" s="17"/>
      <c r="N138" s="52">
        <v>508</v>
      </c>
      <c r="O138" s="53">
        <v>1.576925352496344E-3</v>
      </c>
      <c r="P138" s="49">
        <f t="shared" ref="P138:P201" si="6">O138/MAX($O$10:$O$630)</f>
        <v>0.89386823807952998</v>
      </c>
      <c r="Q138" s="17"/>
      <c r="R138" s="46">
        <f t="shared" ref="R138:R201" si="7">N138</f>
        <v>508</v>
      </c>
      <c r="S138" s="45">
        <f>O138*'used Standard Values'!B133</f>
        <v>8.1603363911121802E-6</v>
      </c>
      <c r="T138" s="45">
        <f>O138*'used Standard Values'!C133</f>
        <v>7.3073837756483181E-4</v>
      </c>
      <c r="U138" s="45">
        <f>O138*'used Standard Values'!D133</f>
        <v>2.8262507707129829E-4</v>
      </c>
    </row>
    <row r="139" spans="9:21" x14ac:dyDescent="0.3">
      <c r="I139" s="17"/>
      <c r="J139" s="17"/>
      <c r="K139" s="17"/>
      <c r="L139" s="17"/>
      <c r="M139" s="17"/>
      <c r="N139" s="52">
        <v>509</v>
      </c>
      <c r="O139" s="53">
        <v>1.5715144523195865E-3</v>
      </c>
      <c r="P139" s="49">
        <f t="shared" si="6"/>
        <v>0.89080111013985552</v>
      </c>
      <c r="Q139" s="17"/>
      <c r="R139" s="46">
        <f t="shared" si="7"/>
        <v>509</v>
      </c>
      <c r="S139" s="45">
        <f>O139*'used Standard Values'!B134</f>
        <v>1.0972439627251538E-5</v>
      </c>
      <c r="T139" s="45">
        <f>O139*'used Standard Values'!C134</f>
        <v>7.5894640384599498E-4</v>
      </c>
      <c r="U139" s="45">
        <f>O139*'used Standard Values'!D134</f>
        <v>2.6489573329455135E-4</v>
      </c>
    </row>
    <row r="140" spans="9:21" x14ac:dyDescent="0.3">
      <c r="I140" s="17"/>
      <c r="J140" s="17"/>
      <c r="K140" s="17"/>
      <c r="L140" s="17"/>
      <c r="M140" s="17"/>
      <c r="N140" s="52">
        <v>510</v>
      </c>
      <c r="O140" s="53">
        <v>1.5664072391797621E-3</v>
      </c>
      <c r="P140" s="49">
        <f t="shared" si="6"/>
        <v>0.88790612490573229</v>
      </c>
      <c r="Q140" s="17"/>
      <c r="R140" s="46">
        <f t="shared" si="7"/>
        <v>510</v>
      </c>
      <c r="S140" s="45">
        <f>O140*'used Standard Values'!B135</f>
        <v>1.4567587324371786E-5</v>
      </c>
      <c r="T140" s="45">
        <f>O140*'used Standard Values'!C135</f>
        <v>7.8790284130742037E-4</v>
      </c>
      <c r="U140" s="45">
        <f>O140*'used Standard Values'!D135</f>
        <v>2.4780562523823838E-4</v>
      </c>
    </row>
    <row r="141" spans="9:21" x14ac:dyDescent="0.3">
      <c r="I141" s="17"/>
      <c r="J141" s="17"/>
      <c r="K141" s="17"/>
      <c r="L141" s="17"/>
      <c r="M141" s="17"/>
      <c r="N141" s="52">
        <v>511</v>
      </c>
      <c r="O141" s="53">
        <v>1.5614647000071914E-3</v>
      </c>
      <c r="P141" s="49">
        <f t="shared" si="6"/>
        <v>0.88510448386747331</v>
      </c>
      <c r="Q141" s="17"/>
      <c r="R141" s="46">
        <f t="shared" si="7"/>
        <v>511</v>
      </c>
      <c r="S141" s="45">
        <f>O141*'used Standard Values'!B136</f>
        <v>1.8970999758090374E-5</v>
      </c>
      <c r="T141" s="45">
        <f>O141*'used Standard Values'!C136</f>
        <v>8.1753497995747516E-4</v>
      </c>
      <c r="U141" s="45">
        <f>O141*'used Standard Values'!D136</f>
        <v>2.3131272616907532E-4</v>
      </c>
    </row>
    <row r="142" spans="9:21" x14ac:dyDescent="0.3">
      <c r="I142" s="17"/>
      <c r="J142" s="17"/>
      <c r="K142" s="17"/>
      <c r="L142" s="17"/>
      <c r="M142" s="17"/>
      <c r="N142" s="52">
        <v>512</v>
      </c>
      <c r="O142" s="53">
        <v>1.5567942078596549E-3</v>
      </c>
      <c r="P142" s="49">
        <f t="shared" si="6"/>
        <v>0.88245705063274604</v>
      </c>
      <c r="Q142" s="17"/>
      <c r="R142" s="46">
        <f t="shared" si="7"/>
        <v>512</v>
      </c>
      <c r="S142" s="45">
        <f>O142*'used Standard Values'!B137</f>
        <v>2.4186167998002654E-5</v>
      </c>
      <c r="T142" s="45">
        <f>O142*'used Standard Values'!C137</f>
        <v>8.476931277100764E-4</v>
      </c>
      <c r="U142" s="45">
        <f>O142*'used Standard Values'!D137</f>
        <v>2.1542264394794602E-4</v>
      </c>
    </row>
    <row r="143" spans="9:21" x14ac:dyDescent="0.3">
      <c r="I143" s="17"/>
      <c r="J143" s="17"/>
      <c r="K143" s="17"/>
      <c r="L143" s="17"/>
      <c r="M143" s="17"/>
      <c r="N143" s="52">
        <v>513</v>
      </c>
      <c r="O143" s="53">
        <v>1.5523602461226848E-3</v>
      </c>
      <c r="P143" s="49">
        <f t="shared" si="6"/>
        <v>0.87994369287661434</v>
      </c>
      <c r="Q143" s="17"/>
      <c r="R143" s="46">
        <f t="shared" si="7"/>
        <v>513</v>
      </c>
      <c r="S143" s="45">
        <f>O143*'used Standard Values'!B138</f>
        <v>3.0236127741059517E-5</v>
      </c>
      <c r="T143" s="45">
        <f>O143*'used Standard Values'!C138</f>
        <v>8.7815466762914155E-4</v>
      </c>
      <c r="U143" s="45">
        <f>O143*'used Standard Values'!D138</f>
        <v>2.0024546806039883E-4</v>
      </c>
    </row>
    <row r="144" spans="9:21" x14ac:dyDescent="0.3">
      <c r="I144" s="17"/>
      <c r="J144" s="17"/>
      <c r="K144" s="17"/>
      <c r="L144" s="17"/>
      <c r="M144" s="17"/>
      <c r="N144" s="52">
        <v>514</v>
      </c>
      <c r="O144" s="53">
        <v>1.5482184560989794E-3</v>
      </c>
      <c r="P144" s="49">
        <f t="shared" si="6"/>
        <v>0.87759595045169603</v>
      </c>
      <c r="Q144" s="17"/>
      <c r="R144" s="46">
        <f t="shared" si="7"/>
        <v>514</v>
      </c>
      <c r="S144" s="45">
        <f>O144*'used Standard Values'!B139</f>
        <v>3.7146049326937913E-5</v>
      </c>
      <c r="T144" s="45">
        <f>O144*'used Standard Values'!C139</f>
        <v>9.0875051054967431E-4</v>
      </c>
      <c r="U144" s="45">
        <f>O144*'used Standard Values'!D139</f>
        <v>1.8590248593793057E-4</v>
      </c>
    </row>
    <row r="145" spans="9:21" x14ac:dyDescent="0.3">
      <c r="I145" s="17"/>
      <c r="J145" s="17"/>
      <c r="K145" s="17"/>
      <c r="L145" s="17"/>
      <c r="M145" s="17"/>
      <c r="N145" s="52">
        <v>515</v>
      </c>
      <c r="O145" s="53">
        <v>1.5443299480130109E-3</v>
      </c>
      <c r="P145" s="49">
        <f t="shared" si="6"/>
        <v>0.87539177898215859</v>
      </c>
      <c r="Q145" s="17"/>
      <c r="R145" s="46">
        <f t="shared" si="7"/>
        <v>515</v>
      </c>
      <c r="S145" s="45">
        <f>O145*'used Standard Values'!B140</f>
        <v>4.4940001487178619E-5</v>
      </c>
      <c r="T145" s="45">
        <f>O145*'used Standard Values'!C140</f>
        <v>9.3926147438151318E-4</v>
      </c>
      <c r="U145" s="45">
        <f>O145*'used Standard Values'!D140</f>
        <v>1.725016551930533E-4</v>
      </c>
    </row>
    <row r="146" spans="9:21" x14ac:dyDescent="0.3">
      <c r="I146" s="17"/>
      <c r="J146" s="17"/>
      <c r="K146" s="17"/>
      <c r="L146" s="17"/>
      <c r="M146" s="17"/>
      <c r="N146" s="52">
        <v>516</v>
      </c>
      <c r="O146" s="53">
        <v>1.5407053820585552E-3</v>
      </c>
      <c r="P146" s="49">
        <f t="shared" si="6"/>
        <v>0.87333722111841228</v>
      </c>
      <c r="Q146" s="17"/>
      <c r="R146" s="46">
        <f t="shared" si="7"/>
        <v>516</v>
      </c>
      <c r="S146" s="45">
        <f>O146*'used Standard Values'!B141</f>
        <v>5.3639426770561293E-5</v>
      </c>
      <c r="T146" s="45">
        <f>O146*'used Standard Values'!C141</f>
        <v>9.6963615309487061E-4</v>
      </c>
      <c r="U146" s="45">
        <f>O146*'used Standard Values'!D141</f>
        <v>1.6008668458171777E-4</v>
      </c>
    </row>
    <row r="147" spans="9:21" x14ac:dyDescent="0.3">
      <c r="I147" s="17"/>
      <c r="J147" s="17"/>
      <c r="K147" s="17"/>
      <c r="L147" s="17"/>
      <c r="M147" s="17"/>
      <c r="N147" s="52">
        <v>517</v>
      </c>
      <c r="O147" s="53">
        <v>1.5373938924795978E-3</v>
      </c>
      <c r="P147" s="49">
        <f t="shared" si="6"/>
        <v>0.87146012823593966</v>
      </c>
      <c r="Q147" s="17"/>
      <c r="R147" s="46">
        <f t="shared" si="7"/>
        <v>517</v>
      </c>
      <c r="S147" s="45">
        <f>O147*'used Standard Values'!B142</f>
        <v>6.3217882841783864E-5</v>
      </c>
      <c r="T147" s="45">
        <f>O147*'used Standard Values'!C142</f>
        <v>9.9977770255795114E-4</v>
      </c>
      <c r="U147" s="45">
        <f>O147*'used Standard Values'!D142</f>
        <v>1.4861599335339368E-4</v>
      </c>
    </row>
    <row r="148" spans="9:21" x14ac:dyDescent="0.3">
      <c r="I148" s="17"/>
      <c r="J148" s="17"/>
      <c r="K148" s="17"/>
      <c r="L148" s="17"/>
      <c r="M148" s="17"/>
      <c r="N148" s="52">
        <v>518</v>
      </c>
      <c r="O148" s="53">
        <v>1.5343211879879012E-3</v>
      </c>
      <c r="P148" s="49">
        <f t="shared" si="6"/>
        <v>0.86971838887853514</v>
      </c>
      <c r="Q148" s="17"/>
      <c r="R148" s="46">
        <f t="shared" si="7"/>
        <v>518</v>
      </c>
      <c r="S148" s="45">
        <f>O148*'used Standard Values'!B143</f>
        <v>7.3624463578446963E-5</v>
      </c>
      <c r="T148" s="45">
        <f>O148*'used Standard Values'!C143</f>
        <v>1.0293380338556209E-3</v>
      </c>
      <c r="U148" s="45">
        <f>O148*'used Standard Values'!D143</f>
        <v>1.3806239384878268E-4</v>
      </c>
    </row>
    <row r="149" spans="9:21" x14ac:dyDescent="0.3">
      <c r="I149" s="17"/>
      <c r="J149" s="17"/>
      <c r="K149" s="17"/>
      <c r="L149" s="17"/>
      <c r="M149" s="17"/>
      <c r="N149" s="52">
        <v>519</v>
      </c>
      <c r="O149" s="53">
        <v>1.5315306292078604E-3</v>
      </c>
      <c r="P149" s="49">
        <f t="shared" si="6"/>
        <v>0.86813658168897878</v>
      </c>
      <c r="Q149" s="17"/>
      <c r="R149" s="46">
        <f t="shared" si="7"/>
        <v>519</v>
      </c>
      <c r="S149" s="45">
        <f>O149*'used Standard Values'!B144</f>
        <v>8.4814037417956718E-5</v>
      </c>
      <c r="T149" s="45">
        <f>O149*'used Standard Values'!C144</f>
        <v>1.0580462955554683E-3</v>
      </c>
      <c r="U149" s="45">
        <f>O149*'used Standard Values'!D144</f>
        <v>1.2841166038042812E-4</v>
      </c>
    </row>
    <row r="150" spans="9:21" x14ac:dyDescent="0.3">
      <c r="I150" s="17"/>
      <c r="J150" s="17"/>
      <c r="K150" s="17"/>
      <c r="L150" s="17"/>
      <c r="M150" s="17"/>
      <c r="N150" s="52">
        <v>520</v>
      </c>
      <c r="O150" s="53">
        <v>1.5290487191948277E-3</v>
      </c>
      <c r="P150" s="49">
        <f t="shared" si="6"/>
        <v>0.86672972972423012</v>
      </c>
      <c r="Q150" s="17"/>
      <c r="R150" s="46">
        <f t="shared" si="7"/>
        <v>520</v>
      </c>
      <c r="S150" s="45">
        <f>O150*'used Standard Values'!B145</f>
        <v>9.6742912463456752E-5</v>
      </c>
      <c r="T150" s="45">
        <f>O150*'used Standard Values'!C145</f>
        <v>1.0856245906283276E-3</v>
      </c>
      <c r="U150" s="45">
        <f>O150*'used Standard Values'!D145</f>
        <v>1.1964804698650809E-4</v>
      </c>
    </row>
    <row r="151" spans="9:21" x14ac:dyDescent="0.3">
      <c r="I151" s="17"/>
      <c r="J151" s="17"/>
      <c r="K151" s="17"/>
      <c r="L151" s="17"/>
      <c r="M151" s="17"/>
      <c r="N151" s="52">
        <v>521</v>
      </c>
      <c r="O151" s="53">
        <v>1.5268169269124345E-3</v>
      </c>
      <c r="P151" s="49">
        <f t="shared" si="6"/>
        <v>0.86546465510794324</v>
      </c>
      <c r="Q151" s="17"/>
      <c r="R151" s="46">
        <f t="shared" si="7"/>
        <v>521</v>
      </c>
      <c r="S151" s="45">
        <f>O151*'used Standard Values'!B146</f>
        <v>1.0937354582754152E-4</v>
      </c>
      <c r="T151" s="45">
        <f>O151*'used Standard Values'!C146</f>
        <v>1.1118054892871165E-3</v>
      </c>
      <c r="U151" s="45">
        <f>O151*'used Standard Values'!D146</f>
        <v>1.1177672513416315E-4</v>
      </c>
    </row>
    <row r="152" spans="9:21" x14ac:dyDescent="0.3">
      <c r="I152" s="17"/>
      <c r="J152" s="17"/>
      <c r="K152" s="17"/>
      <c r="L152" s="17"/>
      <c r="M152" s="17"/>
      <c r="N152" s="52">
        <v>522</v>
      </c>
      <c r="O152" s="53">
        <v>1.524890800717165E-3</v>
      </c>
      <c r="P152" s="49">
        <f t="shared" si="6"/>
        <v>0.86437284500687617</v>
      </c>
      <c r="Q152" s="17"/>
      <c r="R152" s="46">
        <f t="shared" si="7"/>
        <v>522</v>
      </c>
      <c r="S152" s="45">
        <f>O152*'used Standard Values'!B147</f>
        <v>1.2269612958109671E-4</v>
      </c>
      <c r="T152" s="45">
        <f>O152*'used Standard Values'!C147</f>
        <v>1.1367505859095003E-3</v>
      </c>
      <c r="U152" s="45">
        <f>O152*'used Standard Values'!D147</f>
        <v>1.0472669439418157E-4</v>
      </c>
    </row>
    <row r="153" spans="9:21" x14ac:dyDescent="0.3">
      <c r="I153" s="17"/>
      <c r="J153" s="17"/>
      <c r="K153" s="17"/>
      <c r="L153" s="17"/>
      <c r="M153" s="17"/>
      <c r="N153" s="52">
        <v>523</v>
      </c>
      <c r="O153" s="53">
        <v>1.523172194614853E-3</v>
      </c>
      <c r="P153" s="49">
        <f t="shared" si="6"/>
        <v>0.86339866610475213</v>
      </c>
      <c r="Q153" s="17"/>
      <c r="R153" s="46">
        <f t="shared" si="7"/>
        <v>523</v>
      </c>
      <c r="S153" s="45">
        <f>O153*'used Standard Values'!B148</f>
        <v>1.3668941181784911E-4</v>
      </c>
      <c r="T153" s="45">
        <f>O153*'used Standard Values'!C148</f>
        <v>1.1606106032273629E-3</v>
      </c>
      <c r="U153" s="45">
        <f>O153*'used Standard Values'!D148</f>
        <v>9.834793855434069E-5</v>
      </c>
    </row>
    <row r="154" spans="9:21" x14ac:dyDescent="0.3">
      <c r="I154" s="17"/>
      <c r="J154" s="17"/>
      <c r="K154" s="17"/>
      <c r="L154" s="17"/>
      <c r="M154" s="17"/>
      <c r="N154" s="52">
        <v>524</v>
      </c>
      <c r="O154" s="53">
        <v>1.5217145727964986E-3</v>
      </c>
      <c r="P154" s="49">
        <f t="shared" si="6"/>
        <v>0.86257242417484969</v>
      </c>
      <c r="Q154" s="17"/>
      <c r="R154" s="46">
        <f t="shared" si="7"/>
        <v>524</v>
      </c>
      <c r="S154" s="45">
        <f>O154*'used Standard Values'!B149</f>
        <v>1.5134432932360631E-4</v>
      </c>
      <c r="T154" s="45">
        <f>O154*'used Standard Values'!C149</f>
        <v>1.1836455938173955E-3</v>
      </c>
      <c r="U154" s="45">
        <f>O154*'used Standard Values'!D149</f>
        <v>9.2502518051254025E-5</v>
      </c>
    </row>
    <row r="155" spans="9:21" x14ac:dyDescent="0.3">
      <c r="I155" s="17"/>
      <c r="J155" s="17"/>
      <c r="K155" s="17"/>
      <c r="L155" s="17"/>
      <c r="M155" s="17"/>
      <c r="N155" s="52">
        <v>525</v>
      </c>
      <c r="O155" s="53">
        <v>1.5205114157460435E-3</v>
      </c>
      <c r="P155" s="49">
        <f t="shared" si="6"/>
        <v>0.86189042367868107</v>
      </c>
      <c r="Q155" s="17"/>
      <c r="R155" s="46">
        <f t="shared" si="7"/>
        <v>525</v>
      </c>
      <c r="S155" s="45">
        <f>O155*'used Standard Values'!B150</f>
        <v>1.6664805116576637E-4</v>
      </c>
      <c r="T155" s="45">
        <f>O155*'used Standard Values'!C150</f>
        <v>1.2060696549697617E-3</v>
      </c>
      <c r="U155" s="45">
        <f>O155*'used Standard Values'!D150</f>
        <v>8.7049293756575149E-5</v>
      </c>
    </row>
    <row r="156" spans="9:21" x14ac:dyDescent="0.3">
      <c r="I156" s="17"/>
      <c r="J156" s="17"/>
      <c r="K156" s="17"/>
      <c r="L156" s="17"/>
      <c r="M156" s="17"/>
      <c r="N156" s="52">
        <v>526</v>
      </c>
      <c r="O156" s="53">
        <v>1.5194666956505642E-3</v>
      </c>
      <c r="P156" s="49">
        <f t="shared" si="6"/>
        <v>0.86129823197502564</v>
      </c>
      <c r="Q156" s="17"/>
      <c r="R156" s="46">
        <f t="shared" si="7"/>
        <v>526</v>
      </c>
      <c r="S156" s="45">
        <f>O156*'used Standard Values'!B151</f>
        <v>1.8259036220291959E-4</v>
      </c>
      <c r="T156" s="45">
        <f>O156*'used Standard Values'!C151</f>
        <v>1.2278968392088556E-3</v>
      </c>
      <c r="U156" s="45">
        <f>O156*'used Standard Values'!D151</f>
        <v>8.1905864575691485E-5</v>
      </c>
    </row>
    <row r="157" spans="9:21" x14ac:dyDescent="0.3">
      <c r="I157" s="17"/>
      <c r="J157" s="17"/>
      <c r="K157" s="17"/>
      <c r="L157" s="17"/>
      <c r="M157" s="17"/>
      <c r="N157" s="52">
        <v>527</v>
      </c>
      <c r="O157" s="53">
        <v>1.5186426736053097E-3</v>
      </c>
      <c r="P157" s="49">
        <f t="shared" si="6"/>
        <v>0.86083114129596194</v>
      </c>
      <c r="Q157" s="17"/>
      <c r="R157" s="46">
        <f t="shared" si="7"/>
        <v>527</v>
      </c>
      <c r="S157" s="45">
        <f>O157*'used Standard Values'!B152</f>
        <v>1.9911607482842337E-4</v>
      </c>
      <c r="T157" s="45">
        <f>O157*'used Standard Values'!C152</f>
        <v>1.2490778281982076E-3</v>
      </c>
      <c r="U157" s="45">
        <f>O157*'used Standard Values'!D152</f>
        <v>7.7066013046086154E-5</v>
      </c>
    </row>
    <row r="158" spans="9:21" x14ac:dyDescent="0.3">
      <c r="I158" s="17"/>
      <c r="J158" s="17"/>
      <c r="K158" s="17"/>
      <c r="L158" s="17"/>
      <c r="M158" s="17"/>
      <c r="N158" s="52">
        <v>528</v>
      </c>
      <c r="O158" s="53">
        <v>1.5179936248801546E-3</v>
      </c>
      <c r="P158" s="49">
        <f t="shared" si="6"/>
        <v>0.86046323292321381</v>
      </c>
      <c r="Q158" s="17"/>
      <c r="R158" s="46">
        <f t="shared" si="7"/>
        <v>528</v>
      </c>
      <c r="S158" s="45">
        <f>O158*'used Standard Values'!B153</f>
        <v>2.1611356458757535E-4</v>
      </c>
      <c r="T158" s="45">
        <f>O158*'used Standard Values'!C153</f>
        <v>1.2695083908439225E-3</v>
      </c>
      <c r="U158" s="45">
        <f>O158*'used Standard Values'!D153</f>
        <v>7.2488385250432048E-5</v>
      </c>
    </row>
    <row r="159" spans="9:21" x14ac:dyDescent="0.3">
      <c r="I159" s="17"/>
      <c r="J159" s="17"/>
      <c r="K159" s="17"/>
      <c r="L159" s="17"/>
      <c r="M159" s="17"/>
      <c r="N159" s="52">
        <v>529</v>
      </c>
      <c r="O159" s="53">
        <v>1.5174469628562843E-3</v>
      </c>
      <c r="P159" s="49">
        <f t="shared" si="6"/>
        <v>0.86015336167957601</v>
      </c>
      <c r="Q159" s="17"/>
      <c r="R159" s="46">
        <f t="shared" si="7"/>
        <v>529</v>
      </c>
      <c r="S159" s="45">
        <f>O159*'used Standard Values'!B154</f>
        <v>2.3346558851268333E-4</v>
      </c>
      <c r="T159" s="45">
        <f>O159*'used Standard Values'!C154</f>
        <v>1.2890584483919254E-3</v>
      </c>
      <c r="U159" s="45">
        <f>O159*'used Standard Values'!D154</f>
        <v>6.8131229032029536E-5</v>
      </c>
    </row>
    <row r="160" spans="9:21" x14ac:dyDescent="0.3">
      <c r="I160" s="17"/>
      <c r="J160" s="17"/>
      <c r="K160" s="17"/>
      <c r="L160" s="17"/>
      <c r="M160" s="17"/>
      <c r="N160" s="52">
        <v>530</v>
      </c>
      <c r="O160" s="53">
        <v>1.5169573622828649E-3</v>
      </c>
      <c r="P160" s="49">
        <f t="shared" si="6"/>
        <v>0.85987583528859479</v>
      </c>
      <c r="Q160" s="17"/>
      <c r="R160" s="46">
        <f t="shared" si="7"/>
        <v>530</v>
      </c>
      <c r="S160" s="45">
        <f>O160*'used Standard Values'!B155</f>
        <v>2.5105644345781413E-4</v>
      </c>
      <c r="T160" s="45">
        <f>O160*'used Standard Values'!C155</f>
        <v>1.3076172462878296E-3</v>
      </c>
      <c r="U160" s="45">
        <f>O160*'used Standard Values'!D155</f>
        <v>6.3954922393845594E-5</v>
      </c>
    </row>
    <row r="161" spans="9:21" x14ac:dyDescent="0.3">
      <c r="I161" s="17"/>
      <c r="J161" s="17"/>
      <c r="K161" s="17"/>
      <c r="L161" s="17"/>
      <c r="M161" s="17"/>
      <c r="N161" s="52">
        <v>531</v>
      </c>
      <c r="O161" s="53">
        <v>1.5165497270317545E-3</v>
      </c>
      <c r="P161" s="49">
        <f t="shared" si="6"/>
        <v>0.85964477032213182</v>
      </c>
      <c r="Q161" s="17"/>
      <c r="R161" s="46">
        <f t="shared" si="7"/>
        <v>531</v>
      </c>
      <c r="S161" s="45">
        <f>O161*'used Standard Values'!B156</f>
        <v>2.6881920661944042E-4</v>
      </c>
      <c r="T161" s="45">
        <f>O161*'used Standard Values'!C156</f>
        <v>1.3251775302173991E-3</v>
      </c>
      <c r="U161" s="45">
        <f>O161*'used Standard Values'!D156</f>
        <v>5.9914754699767093E-5</v>
      </c>
    </row>
    <row r="162" spans="9:21" x14ac:dyDescent="0.3">
      <c r="I162" s="17"/>
      <c r="J162" s="17"/>
      <c r="K162" s="17"/>
      <c r="L162" s="17"/>
      <c r="M162" s="17"/>
      <c r="N162" s="52">
        <v>532</v>
      </c>
      <c r="O162" s="53">
        <v>1.5162290691771781E-3</v>
      </c>
      <c r="P162" s="49">
        <f t="shared" si="6"/>
        <v>0.85946300783664531</v>
      </c>
      <c r="Q162" s="17"/>
      <c r="R162" s="46">
        <f t="shared" si="7"/>
        <v>532</v>
      </c>
      <c r="S162" s="45">
        <f>O162*'used Standard Values'!B157</f>
        <v>2.8677956614417145E-4</v>
      </c>
      <c r="T162" s="45">
        <f>O162*'used Standard Values'!C157</f>
        <v>1.3418057160088017E-3</v>
      </c>
      <c r="U162" s="45">
        <f>O162*'used Standard Values'!D157</f>
        <v>5.6002891056663347E-5</v>
      </c>
    </row>
    <row r="163" spans="9:21" x14ac:dyDescent="0.3">
      <c r="I163" s="17"/>
      <c r="J163" s="17"/>
      <c r="K163" s="17"/>
      <c r="L163" s="17"/>
      <c r="M163" s="17"/>
      <c r="N163" s="52">
        <v>533</v>
      </c>
      <c r="O163" s="53">
        <v>1.5159111598867416E-3</v>
      </c>
      <c r="P163" s="49">
        <f t="shared" si="6"/>
        <v>0.85928280335400331</v>
      </c>
      <c r="Q163" s="17"/>
      <c r="R163" s="46">
        <f t="shared" si="7"/>
        <v>533</v>
      </c>
      <c r="S163" s="45">
        <f>O163*'used Standard Values'!B158</f>
        <v>3.049549384877199E-4</v>
      </c>
      <c r="T163" s="45">
        <f>O163*'used Standard Values'!C158</f>
        <v>1.3574887418471538E-3</v>
      </c>
      <c r="U163" s="45">
        <f>O163*'used Standard Values'!D158</f>
        <v>5.2235812475394902E-5</v>
      </c>
    </row>
    <row r="164" spans="9:21" x14ac:dyDescent="0.3">
      <c r="I164" s="17"/>
      <c r="J164" s="17"/>
      <c r="K164" s="17"/>
      <c r="L164" s="17"/>
      <c r="M164" s="17"/>
      <c r="N164" s="52">
        <v>534</v>
      </c>
      <c r="O164" s="53">
        <v>1.5155349543345823E-3</v>
      </c>
      <c r="P164" s="49">
        <f t="shared" si="6"/>
        <v>0.8590695540752521</v>
      </c>
      <c r="Q164" s="17"/>
      <c r="R164" s="46">
        <f t="shared" si="7"/>
        <v>534</v>
      </c>
      <c r="S164" s="45">
        <f>O164*'used Standard Values'!B159</f>
        <v>3.2336332795956159E-4</v>
      </c>
      <c r="T164" s="45">
        <f>O164*'used Standard Values'!C159</f>
        <v>1.372230818764558E-3</v>
      </c>
      <c r="U164" s="45">
        <f>O164*'used Standard Values'!D159</f>
        <v>4.8631576799855202E-5</v>
      </c>
    </row>
    <row r="165" spans="9:21" x14ac:dyDescent="0.3">
      <c r="I165" s="17"/>
      <c r="J165" s="17"/>
      <c r="K165" s="17"/>
      <c r="L165" s="17"/>
      <c r="M165" s="17"/>
      <c r="N165" s="52">
        <v>535</v>
      </c>
      <c r="O165" s="53">
        <v>1.5150921233125865E-3</v>
      </c>
      <c r="P165" s="49">
        <f t="shared" si="6"/>
        <v>0.85881853865161661</v>
      </c>
      <c r="Q165" s="17"/>
      <c r="R165" s="46">
        <f t="shared" si="7"/>
        <v>535</v>
      </c>
      <c r="S165" s="45">
        <f>O165*'used Standard Values'!B160</f>
        <v>3.4203189532860408E-4</v>
      </c>
      <c r="T165" s="45">
        <f>O165*'used Standard Values'!C160</f>
        <v>1.3860821805217322E-3</v>
      </c>
      <c r="U165" s="45">
        <f>O165*'used Standard Values'!D160</f>
        <v>4.5210348959647578E-5</v>
      </c>
    </row>
    <row r="166" spans="9:21" x14ac:dyDescent="0.3">
      <c r="I166" s="17"/>
      <c r="J166" s="17"/>
      <c r="K166" s="17"/>
      <c r="L166" s="17"/>
      <c r="M166" s="17"/>
      <c r="N166" s="52">
        <v>536</v>
      </c>
      <c r="O166" s="53">
        <v>1.5145707569801401E-3</v>
      </c>
      <c r="P166" s="49">
        <f t="shared" si="6"/>
        <v>0.85852300607980514</v>
      </c>
      <c r="Q166" s="17"/>
      <c r="R166" s="46">
        <f t="shared" si="7"/>
        <v>536</v>
      </c>
      <c r="S166" s="45">
        <f>O166*'used Standard Values'!B161</f>
        <v>3.6095386591718828E-4</v>
      </c>
      <c r="T166" s="45">
        <f>O166*'used Standard Values'!C161</f>
        <v>1.3990617152848982E-3</v>
      </c>
      <c r="U166" s="45">
        <f>O166*'used Standard Values'!D161</f>
        <v>4.1971497048989812E-5</v>
      </c>
    </row>
    <row r="167" spans="9:21" x14ac:dyDescent="0.3">
      <c r="I167" s="17"/>
      <c r="J167" s="17"/>
      <c r="K167" s="17"/>
      <c r="L167" s="17"/>
      <c r="M167" s="17"/>
      <c r="N167" s="52">
        <v>537</v>
      </c>
      <c r="O167" s="53">
        <v>1.5139788886905955E-3</v>
      </c>
      <c r="P167" s="49">
        <f t="shared" si="6"/>
        <v>0.8581875100055536</v>
      </c>
      <c r="Q167" s="17"/>
      <c r="R167" s="46">
        <f t="shared" si="7"/>
        <v>537</v>
      </c>
      <c r="S167" s="45">
        <f>O167*'used Standard Values'!B162</f>
        <v>3.8010983485110399E-4</v>
      </c>
      <c r="T167" s="45">
        <f>O167*'used Standard Values'!C162</f>
        <v>1.4111682159089502E-3</v>
      </c>
      <c r="U167" s="45">
        <f>O167*'used Standard Values'!D162</f>
        <v>3.8900839716727186E-5</v>
      </c>
    </row>
    <row r="168" spans="9:21" x14ac:dyDescent="0.3">
      <c r="I168" s="17"/>
      <c r="J168" s="17"/>
      <c r="K168" s="17"/>
      <c r="L168" s="17"/>
      <c r="M168" s="17"/>
      <c r="N168" s="52">
        <v>538</v>
      </c>
      <c r="O168" s="53">
        <v>1.5132489606127959E-3</v>
      </c>
      <c r="P168" s="49">
        <f t="shared" si="6"/>
        <v>0.85777375578199788</v>
      </c>
      <c r="Q168" s="17"/>
      <c r="R168" s="46">
        <f t="shared" si="7"/>
        <v>538</v>
      </c>
      <c r="S168" s="45">
        <f>O168*'used Standard Values'!B163</f>
        <v>3.9948592225988536E-4</v>
      </c>
      <c r="T168" s="45">
        <f>O168*'used Standard Values'!C163</f>
        <v>1.4223368975064769E-3</v>
      </c>
      <c r="U168" s="45">
        <f>O168*'used Standard Values'!D163</f>
        <v>3.5995895145930277E-5</v>
      </c>
    </row>
    <row r="169" spans="9:21" x14ac:dyDescent="0.3">
      <c r="I169" s="17"/>
      <c r="J169" s="17"/>
      <c r="K169" s="17"/>
      <c r="L169" s="17"/>
      <c r="M169" s="17"/>
      <c r="N169" s="52">
        <v>539</v>
      </c>
      <c r="O169" s="53">
        <v>1.5122570852178787E-3</v>
      </c>
      <c r="P169" s="49">
        <f t="shared" si="6"/>
        <v>0.85721151869813994</v>
      </c>
      <c r="Q169" s="17"/>
      <c r="R169" s="46">
        <f t="shared" si="7"/>
        <v>539</v>
      </c>
      <c r="S169" s="45">
        <f>O169*'used Standard Values'!B164</f>
        <v>4.1904900915091907E-4</v>
      </c>
      <c r="T169" s="45">
        <f>O169*'used Standard Values'!C164</f>
        <v>1.4324480199969221E-3</v>
      </c>
      <c r="U169" s="45">
        <f>O169*'used Standard Values'!D164</f>
        <v>3.3253399111127239E-5</v>
      </c>
    </row>
    <row r="170" spans="9:21" x14ac:dyDescent="0.3">
      <c r="I170" s="17"/>
      <c r="J170" s="17"/>
      <c r="K170" s="17"/>
      <c r="L170" s="17"/>
      <c r="M170" s="17"/>
      <c r="N170" s="52">
        <v>540</v>
      </c>
      <c r="O170" s="53">
        <v>1.5111348443340999E-3</v>
      </c>
      <c r="P170" s="49">
        <f t="shared" si="6"/>
        <v>0.85657538492053531</v>
      </c>
      <c r="Q170" s="17"/>
      <c r="R170" s="46">
        <f t="shared" si="7"/>
        <v>540</v>
      </c>
      <c r="S170" s="45">
        <f>O170*'used Standard Values'!B165</f>
        <v>4.3883355879462263E-4</v>
      </c>
      <c r="T170" s="45">
        <f>O170*'used Standard Values'!C165</f>
        <v>1.4416226414947313E-3</v>
      </c>
      <c r="U170" s="45">
        <f>O170*'used Standard Values'!D165</f>
        <v>3.0676037339982224E-5</v>
      </c>
    </row>
    <row r="171" spans="9:21" x14ac:dyDescent="0.3">
      <c r="I171" s="17"/>
      <c r="J171" s="17"/>
      <c r="K171" s="17"/>
      <c r="L171" s="17"/>
      <c r="M171" s="17"/>
      <c r="N171" s="52">
        <v>541</v>
      </c>
      <c r="O171" s="53">
        <v>1.5097949320616204E-3</v>
      </c>
      <c r="P171" s="49">
        <f t="shared" si="6"/>
        <v>0.85581586575858737</v>
      </c>
      <c r="Q171" s="17"/>
      <c r="R171" s="46">
        <f t="shared" si="7"/>
        <v>541</v>
      </c>
      <c r="S171" s="45">
        <f>O171*'used Standard Values'!B166</f>
        <v>4.5881339365812425E-4</v>
      </c>
      <c r="T171" s="45">
        <f>O171*'used Standard Values'!C166</f>
        <v>1.4497897932612565E-3</v>
      </c>
      <c r="U171" s="45">
        <f>O171*'used Standard Values'!D166</f>
        <v>2.8260417028076016E-5</v>
      </c>
    </row>
    <row r="172" spans="9:21" x14ac:dyDescent="0.3">
      <c r="I172" s="17"/>
      <c r="J172" s="17"/>
      <c r="K172" s="17"/>
      <c r="L172" s="17"/>
      <c r="M172" s="17"/>
      <c r="N172" s="52">
        <v>542</v>
      </c>
      <c r="O172" s="53">
        <v>1.5082078245313099E-3</v>
      </c>
      <c r="P172" s="49">
        <f t="shared" si="6"/>
        <v>0.85491622582983895</v>
      </c>
      <c r="Q172" s="17"/>
      <c r="R172" s="46">
        <f t="shared" si="7"/>
        <v>542</v>
      </c>
      <c r="S172" s="45">
        <f>O172*'used Standard Values'!B167</f>
        <v>4.7896548017675185E-4</v>
      </c>
      <c r="T172" s="45">
        <f>O172*'used Standard Values'!C167</f>
        <v>1.4569399192351467E-3</v>
      </c>
      <c r="U172" s="45">
        <f>O172*'used Standard Values'!D167</f>
        <v>2.6002045849736615E-5</v>
      </c>
    </row>
    <row r="173" spans="9:21" x14ac:dyDescent="0.3">
      <c r="I173" s="17"/>
      <c r="J173" s="17"/>
      <c r="K173" s="17"/>
      <c r="L173" s="17"/>
      <c r="M173" s="17"/>
      <c r="N173" s="52">
        <v>543</v>
      </c>
      <c r="O173" s="53">
        <v>1.5063618313989364E-3</v>
      </c>
      <c r="P173" s="49">
        <f t="shared" si="6"/>
        <v>0.85386983855086629</v>
      </c>
      <c r="Q173" s="17"/>
      <c r="R173" s="46">
        <f t="shared" si="7"/>
        <v>543</v>
      </c>
      <c r="S173" s="45">
        <f>O173*'used Standard Values'!B168</f>
        <v>4.9926615521993321E-4</v>
      </c>
      <c r="T173" s="45">
        <f>O173*'used Standard Values'!C168</f>
        <v>1.4630698961816298E-3</v>
      </c>
      <c r="U173" s="45">
        <f>O173*'used Standard Values'!D168</f>
        <v>2.389638180305342E-5</v>
      </c>
    </row>
    <row r="174" spans="9:21" x14ac:dyDescent="0.3">
      <c r="I174" s="17"/>
      <c r="J174" s="17"/>
      <c r="K174" s="17"/>
      <c r="L174" s="17"/>
      <c r="M174" s="17"/>
      <c r="N174" s="52">
        <v>544</v>
      </c>
      <c r="O174" s="53">
        <v>1.504216986080089E-3</v>
      </c>
      <c r="P174" s="49">
        <f t="shared" si="6"/>
        <v>0.85265404916484611</v>
      </c>
      <c r="Q174" s="17"/>
      <c r="R174" s="46">
        <f t="shared" si="7"/>
        <v>544</v>
      </c>
      <c r="S174" s="45">
        <f>O174*'used Standard Values'!B169</f>
        <v>5.1968109615851011E-4</v>
      </c>
      <c r="T174" s="45">
        <f>O174*'used Standard Values'!C169</f>
        <v>1.4681496232963537E-3</v>
      </c>
      <c r="U174" s="45">
        <f>O174*'used Standard Values'!D169</f>
        <v>2.1938418097353524E-5</v>
      </c>
    </row>
    <row r="175" spans="9:21" x14ac:dyDescent="0.3">
      <c r="I175" s="17"/>
      <c r="J175" s="17"/>
      <c r="K175" s="17"/>
      <c r="L175" s="17"/>
      <c r="M175" s="17"/>
      <c r="N175" s="52">
        <v>545</v>
      </c>
      <c r="O175" s="53">
        <v>1.5018134064181286E-3</v>
      </c>
      <c r="P175" s="49">
        <f t="shared" si="6"/>
        <v>0.85129159816859623</v>
      </c>
      <c r="Q175" s="17"/>
      <c r="R175" s="46">
        <f t="shared" si="7"/>
        <v>545</v>
      </c>
      <c r="S175" s="45">
        <f>O175*'used Standard Values'!B170</f>
        <v>5.4020228228860085E-4</v>
      </c>
      <c r="T175" s="45">
        <f>O175*'used Standard Values'!C170</f>
        <v>1.4722276823116913E-3</v>
      </c>
      <c r="U175" s="45">
        <f>O175*'used Standard Values'!D170</f>
        <v>2.0124299646002925E-5</v>
      </c>
    </row>
    <row r="176" spans="9:21" x14ac:dyDescent="0.3">
      <c r="I176" s="17"/>
      <c r="J176" s="17"/>
      <c r="K176" s="17"/>
      <c r="L176" s="17"/>
      <c r="M176" s="17"/>
      <c r="N176" s="52">
        <v>546</v>
      </c>
      <c r="O176" s="53">
        <v>1.4990905589766933E-3</v>
      </c>
      <c r="P176" s="49">
        <f t="shared" si="6"/>
        <v>0.84974817264044278</v>
      </c>
      <c r="Q176" s="17"/>
      <c r="R176" s="46">
        <f t="shared" si="7"/>
        <v>546</v>
      </c>
      <c r="S176" s="45">
        <f>O176*'used Standard Values'!B171</f>
        <v>5.607856427551815E-4</v>
      </c>
      <c r="T176" s="45">
        <f>O176*'used Standard Values'!C171</f>
        <v>1.4752436260007157E-3</v>
      </c>
      <c r="U176" s="45">
        <f>O176*'used Standard Values'!D171</f>
        <v>1.844965230015473E-5</v>
      </c>
    </row>
    <row r="177" spans="9:21" x14ac:dyDescent="0.3">
      <c r="I177" s="17"/>
      <c r="J177" s="17"/>
      <c r="K177" s="17"/>
      <c r="L177" s="17"/>
      <c r="M177" s="17"/>
      <c r="N177" s="52">
        <v>547</v>
      </c>
      <c r="O177" s="53">
        <v>1.496056641451387E-3</v>
      </c>
      <c r="P177" s="49">
        <f t="shared" si="6"/>
        <v>0.8480284193822869</v>
      </c>
      <c r="Q177" s="17"/>
      <c r="R177" s="46">
        <f t="shared" si="7"/>
        <v>547</v>
      </c>
      <c r="S177" s="45">
        <f>O177*'used Standard Values'!B172</f>
        <v>5.8142685471101042E-4</v>
      </c>
      <c r="T177" s="45">
        <f>O177*'used Standard Values'!C172</f>
        <v>1.477233555999974E-3</v>
      </c>
      <c r="U177" s="45">
        <f>O177*'used Standard Values'!D172</f>
        <v>1.6908252634886601E-5</v>
      </c>
    </row>
    <row r="178" spans="9:21" x14ac:dyDescent="0.3">
      <c r="I178" s="17"/>
      <c r="J178" s="17"/>
      <c r="K178" s="17"/>
      <c r="L178" s="17"/>
      <c r="M178" s="17"/>
      <c r="N178" s="52">
        <v>548</v>
      </c>
      <c r="O178" s="53">
        <v>1.4926968371879795E-3</v>
      </c>
      <c r="P178" s="49">
        <f t="shared" si="6"/>
        <v>0.84612393968547073</v>
      </c>
      <c r="Q178" s="17"/>
      <c r="R178" s="46">
        <f t="shared" si="7"/>
        <v>548</v>
      </c>
      <c r="S178" s="45">
        <f>O178*'used Standard Values'!B173</f>
        <v>6.0212166186994769E-4</v>
      </c>
      <c r="T178" s="45">
        <f>O178*'used Standard Values'!C173</f>
        <v>1.4782367843867721E-3</v>
      </c>
      <c r="U178" s="45">
        <f>O178*'used Standard Values'!D173</f>
        <v>1.5491088360589876E-5</v>
      </c>
    </row>
    <row r="179" spans="9:21" x14ac:dyDescent="0.3">
      <c r="I179" s="17"/>
      <c r="J179" s="17"/>
      <c r="K179" s="17"/>
      <c r="L179" s="17"/>
      <c r="M179" s="17"/>
      <c r="N179" s="52">
        <v>549</v>
      </c>
      <c r="O179" s="53">
        <v>1.4890609657389228E-3</v>
      </c>
      <c r="P179" s="49">
        <f t="shared" si="6"/>
        <v>0.84406297338741032</v>
      </c>
      <c r="Q179" s="17"/>
      <c r="R179" s="46">
        <f t="shared" si="7"/>
        <v>549</v>
      </c>
      <c r="S179" s="45">
        <f>O179*'used Standard Values'!B174</f>
        <v>6.2289132616969746E-4</v>
      </c>
      <c r="T179" s="45">
        <f>O179*'used Standard Values'!C174</f>
        <v>1.4783569998928052E-3</v>
      </c>
      <c r="U179" s="45">
        <f>O179*'used Standard Values'!D174</f>
        <v>1.4189717595181711E-5</v>
      </c>
    </row>
    <row r="180" spans="9:21" x14ac:dyDescent="0.3">
      <c r="I180" s="17"/>
      <c r="J180" s="17"/>
      <c r="K180" s="17"/>
      <c r="L180" s="17"/>
      <c r="M180" s="17"/>
      <c r="N180" s="52">
        <v>550</v>
      </c>
      <c r="O180" s="53">
        <v>1.4850503342737382E-3</v>
      </c>
      <c r="P180" s="49">
        <f t="shared" si="6"/>
        <v>0.84178957720179137</v>
      </c>
      <c r="Q180" s="17"/>
      <c r="R180" s="46">
        <f t="shared" si="7"/>
        <v>550</v>
      </c>
      <c r="S180" s="45">
        <f>O180*'used Standard Values'!B175</f>
        <v>6.4369491888591841E-4</v>
      </c>
      <c r="T180" s="45">
        <f>O180*'used Standard Values'!C175</f>
        <v>1.4775509785906892E-3</v>
      </c>
      <c r="U180" s="45">
        <f>O180*'used Standard Values'!D175</f>
        <v>1.2994188939844874E-5</v>
      </c>
    </row>
    <row r="181" spans="9:21" x14ac:dyDescent="0.3">
      <c r="I181" s="17"/>
      <c r="J181" s="17"/>
      <c r="K181" s="17"/>
      <c r="L181" s="17"/>
      <c r="M181" s="17"/>
      <c r="N181" s="52">
        <v>551</v>
      </c>
      <c r="O181" s="53">
        <v>1.4806951132595892E-3</v>
      </c>
      <c r="P181" s="49">
        <f t="shared" si="6"/>
        <v>0.83932085303028792</v>
      </c>
      <c r="Q181" s="17"/>
      <c r="R181" s="46">
        <f t="shared" si="7"/>
        <v>551</v>
      </c>
      <c r="S181" s="45">
        <f>O181*'used Standard Values'!B176</f>
        <v>6.6452900756387126E-4</v>
      </c>
      <c r="T181" s="45">
        <f>O181*'used Standard Values'!C176</f>
        <v>1.4758248108930558E-3</v>
      </c>
      <c r="U181" s="45">
        <f>O181*'used Standard Values'!D176</f>
        <v>1.189768137406345E-5</v>
      </c>
    </row>
    <row r="182" spans="9:21" x14ac:dyDescent="0.3">
      <c r="I182" s="17"/>
      <c r="J182" s="17"/>
      <c r="K182" s="17"/>
      <c r="L182" s="17"/>
      <c r="M182" s="17"/>
      <c r="N182" s="52">
        <v>552</v>
      </c>
      <c r="O182" s="53">
        <v>1.4760172624238587E-3</v>
      </c>
      <c r="P182" s="49">
        <f t="shared" si="6"/>
        <v>0.83666924857867975</v>
      </c>
      <c r="Q182" s="17"/>
      <c r="R182" s="46">
        <f t="shared" si="7"/>
        <v>552</v>
      </c>
      <c r="S182" s="45">
        <f>O182*'used Standard Values'!B177</f>
        <v>6.8536795156484492E-4</v>
      </c>
      <c r="T182" s="45">
        <f>O182*'used Standard Values'!C177</f>
        <v>1.4732103203959073E-3</v>
      </c>
      <c r="U182" s="45">
        <f>O182*'used Standard Values'!D177</f>
        <v>1.0895369024307956E-5</v>
      </c>
    </row>
    <row r="183" spans="9:21" x14ac:dyDescent="0.3">
      <c r="I183" s="17"/>
      <c r="J183" s="17"/>
      <c r="K183" s="17"/>
      <c r="L183" s="17"/>
      <c r="M183" s="17"/>
      <c r="N183" s="52">
        <v>553</v>
      </c>
      <c r="O183" s="53">
        <v>1.4710338849821005E-3</v>
      </c>
      <c r="P183" s="49">
        <f t="shared" si="6"/>
        <v>0.8338444586756586</v>
      </c>
      <c r="Q183" s="17"/>
      <c r="R183" s="46">
        <f t="shared" si="7"/>
        <v>553</v>
      </c>
      <c r="S183" s="45">
        <f>O183*'used Standard Values'!B178</f>
        <v>7.0619041096004701E-4</v>
      </c>
      <c r="T183" s="45">
        <f>O183*'used Standard Values'!C178</f>
        <v>1.4697276068922364E-3</v>
      </c>
      <c r="U183" s="45">
        <f>O183*'used Standard Values'!D178</f>
        <v>9.9815533231575444E-6</v>
      </c>
    </row>
    <row r="184" spans="9:21" x14ac:dyDescent="0.3">
      <c r="I184" s="17"/>
      <c r="J184" s="17"/>
      <c r="K184" s="17"/>
      <c r="L184" s="17"/>
      <c r="M184" s="17"/>
      <c r="N184" s="52">
        <v>554</v>
      </c>
      <c r="O184" s="53">
        <v>1.4656861507569129E-3</v>
      </c>
      <c r="P184" s="49">
        <f t="shared" si="6"/>
        <v>0.83081313587904126</v>
      </c>
      <c r="Q184" s="17"/>
      <c r="R184" s="46">
        <f t="shared" si="7"/>
        <v>554</v>
      </c>
      <c r="S184" s="45">
        <f>O184*'used Standard Values'!B179</f>
        <v>7.2693826558290213E-4</v>
      </c>
      <c r="T184" s="45">
        <f>O184*'used Standard Values'!C179</f>
        <v>1.4653170909841523E-3</v>
      </c>
      <c r="U184" s="45">
        <f>O184*'used Standard Values'!D179</f>
        <v>9.149985501945256E-6</v>
      </c>
    </row>
    <row r="185" spans="9:21" x14ac:dyDescent="0.3">
      <c r="I185" s="17"/>
      <c r="J185" s="17"/>
      <c r="K185" s="17"/>
      <c r="L185" s="17"/>
      <c r="M185" s="17"/>
      <c r="N185" s="52">
        <v>555</v>
      </c>
      <c r="O185" s="53">
        <v>1.4599736158137817E-3</v>
      </c>
      <c r="P185" s="49">
        <f t="shared" si="6"/>
        <v>0.82757502854789777</v>
      </c>
      <c r="Q185" s="17"/>
      <c r="R185" s="46">
        <f t="shared" si="7"/>
        <v>555</v>
      </c>
      <c r="S185" s="45">
        <f>O185*'used Standard Values'!B180</f>
        <v>7.4757963597480847E-4</v>
      </c>
      <c r="T185" s="45">
        <f>O185*'used Standard Values'!C180</f>
        <v>1.4599736158137817E-3</v>
      </c>
      <c r="U185" s="45">
        <f>O185*'used Standard Values'!D180</f>
        <v>8.3948468309556305E-6</v>
      </c>
    </row>
    <row r="186" spans="9:21" x14ac:dyDescent="0.3">
      <c r="I186" s="17"/>
      <c r="J186" s="17"/>
      <c r="K186" s="17"/>
      <c r="L186" s="17"/>
      <c r="M186" s="17"/>
      <c r="N186" s="52">
        <v>556</v>
      </c>
      <c r="O186" s="53">
        <v>1.4540358273439687E-3</v>
      </c>
      <c r="P186" s="49">
        <f t="shared" si="6"/>
        <v>0.82420923795470413</v>
      </c>
      <c r="Q186" s="17"/>
      <c r="R186" s="46">
        <f t="shared" si="7"/>
        <v>556</v>
      </c>
      <c r="S186" s="45">
        <f>O186*'used Standard Values'!B181</f>
        <v>7.6816116603892659E-4</v>
      </c>
      <c r="T186" s="45">
        <f>O186*'used Standard Values'!C181</f>
        <v>1.4538274640099103E-3</v>
      </c>
      <c r="U186" s="45">
        <f>O186*'used Standard Values'!D181</f>
        <v>7.7116244139014738E-6</v>
      </c>
    </row>
    <row r="187" spans="9:21" x14ac:dyDescent="0.3">
      <c r="I187" s="17"/>
      <c r="J187" s="17"/>
      <c r="K187" s="17"/>
      <c r="L187" s="17"/>
      <c r="M187" s="17"/>
      <c r="N187" s="52">
        <v>557</v>
      </c>
      <c r="O187" s="53">
        <v>1.4476820911757246E-3</v>
      </c>
      <c r="P187" s="49">
        <f t="shared" si="6"/>
        <v>0.82060767054700168</v>
      </c>
      <c r="Q187" s="17"/>
      <c r="R187" s="46">
        <f t="shared" si="7"/>
        <v>557</v>
      </c>
      <c r="S187" s="45">
        <f>O187*'used Standard Values'!B182</f>
        <v>7.8854027453385139E-4</v>
      </c>
      <c r="T187" s="45">
        <f>O187*'used Standard Values'!C182</f>
        <v>1.4466753730495209E-3</v>
      </c>
      <c r="U187" s="45">
        <f>O187*'used Standard Values'!D182</f>
        <v>7.0933527103428157E-6</v>
      </c>
    </row>
    <row r="188" spans="9:21" x14ac:dyDescent="0.3">
      <c r="I188" s="17"/>
      <c r="J188" s="17"/>
      <c r="K188" s="17"/>
      <c r="L188" s="17"/>
      <c r="M188" s="17"/>
      <c r="N188" s="52">
        <v>558</v>
      </c>
      <c r="O188" s="53">
        <v>1.4410445511303985E-3</v>
      </c>
      <c r="P188" s="49">
        <f t="shared" si="6"/>
        <v>0.8168452310528902</v>
      </c>
      <c r="Q188" s="17"/>
      <c r="R188" s="46">
        <f t="shared" si="7"/>
        <v>558</v>
      </c>
      <c r="S188" s="45">
        <f>O188*'used Standard Values'!B183</f>
        <v>8.0872774791316019E-4</v>
      </c>
      <c r="T188" s="45">
        <f>O188*'used Standard Values'!C183</f>
        <v>1.4386315220295306E-3</v>
      </c>
      <c r="U188" s="45">
        <f>O188*'used Standard Values'!D183</f>
        <v>6.5339842037354533E-6</v>
      </c>
    </row>
    <row r="189" spans="9:21" x14ac:dyDescent="0.3">
      <c r="I189" s="17"/>
      <c r="J189" s="17"/>
      <c r="K189" s="17"/>
      <c r="L189" s="17"/>
      <c r="M189" s="17"/>
      <c r="N189" s="52">
        <v>559</v>
      </c>
      <c r="O189" s="53">
        <v>1.4341390811614539E-3</v>
      </c>
      <c r="P189" s="49">
        <f t="shared" si="6"/>
        <v>0.81293091750312063</v>
      </c>
      <c r="Q189" s="17"/>
      <c r="R189" s="46">
        <f t="shared" si="7"/>
        <v>559</v>
      </c>
      <c r="S189" s="45">
        <f>O189*'used Standard Values'!B184</f>
        <v>8.2867639508533303E-4</v>
      </c>
      <c r="T189" s="45">
        <f>O189*'used Standard Values'!C184</f>
        <v>1.4296913856290479E-3</v>
      </c>
      <c r="U189" s="45">
        <f>O189*'used Standard Values'!D184</f>
        <v>6.026826074672894E-6</v>
      </c>
    </row>
    <row r="190" spans="9:21" x14ac:dyDescent="0.3">
      <c r="I190" s="17"/>
      <c r="J190" s="17"/>
      <c r="K190" s="17"/>
      <c r="L190" s="17"/>
      <c r="M190" s="17"/>
      <c r="N190" s="52">
        <v>560</v>
      </c>
      <c r="O190" s="53">
        <v>1.426920550157049E-3</v>
      </c>
      <c r="P190" s="49">
        <f t="shared" si="6"/>
        <v>0.8088391476674619</v>
      </c>
      <c r="Q190" s="17"/>
      <c r="R190" s="46">
        <f t="shared" si="7"/>
        <v>560</v>
      </c>
      <c r="S190" s="45">
        <f>O190*'used Standard Values'!B185</f>
        <v>8.4830426706836561E-4</v>
      </c>
      <c r="T190" s="45">
        <f>O190*'used Standard Values'!C185</f>
        <v>1.4197859474062637E-3</v>
      </c>
      <c r="U190" s="45">
        <f>O190*'used Standard Values'!D185</f>
        <v>5.5649901456124906E-6</v>
      </c>
    </row>
    <row r="191" spans="9:21" x14ac:dyDescent="0.3">
      <c r="I191" s="17"/>
      <c r="J191" s="17"/>
      <c r="K191" s="17"/>
      <c r="L191" s="17"/>
      <c r="M191" s="17"/>
      <c r="N191" s="52">
        <v>561</v>
      </c>
      <c r="O191" s="53">
        <v>1.419413846144531E-3</v>
      </c>
      <c r="P191" s="49">
        <f t="shared" si="6"/>
        <v>0.80458402913643456</v>
      </c>
      <c r="Q191" s="17"/>
      <c r="R191" s="46">
        <f t="shared" si="7"/>
        <v>561</v>
      </c>
      <c r="S191" s="45">
        <f>O191*'used Standard Values'!B186</f>
        <v>8.6757540851292172E-4</v>
      </c>
      <c r="T191" s="45">
        <f>O191*'used Standard Values'!C186</f>
        <v>1.4089108933899846E-3</v>
      </c>
      <c r="U191" s="45">
        <f>O191*'used Standard Values'!D186</f>
        <v>5.1428202473508643E-6</v>
      </c>
    </row>
    <row r="192" spans="9:21" x14ac:dyDescent="0.3">
      <c r="I192" s="17"/>
      <c r="J192" s="17"/>
      <c r="K192" s="17"/>
      <c r="L192" s="17"/>
      <c r="M192" s="17"/>
      <c r="N192" s="52">
        <v>562</v>
      </c>
      <c r="O192" s="53">
        <v>1.4116488448667275E-3</v>
      </c>
      <c r="P192" s="49">
        <f t="shared" si="6"/>
        <v>0.80018249674944641</v>
      </c>
      <c r="Q192" s="17"/>
      <c r="R192" s="46">
        <f t="shared" si="7"/>
        <v>562</v>
      </c>
      <c r="S192" s="45">
        <f>O192*'used Standard Values'!B187</f>
        <v>8.8648131267425904E-4</v>
      </c>
      <c r="T192" s="45">
        <f>O192*'used Standard Values'!C187</f>
        <v>1.3971689980053915E-3</v>
      </c>
      <c r="U192" s="45">
        <f>O192*'used Standard Values'!D187</f>
        <v>4.7581035965077922E-6</v>
      </c>
    </row>
    <row r="193" spans="9:21" x14ac:dyDescent="0.3">
      <c r="I193" s="17"/>
      <c r="J193" s="17"/>
      <c r="K193" s="17"/>
      <c r="L193" s="17"/>
      <c r="M193" s="17"/>
      <c r="N193" s="52">
        <v>563</v>
      </c>
      <c r="O193" s="53">
        <v>1.4036472531360085E-3</v>
      </c>
      <c r="P193" s="49">
        <f t="shared" si="6"/>
        <v>0.79564685484931019</v>
      </c>
      <c r="Q193" s="17"/>
      <c r="R193" s="46">
        <f t="shared" si="7"/>
        <v>563</v>
      </c>
      <c r="S193" s="45">
        <f>O193*'used Standard Values'!B188</f>
        <v>9.0501588366142345E-4</v>
      </c>
      <c r="T193" s="45">
        <f>O193*'used Standard Values'!C188</f>
        <v>1.3846199724313981E-3</v>
      </c>
      <c r="U193" s="45">
        <f>O193*'used Standard Values'!D188</f>
        <v>4.4094174810014568E-6</v>
      </c>
    </row>
    <row r="194" spans="9:21" x14ac:dyDescent="0.3">
      <c r="I194" s="17"/>
      <c r="J194" s="17"/>
      <c r="K194" s="17"/>
      <c r="L194" s="17"/>
      <c r="M194" s="17"/>
      <c r="N194" s="52">
        <v>564</v>
      </c>
      <c r="O194" s="53">
        <v>1.3953754902094931E-3</v>
      </c>
      <c r="P194" s="49">
        <f t="shared" si="6"/>
        <v>0.79095806844529237</v>
      </c>
      <c r="Q194" s="17"/>
      <c r="R194" s="46">
        <f t="shared" si="7"/>
        <v>564</v>
      </c>
      <c r="S194" s="45">
        <f>O194*'used Standard Values'!B189</f>
        <v>9.2313814444524732E-4</v>
      </c>
      <c r="T194" s="45">
        <f>O194*'used Standard Values'!C189</f>
        <v>1.3712691227781828E-3</v>
      </c>
      <c r="U194" s="45">
        <f>O194*'used Standard Values'!D189</f>
        <v>4.0951479886668207E-6</v>
      </c>
    </row>
    <row r="195" spans="9:21" x14ac:dyDescent="0.3">
      <c r="I195" s="17"/>
      <c r="J195" s="17"/>
      <c r="K195" s="17"/>
      <c r="L195" s="17"/>
      <c r="M195" s="17"/>
      <c r="N195" s="52">
        <v>565</v>
      </c>
      <c r="O195" s="53">
        <v>1.3869146722302972E-3</v>
      </c>
      <c r="P195" s="49">
        <f t="shared" si="6"/>
        <v>0.78616211761109267</v>
      </c>
      <c r="Q195" s="17"/>
      <c r="R195" s="46">
        <f t="shared" si="7"/>
        <v>565</v>
      </c>
      <c r="S195" s="45">
        <f>O195*'used Standard Values'!B190</f>
        <v>9.4088291364103358E-4</v>
      </c>
      <c r="T195" s="45">
        <f>O195*'used Standard Values'!C190</f>
        <v>1.3572346982445688E-3</v>
      </c>
      <c r="U195" s="45">
        <f>O195*'used Standard Values'!D190</f>
        <v>3.8140139617186452E-6</v>
      </c>
    </row>
    <row r="196" spans="9:21" x14ac:dyDescent="0.3">
      <c r="I196" s="17"/>
      <c r="J196" s="17"/>
      <c r="K196" s="17"/>
      <c r="L196" s="17"/>
      <c r="M196" s="17"/>
      <c r="N196" s="52">
        <v>566</v>
      </c>
      <c r="O196" s="53">
        <v>1.3782845782272127E-3</v>
      </c>
      <c r="P196" s="49">
        <f t="shared" si="6"/>
        <v>0.781270213939948</v>
      </c>
      <c r="Q196" s="17"/>
      <c r="R196" s="46">
        <f t="shared" si="7"/>
        <v>566</v>
      </c>
      <c r="S196" s="45">
        <f>O196*'used Standard Values'!B191</f>
        <v>9.5823746753902466E-4</v>
      </c>
      <c r="T196" s="45">
        <f>O196*'used Standard Values'!C191</f>
        <v>1.3425645416125028E-3</v>
      </c>
      <c r="U196" s="45">
        <f>O196*'used Standard Values'!D191</f>
        <v>3.5631412916329905E-6</v>
      </c>
    </row>
    <row r="197" spans="9:21" x14ac:dyDescent="0.3">
      <c r="I197" s="17"/>
      <c r="J197" s="17"/>
      <c r="K197" s="17"/>
      <c r="L197" s="17"/>
      <c r="M197" s="17"/>
      <c r="N197" s="52">
        <v>567</v>
      </c>
      <c r="O197" s="53">
        <v>1.3694000481060673E-3</v>
      </c>
      <c r="P197" s="49">
        <f t="shared" si="6"/>
        <v>0.77623408507501424</v>
      </c>
      <c r="Q197" s="17"/>
      <c r="R197" s="46">
        <f t="shared" si="7"/>
        <v>567</v>
      </c>
      <c r="S197" s="45">
        <f>O197*'used Standard Values'!B192</f>
        <v>9.7509308109433894E-4</v>
      </c>
      <c r="T197" s="45">
        <f>O197*'used Standard Values'!C192</f>
        <v>1.327183087903015E-3</v>
      </c>
      <c r="U197" s="45">
        <f>O197*'used Standard Values'!D192</f>
        <v>3.3394189573114555E-6</v>
      </c>
    </row>
    <row r="198" spans="9:21" x14ac:dyDescent="0.3">
      <c r="I198" s="17"/>
      <c r="J198" s="17"/>
      <c r="K198" s="17"/>
      <c r="L198" s="17"/>
      <c r="M198" s="17"/>
      <c r="N198" s="52">
        <v>568</v>
      </c>
      <c r="O198" s="53">
        <v>1.3604166220338098E-3</v>
      </c>
      <c r="P198" s="49">
        <f t="shared" si="6"/>
        <v>0.77114189778636755</v>
      </c>
      <c r="Q198" s="17"/>
      <c r="R198" s="46">
        <f t="shared" si="7"/>
        <v>568</v>
      </c>
      <c r="S198" s="45">
        <f>O198*'used Standard Values'!B193</f>
        <v>9.9151026997030644E-4</v>
      </c>
      <c r="T198" s="45">
        <f>O198*'used Standard Values'!C193</f>
        <v>1.3112468119803173E-3</v>
      </c>
      <c r="U198" s="45">
        <f>O198*'used Standard Values'!D193</f>
        <v>3.1417461469248806E-6</v>
      </c>
    </row>
    <row r="199" spans="9:21" x14ac:dyDescent="0.3">
      <c r="I199" s="17"/>
      <c r="J199" s="17"/>
      <c r="K199" s="17"/>
      <c r="L199" s="17"/>
      <c r="M199" s="17"/>
      <c r="N199" s="52">
        <v>569</v>
      </c>
      <c r="O199" s="53">
        <v>1.3513073045954705E-3</v>
      </c>
      <c r="P199" s="49">
        <f t="shared" si="6"/>
        <v>0.76597834992671432</v>
      </c>
      <c r="Q199" s="17"/>
      <c r="R199" s="46">
        <f t="shared" si="7"/>
        <v>569</v>
      </c>
      <c r="S199" s="45">
        <f>O199*'used Standard Values'!B194</f>
        <v>1.0074250001532498E-3</v>
      </c>
      <c r="T199" s="45">
        <f>O199*'used Standard Values'!C194</f>
        <v>1.2947346891578507E-3</v>
      </c>
      <c r="U199" s="45">
        <f>O199*'used Standard Values'!D194</f>
        <v>2.9685518867353296E-6</v>
      </c>
    </row>
    <row r="200" spans="9:21" x14ac:dyDescent="0.3">
      <c r="I200" s="17"/>
      <c r="J200" s="17"/>
      <c r="K200" s="17"/>
      <c r="L200" s="17"/>
      <c r="M200" s="17"/>
      <c r="N200" s="52">
        <v>570</v>
      </c>
      <c r="O200" s="53">
        <v>1.3420416105648398E-3</v>
      </c>
      <c r="P200" s="49">
        <f t="shared" si="6"/>
        <v>0.76072616117559011</v>
      </c>
      <c r="Q200" s="17"/>
      <c r="R200" s="46">
        <f t="shared" si="7"/>
        <v>570</v>
      </c>
      <c r="S200" s="45">
        <f>O200*'used Standard Values'!B195</f>
        <v>1.0227699114114643E-3</v>
      </c>
      <c r="T200" s="45">
        <f>O200*'used Standard Values'!C195</f>
        <v>1.2776236132577275E-3</v>
      </c>
      <c r="U200" s="45">
        <f>O200*'used Standard Values'!D195</f>
        <v>2.8182873821861634E-6</v>
      </c>
    </row>
    <row r="201" spans="9:21" x14ac:dyDescent="0.3">
      <c r="I201" s="17"/>
      <c r="J201" s="17"/>
      <c r="K201" s="17"/>
      <c r="L201" s="17"/>
      <c r="M201" s="17"/>
      <c r="N201" s="52">
        <v>571</v>
      </c>
      <c r="O201" s="53">
        <v>1.3326733926579842E-3</v>
      </c>
      <c r="P201" s="49">
        <f t="shared" si="6"/>
        <v>0.75541585753877571</v>
      </c>
      <c r="Q201" s="17"/>
      <c r="R201" s="46">
        <f t="shared" si="7"/>
        <v>571</v>
      </c>
      <c r="S201" s="45">
        <f>O201*'used Standard Values'!B196</f>
        <v>1.0375438076748035E-3</v>
      </c>
      <c r="T201" s="45">
        <f>O201*'used Standard Values'!C196</f>
        <v>1.2599765921578483E-3</v>
      </c>
      <c r="U201" s="45">
        <f>O201*'used Standard Values'!D196</f>
        <v>2.6889790825879723E-6</v>
      </c>
    </row>
    <row r="202" spans="9:21" x14ac:dyDescent="0.3">
      <c r="I202" s="17"/>
      <c r="J202" s="17"/>
      <c r="K202" s="17"/>
      <c r="L202" s="17"/>
      <c r="M202" s="17"/>
      <c r="N202" s="52">
        <v>572</v>
      </c>
      <c r="O202" s="53">
        <v>1.3232290928995546E-3</v>
      </c>
      <c r="P202" s="49">
        <f t="shared" ref="P202:P265" si="8">O202/MAX($O$10:$O$630)</f>
        <v>0.7500624274784381</v>
      </c>
      <c r="Q202" s="17"/>
      <c r="R202" s="46">
        <f t="shared" ref="R202:R265" si="9">N202</f>
        <v>572</v>
      </c>
      <c r="S202" s="45">
        <f>O202*'used Standard Values'!B197</f>
        <v>1.0517363577013442E-3</v>
      </c>
      <c r="T202" s="45">
        <f>O202*'used Standard Values'!C197</f>
        <v>1.2418494451029577E-3</v>
      </c>
      <c r="U202" s="45">
        <f>O202*'used Standard Values'!D197</f>
        <v>2.5779149187869123E-6</v>
      </c>
    </row>
    <row r="203" spans="9:21" x14ac:dyDescent="0.3">
      <c r="I203" s="17"/>
      <c r="J203" s="17"/>
      <c r="K203" s="17"/>
      <c r="L203" s="17"/>
      <c r="M203" s="17"/>
      <c r="N203" s="52">
        <v>573</v>
      </c>
      <c r="O203" s="53">
        <v>1.3137669929319082E-3</v>
      </c>
      <c r="P203" s="49">
        <f t="shared" si="8"/>
        <v>0.74469890750380952</v>
      </c>
      <c r="Q203" s="17"/>
      <c r="R203" s="46">
        <f t="shared" si="9"/>
        <v>573</v>
      </c>
      <c r="S203" s="45">
        <f>O203*'used Standard Values'!B198</f>
        <v>1.0653683380170977E-3</v>
      </c>
      <c r="T203" s="45">
        <f>O203*'used Standard Values'!C198</f>
        <v>1.2233309516860558E-3</v>
      </c>
      <c r="U203" s="45">
        <f>O203*'used Standard Values'!D198</f>
        <v>2.4827568632427203E-6</v>
      </c>
    </row>
    <row r="204" spans="9:21" x14ac:dyDescent="0.3">
      <c r="I204" s="17"/>
      <c r="J204" s="17"/>
      <c r="K204" s="17"/>
      <c r="L204" s="17"/>
      <c r="M204" s="17"/>
      <c r="N204" s="52">
        <v>574</v>
      </c>
      <c r="O204" s="53">
        <v>1.3042967493603092E-3</v>
      </c>
      <c r="P204" s="49">
        <f t="shared" si="8"/>
        <v>0.73933077138872416</v>
      </c>
      <c r="Q204" s="17"/>
      <c r="R204" s="46">
        <f t="shared" si="9"/>
        <v>574</v>
      </c>
      <c r="S204" s="45">
        <f>O204*'used Standard Values'!B199</f>
        <v>1.0784248989304879E-3</v>
      </c>
      <c r="T204" s="45">
        <f>O204*'used Standard Values'!C199</f>
        <v>1.2044627458520727E-3</v>
      </c>
      <c r="U204" s="45">
        <f>O204*'used Standard Values'!D199</f>
        <v>2.4011229276901218E-6</v>
      </c>
    </row>
    <row r="205" spans="9:21" x14ac:dyDescent="0.3">
      <c r="I205" s="17"/>
      <c r="J205" s="17"/>
      <c r="K205" s="17"/>
      <c r="L205" s="17"/>
      <c r="M205" s="17"/>
      <c r="N205" s="52">
        <v>575</v>
      </c>
      <c r="O205" s="53">
        <v>1.2947924760254212E-3</v>
      </c>
      <c r="P205" s="49">
        <f t="shared" si="8"/>
        <v>0.73394334575907494</v>
      </c>
      <c r="Q205" s="17"/>
      <c r="R205" s="46">
        <f t="shared" si="9"/>
        <v>575</v>
      </c>
      <c r="S205" s="45">
        <f>O205*'used Standard Values'!B200</f>
        <v>1.0908626610514173E-3</v>
      </c>
      <c r="T205" s="45">
        <f>O205*'used Standard Values'!C200</f>
        <v>1.1852530325536705E-3</v>
      </c>
      <c r="U205" s="45">
        <f>O205*'used Standard Values'!D200</f>
        <v>2.3306264568457582E-6</v>
      </c>
    </row>
    <row r="206" spans="9:21" x14ac:dyDescent="0.3">
      <c r="I206" s="17"/>
      <c r="J206" s="17"/>
      <c r="K206" s="17"/>
      <c r="L206" s="17"/>
      <c r="M206" s="17"/>
      <c r="N206" s="52">
        <v>576</v>
      </c>
      <c r="O206" s="53">
        <v>1.285327342024798E-3</v>
      </c>
      <c r="P206" s="49">
        <f t="shared" si="8"/>
        <v>0.72857810596574524</v>
      </c>
      <c r="Q206" s="17"/>
      <c r="R206" s="46">
        <f t="shared" si="9"/>
        <v>576</v>
      </c>
      <c r="S206" s="45">
        <f>O206*'used Standard Values'!B201</f>
        <v>1.1027240998616899E-3</v>
      </c>
      <c r="T206" s="45">
        <f>O206*'used Standard Values'!C201</f>
        <v>1.1658001253114806E-3</v>
      </c>
      <c r="U206" s="45">
        <f>O206*'used Standard Values'!D201</f>
        <v>2.2702312684161136E-6</v>
      </c>
    </row>
    <row r="207" spans="9:21" x14ac:dyDescent="0.3">
      <c r="I207" s="17"/>
      <c r="J207" s="17"/>
      <c r="K207" s="17"/>
      <c r="L207" s="17"/>
      <c r="M207" s="17"/>
      <c r="N207" s="52">
        <v>577</v>
      </c>
      <c r="O207" s="53">
        <v>1.2759372829927312E-3</v>
      </c>
      <c r="P207" s="49">
        <f t="shared" si="8"/>
        <v>0.7232554218518974</v>
      </c>
      <c r="Q207" s="17"/>
      <c r="R207" s="46">
        <f t="shared" si="9"/>
        <v>577</v>
      </c>
      <c r="S207" s="45">
        <f>O207*'used Standard Values'!B202</f>
        <v>1.1139973645349465E-3</v>
      </c>
      <c r="T207" s="45">
        <f>O207*'used Standard Values'!C202</f>
        <v>1.1461453699423182E-3</v>
      </c>
      <c r="U207" s="45">
        <f>O207*'used Standard Values'!D202</f>
        <v>2.2173238103847682E-6</v>
      </c>
    </row>
    <row r="208" spans="9:21" x14ac:dyDescent="0.3">
      <c r="I208" s="17"/>
      <c r="J208" s="17"/>
      <c r="K208" s="17"/>
      <c r="L208" s="17"/>
      <c r="M208" s="17"/>
      <c r="N208" s="52">
        <v>578</v>
      </c>
      <c r="O208" s="53">
        <v>1.2665511958979659E-3</v>
      </c>
      <c r="P208" s="49">
        <f t="shared" si="8"/>
        <v>0.71793498920074028</v>
      </c>
      <c r="Q208" s="17"/>
      <c r="R208" s="46">
        <f t="shared" si="9"/>
        <v>578</v>
      </c>
      <c r="S208" s="45">
        <f>O208*'used Standard Values'!B203</f>
        <v>1.1245637141511068E-3</v>
      </c>
      <c r="T208" s="45">
        <f>O208*'used Standard Values'!C203</f>
        <v>1.1262234028382116E-3</v>
      </c>
      <c r="U208" s="45">
        <f>O208*'used Standard Values'!D203</f>
        <v>2.167322406420599E-6</v>
      </c>
    </row>
    <row r="209" spans="9:21" x14ac:dyDescent="0.3">
      <c r="I209" s="17"/>
      <c r="J209" s="17"/>
      <c r="K209" s="17"/>
      <c r="L209" s="17"/>
      <c r="M209" s="17"/>
      <c r="N209" s="52">
        <v>579</v>
      </c>
      <c r="O209" s="53">
        <v>1.2573488902803398E-3</v>
      </c>
      <c r="P209" s="49">
        <f t="shared" si="8"/>
        <v>0.71271873169325894</v>
      </c>
      <c r="Q209" s="17"/>
      <c r="R209" s="46">
        <f t="shared" si="9"/>
        <v>579</v>
      </c>
      <c r="S209" s="45">
        <f>O209*'used Standard Values'!B204</f>
        <v>1.1345286617148646E-3</v>
      </c>
      <c r="T209" s="45">
        <f>O209*'used Standard Values'!C204</f>
        <v>1.1061924184490618E-3</v>
      </c>
      <c r="U209" s="45">
        <f>O209*'used Standard Values'!D204</f>
        <v>2.1162024247174607E-6</v>
      </c>
    </row>
    <row r="210" spans="9:21" x14ac:dyDescent="0.3">
      <c r="I210" s="17"/>
      <c r="J210" s="17"/>
      <c r="K210" s="17"/>
      <c r="L210" s="17"/>
      <c r="M210" s="17"/>
      <c r="N210" s="52">
        <v>580</v>
      </c>
      <c r="O210" s="53">
        <v>1.2482502434752382E-3</v>
      </c>
      <c r="P210" s="49">
        <f t="shared" si="8"/>
        <v>0.707561232401546</v>
      </c>
      <c r="Q210" s="17"/>
      <c r="R210" s="46">
        <f t="shared" si="9"/>
        <v>580</v>
      </c>
      <c r="S210" s="45">
        <f>O210*'used Standard Values'!B205</f>
        <v>1.1437716980963609E-3</v>
      </c>
      <c r="T210" s="45">
        <f>O210*'used Standard Values'!C205</f>
        <v>1.0859777118234573E-3</v>
      </c>
      <c r="U210" s="45">
        <f>O210*'used Standard Values'!D205</f>
        <v>2.0596141499843862E-6</v>
      </c>
    </row>
    <row r="211" spans="9:21" x14ac:dyDescent="0.3">
      <c r="I211" s="17"/>
      <c r="J211" s="17"/>
      <c r="K211" s="17"/>
      <c r="L211" s="17"/>
      <c r="M211" s="17"/>
      <c r="N211" s="52">
        <v>581</v>
      </c>
      <c r="O211" s="53">
        <v>1.2393225258723957E-3</v>
      </c>
      <c r="P211" s="49">
        <f t="shared" si="8"/>
        <v>0.70250062303846394</v>
      </c>
      <c r="Q211" s="17"/>
      <c r="R211" s="46">
        <f t="shared" si="9"/>
        <v>581</v>
      </c>
      <c r="S211" s="45">
        <f>O211*'used Standard Values'!B206</f>
        <v>1.1523214648948906E-3</v>
      </c>
      <c r="T211" s="45">
        <f>O211*'used Standard Values'!C206</f>
        <v>1.0656454782159218E-3</v>
      </c>
      <c r="U211" s="45">
        <f>O211*'used Standard Values'!D206</f>
        <v>1.995474096550498E-6</v>
      </c>
    </row>
    <row r="212" spans="9:21" x14ac:dyDescent="0.3">
      <c r="I212" s="17"/>
      <c r="J212" s="17"/>
      <c r="K212" s="17"/>
      <c r="L212" s="17"/>
      <c r="M212" s="17"/>
      <c r="N212" s="52">
        <v>582</v>
      </c>
      <c r="O212" s="53">
        <v>1.2305068089740357E-3</v>
      </c>
      <c r="P212" s="49">
        <f t="shared" si="8"/>
        <v>0.69750350042966669</v>
      </c>
      <c r="Q212" s="17"/>
      <c r="R212" s="46">
        <f t="shared" si="9"/>
        <v>582</v>
      </c>
      <c r="S212" s="45">
        <f>O212*'used Standard Values'!B207</f>
        <v>1.1601198506898266E-3</v>
      </c>
      <c r="T212" s="45">
        <f>O212*'used Standard Values'!C207</f>
        <v>1.0451826394880742E-3</v>
      </c>
      <c r="U212" s="45">
        <f>O212*'used Standard Values'!D207</f>
        <v>1.9250048519589816E-6</v>
      </c>
    </row>
    <row r="213" spans="9:21" x14ac:dyDescent="0.3">
      <c r="I213" s="17"/>
      <c r="J213" s="17"/>
      <c r="K213" s="17"/>
      <c r="L213" s="17"/>
      <c r="M213" s="17"/>
      <c r="N213" s="52">
        <v>583</v>
      </c>
      <c r="O213" s="53">
        <v>1.2219503230653818E-3</v>
      </c>
      <c r="P213" s="49">
        <f t="shared" si="8"/>
        <v>0.69265332095147325</v>
      </c>
      <c r="Q213" s="17"/>
      <c r="R213" s="46">
        <f t="shared" si="9"/>
        <v>583</v>
      </c>
      <c r="S213" s="45">
        <f>O213*'used Standard Values'!B208</f>
        <v>1.1673017719371224E-3</v>
      </c>
      <c r="T213" s="45">
        <f>O213*'used Standard Values'!C208</f>
        <v>1.0247544238297366E-3</v>
      </c>
      <c r="U213" s="45">
        <f>O213*'used Standard Values'!D208</f>
        <v>1.8495440089917619E-6</v>
      </c>
    </row>
    <row r="214" spans="9:21" x14ac:dyDescent="0.3">
      <c r="I214" s="17"/>
      <c r="J214" s="17"/>
      <c r="K214" s="17"/>
      <c r="L214" s="17"/>
      <c r="M214" s="17"/>
      <c r="N214" s="52">
        <v>584</v>
      </c>
      <c r="O214" s="53">
        <v>1.2136094489240076E-3</v>
      </c>
      <c r="P214" s="49">
        <f t="shared" si="8"/>
        <v>0.68792535937676036</v>
      </c>
      <c r="Q214" s="17"/>
      <c r="R214" s="46">
        <f t="shared" si="9"/>
        <v>584</v>
      </c>
      <c r="S214" s="45">
        <f>O214*'used Standard Values'!B209</f>
        <v>1.1738247826084359E-3</v>
      </c>
      <c r="T214" s="45">
        <f>O214*'used Standard Values'!C209</f>
        <v>1.0043604854328137E-3</v>
      </c>
      <c r="U214" s="45">
        <f>O214*'used Standard Values'!D209</f>
        <v>1.7700894303674795E-6</v>
      </c>
    </row>
    <row r="215" spans="9:21" x14ac:dyDescent="0.3">
      <c r="I215" s="17"/>
      <c r="J215" s="17"/>
      <c r="K215" s="17"/>
      <c r="L215" s="17"/>
      <c r="M215" s="17"/>
      <c r="N215" s="52">
        <v>585</v>
      </c>
      <c r="O215" s="53">
        <v>1.2055701571663812E-3</v>
      </c>
      <c r="P215" s="49">
        <f t="shared" si="8"/>
        <v>0.68336834750082032</v>
      </c>
      <c r="Q215" s="17"/>
      <c r="R215" s="46">
        <f t="shared" si="9"/>
        <v>585</v>
      </c>
      <c r="S215" s="45">
        <f>O215*'used Standard Values'!B210</f>
        <v>1.1797709558030206E-3</v>
      </c>
      <c r="T215" s="45">
        <f>O215*'used Standard Values'!C210</f>
        <v>9.841069192949171E-4</v>
      </c>
      <c r="U215" s="45">
        <f>O215*'used Standard Values'!D210</f>
        <v>1.6877982200329338E-6</v>
      </c>
    </row>
    <row r="216" spans="9:21" x14ac:dyDescent="0.3">
      <c r="I216" s="17"/>
      <c r="J216" s="17"/>
      <c r="K216" s="17"/>
      <c r="L216" s="17"/>
      <c r="M216" s="17"/>
      <c r="N216" s="52">
        <v>586</v>
      </c>
      <c r="O216" s="53">
        <v>1.1977372827074262E-3</v>
      </c>
      <c r="P216" s="49">
        <f t="shared" si="8"/>
        <v>0.67892834171320293</v>
      </c>
      <c r="Q216" s="17"/>
      <c r="R216" s="46">
        <f t="shared" si="9"/>
        <v>586</v>
      </c>
      <c r="S216" s="45">
        <f>O216*'used Standard Values'!B211</f>
        <v>1.1850240200938565E-3</v>
      </c>
      <c r="T216" s="45">
        <f>O216*'used Standard Values'!C211</f>
        <v>9.6393261711533824E-4</v>
      </c>
      <c r="U216" s="45">
        <f>O216*'used Standard Values'!D211</f>
        <v>1.6009759004646872E-6</v>
      </c>
    </row>
    <row r="217" spans="9:21" x14ac:dyDescent="0.3">
      <c r="I217" s="17"/>
      <c r="J217" s="17"/>
      <c r="K217" s="17"/>
      <c r="L217" s="17"/>
      <c r="M217" s="17"/>
      <c r="N217" s="52">
        <v>587</v>
      </c>
      <c r="O217" s="53">
        <v>1.1902160115273464E-3</v>
      </c>
      <c r="P217" s="49">
        <f t="shared" si="8"/>
        <v>0.67466496589315328</v>
      </c>
      <c r="Q217" s="17"/>
      <c r="R217" s="46">
        <f t="shared" si="9"/>
        <v>587</v>
      </c>
      <c r="S217" s="45">
        <f>O217*'used Standard Values'!B212</f>
        <v>1.1896789860629453E-3</v>
      </c>
      <c r="T217" s="45">
        <f>O217*'used Standard Values'!C212</f>
        <v>9.4393889485413086E-4</v>
      </c>
      <c r="U217" s="45">
        <f>O217*'used Standard Values'!D212</f>
        <v>1.51157433463973E-6</v>
      </c>
    </row>
    <row r="218" spans="9:21" x14ac:dyDescent="0.3">
      <c r="I218" s="17"/>
      <c r="J218" s="17"/>
      <c r="K218" s="17"/>
      <c r="L218" s="17"/>
      <c r="M218" s="17"/>
      <c r="N218" s="52">
        <v>588</v>
      </c>
      <c r="O218" s="53">
        <v>1.1829724469196656E-3</v>
      </c>
      <c r="P218" s="49">
        <f t="shared" si="8"/>
        <v>0.67055900594835749</v>
      </c>
      <c r="Q218" s="17"/>
      <c r="R218" s="46">
        <f t="shared" si="9"/>
        <v>588</v>
      </c>
      <c r="S218" s="45">
        <f>O218*'used Standard Values'!B213</f>
        <v>1.1937247200842077E-3</v>
      </c>
      <c r="T218" s="45">
        <f>O218*'used Standard Values'!C213</f>
        <v>9.2412861175406741E-4</v>
      </c>
      <c r="U218" s="45">
        <f>O218*'used Standard Values'!D213</f>
        <v>1.4254817985381969E-6</v>
      </c>
    </row>
    <row r="219" spans="9:21" x14ac:dyDescent="0.3">
      <c r="I219" s="17"/>
      <c r="J219" s="17"/>
      <c r="K219" s="17"/>
      <c r="L219" s="17"/>
      <c r="M219" s="17"/>
      <c r="N219" s="52">
        <v>589</v>
      </c>
      <c r="O219" s="53">
        <v>1.1760484875722903E-3</v>
      </c>
      <c r="P219" s="49">
        <f t="shared" si="8"/>
        <v>0.66663421183392779</v>
      </c>
      <c r="Q219" s="17"/>
      <c r="R219" s="46">
        <f t="shared" si="9"/>
        <v>589</v>
      </c>
      <c r="S219" s="45">
        <f>O219*'used Standard Values'!B214</f>
        <v>1.197224887058912E-3</v>
      </c>
      <c r="T219" s="45">
        <f>O219*'used Standard Values'!C214</f>
        <v>9.0456322164411869E-4</v>
      </c>
      <c r="U219" s="45">
        <f>O219*'used Standard Values'!D214</f>
        <v>1.3485359910990555E-6</v>
      </c>
    </row>
    <row r="220" spans="9:21" x14ac:dyDescent="0.3">
      <c r="I220" s="17"/>
      <c r="J220" s="17"/>
      <c r="K220" s="17"/>
      <c r="L220" s="17"/>
      <c r="M220" s="17"/>
      <c r="N220" s="52">
        <v>590</v>
      </c>
      <c r="O220" s="53">
        <v>1.1694924088929972E-3</v>
      </c>
      <c r="P220" s="49">
        <f t="shared" si="8"/>
        <v>0.66291794810052196</v>
      </c>
      <c r="Q220" s="17"/>
      <c r="R220" s="46">
        <f t="shared" si="9"/>
        <v>590</v>
      </c>
      <c r="S220" s="45">
        <f>O220*'used Standard Values'!B215</f>
        <v>1.2002500592468829E-3</v>
      </c>
      <c r="T220" s="45">
        <f>O220*'used Standard Values'!C215</f>
        <v>8.8530575353199892E-4</v>
      </c>
      <c r="U220" s="45">
        <f>O220*'used Standard Values'!D215</f>
        <v>1.286441649782297E-6</v>
      </c>
    </row>
    <row r="221" spans="9:21" x14ac:dyDescent="0.3">
      <c r="I221" s="17"/>
      <c r="J221" s="17"/>
      <c r="K221" s="17"/>
      <c r="L221" s="17"/>
      <c r="M221" s="17"/>
      <c r="N221" s="52">
        <v>591</v>
      </c>
      <c r="O221" s="53">
        <v>1.1632723171930198E-3</v>
      </c>
      <c r="P221" s="49">
        <f t="shared" si="8"/>
        <v>0.65939213605130209</v>
      </c>
      <c r="Q221" s="17"/>
      <c r="R221" s="46">
        <f t="shared" si="9"/>
        <v>591</v>
      </c>
      <c r="S221" s="45">
        <f>O221*'used Standard Values'!B216</f>
        <v>1.2028034513664949E-3</v>
      </c>
      <c r="T221" s="45">
        <f>O221*'used Standard Values'!C216</f>
        <v>8.6635182764600199E-4</v>
      </c>
      <c r="U221" s="45">
        <f>O221*'used Standard Values'!D216</f>
        <v>1.2433054526158996E-6</v>
      </c>
    </row>
    <row r="222" spans="9:21" x14ac:dyDescent="0.3">
      <c r="I222" s="17"/>
      <c r="J222" s="17"/>
      <c r="K222" s="17"/>
      <c r="L222" s="17"/>
      <c r="M222" s="17"/>
      <c r="N222" s="52">
        <v>592</v>
      </c>
      <c r="O222" s="53">
        <v>1.1574342770615358E-3</v>
      </c>
      <c r="P222" s="49">
        <f t="shared" si="8"/>
        <v>0.65608288705108386</v>
      </c>
      <c r="Q222" s="17"/>
      <c r="R222" s="46">
        <f t="shared" si="9"/>
        <v>592</v>
      </c>
      <c r="S222" s="45">
        <f>O222*'used Standard Values'!B217</f>
        <v>1.2048728783411798E-3</v>
      </c>
      <c r="T222" s="45">
        <f>O222*'used Standard Values'!C217</f>
        <v>8.4773079104767505E-4</v>
      </c>
      <c r="U222" s="45">
        <f>O222*'used Standard Values'!D217</f>
        <v>1.2146115303483756E-6</v>
      </c>
    </row>
    <row r="223" spans="9:21" x14ac:dyDescent="0.3">
      <c r="I223" s="17"/>
      <c r="J223" s="17"/>
      <c r="K223" s="17"/>
      <c r="L223" s="17"/>
      <c r="M223" s="17"/>
      <c r="N223" s="52">
        <v>593</v>
      </c>
      <c r="O223" s="53">
        <v>1.1519581440432853E-3</v>
      </c>
      <c r="P223" s="49">
        <f t="shared" si="8"/>
        <v>0.65297878236739437</v>
      </c>
      <c r="Q223" s="17"/>
      <c r="R223" s="46">
        <f t="shared" si="9"/>
        <v>593</v>
      </c>
      <c r="S223" s="45">
        <f>O223*'used Standard Values'!B218</f>
        <v>1.2063167449443998E-3</v>
      </c>
      <c r="T223" s="45">
        <f>O223*'used Standard Values'!C218</f>
        <v>8.2941401076048397E-4</v>
      </c>
      <c r="U223" s="45">
        <f>O223*'used Standard Values'!D218</f>
        <v>1.1929678539712264E-6</v>
      </c>
    </row>
    <row r="224" spans="9:21" x14ac:dyDescent="0.3">
      <c r="I224" s="17"/>
      <c r="J224" s="17"/>
      <c r="K224" s="17"/>
      <c r="L224" s="17"/>
      <c r="M224" s="17"/>
      <c r="N224" s="52">
        <v>594</v>
      </c>
      <c r="O224" s="53">
        <v>1.1468030456885925E-3</v>
      </c>
      <c r="P224" s="49">
        <f t="shared" si="8"/>
        <v>0.65005665376051935</v>
      </c>
      <c r="Q224" s="17"/>
      <c r="R224" s="46">
        <f t="shared" si="9"/>
        <v>594</v>
      </c>
      <c r="S224" s="45">
        <f>O224*'used Standard Values'!B219</f>
        <v>1.2069720170458224E-3</v>
      </c>
      <c r="T224" s="45">
        <f>O224*'used Standard Values'!C219</f>
        <v>8.1135914101401925E-4</v>
      </c>
      <c r="U224" s="45">
        <f>O224*'used Standard Values'!D219</f>
        <v>1.1711152702571908E-6</v>
      </c>
    </row>
    <row r="225" spans="9:21" x14ac:dyDescent="0.3">
      <c r="I225" s="17"/>
      <c r="J225" s="17"/>
      <c r="K225" s="17"/>
      <c r="L225" s="17"/>
      <c r="M225" s="17"/>
      <c r="N225" s="52">
        <v>595</v>
      </c>
      <c r="O225" s="53">
        <v>1.1420358635326772E-3</v>
      </c>
      <c r="P225" s="49">
        <f t="shared" si="8"/>
        <v>0.64735441252407377</v>
      </c>
      <c r="Q225" s="17"/>
      <c r="R225" s="46">
        <f t="shared" si="9"/>
        <v>595</v>
      </c>
      <c r="S225" s="45">
        <f>O225*'used Standard Values'!B220</f>
        <v>1.20678929699498E-3</v>
      </c>
      <c r="T225" s="45">
        <f>O225*'used Standard Values'!C220</f>
        <v>7.9360072156885739E-4</v>
      </c>
      <c r="U225" s="45">
        <f>O225*'used Standard Values'!D220</f>
        <v>1.1420358635326772E-6</v>
      </c>
    </row>
    <row r="226" spans="9:21" x14ac:dyDescent="0.3">
      <c r="I226" s="17"/>
      <c r="J226" s="17"/>
      <c r="K226" s="17"/>
      <c r="L226" s="17"/>
      <c r="M226" s="17"/>
      <c r="N226" s="52">
        <v>596</v>
      </c>
      <c r="O226" s="53">
        <v>1.1375919593921559E-3</v>
      </c>
      <c r="P226" s="49">
        <f t="shared" si="8"/>
        <v>0.64483541899150487</v>
      </c>
      <c r="Q226" s="17"/>
      <c r="R226" s="46">
        <f t="shared" si="9"/>
        <v>596</v>
      </c>
      <c r="S226" s="45">
        <f>O226*'used Standard Values'!B221</f>
        <v>1.2056135880488341E-3</v>
      </c>
      <c r="T226" s="45">
        <f>O226*'used Standard Values'!C221</f>
        <v>7.760870764629491E-4</v>
      </c>
      <c r="U226" s="45">
        <f>O226*'used Standard Values'!D221</f>
        <v>1.1019170755456177E-6</v>
      </c>
    </row>
    <row r="227" spans="9:21" x14ac:dyDescent="0.3">
      <c r="I227" s="17"/>
      <c r="J227" s="17"/>
      <c r="K227" s="17"/>
      <c r="L227" s="17"/>
      <c r="M227" s="17"/>
      <c r="N227" s="52">
        <v>597</v>
      </c>
      <c r="O227" s="53">
        <v>1.1334726315078089E-3</v>
      </c>
      <c r="P227" s="49">
        <f t="shared" si="8"/>
        <v>0.64250040906080386</v>
      </c>
      <c r="Q227" s="17"/>
      <c r="R227" s="46">
        <f t="shared" si="9"/>
        <v>597</v>
      </c>
      <c r="S227" s="45">
        <f>O227*'used Standard Values'!B222</f>
        <v>1.2035203333568864E-3</v>
      </c>
      <c r="T227" s="45">
        <f>O227*'used Standard Values'!C222</f>
        <v>7.5882773617174325E-4</v>
      </c>
      <c r="U227" s="45">
        <f>O227*'used Standard Values'!D222</f>
        <v>1.0540388694917416E-6</v>
      </c>
    </row>
    <row r="228" spans="9:21" x14ac:dyDescent="0.3">
      <c r="I228" s="17"/>
      <c r="J228" s="17"/>
      <c r="K228" s="17"/>
      <c r="L228" s="17"/>
      <c r="M228" s="17"/>
      <c r="N228" s="52">
        <v>598</v>
      </c>
      <c r="O228" s="53">
        <v>1.1297454829113989E-3</v>
      </c>
      <c r="P228" s="49">
        <f t="shared" si="8"/>
        <v>0.64038770300045711</v>
      </c>
      <c r="Q228" s="17"/>
      <c r="R228" s="46">
        <f t="shared" si="9"/>
        <v>598</v>
      </c>
      <c r="S228" s="45">
        <f>O228*'used Standard Values'!B223</f>
        <v>1.2007011815075186E-3</v>
      </c>
      <c r="T228" s="45">
        <f>O228*'used Standard Values'!C223</f>
        <v>7.4187493714355319E-4</v>
      </c>
      <c r="U228" s="45">
        <f>O228*'used Standard Values'!D223</f>
        <v>1.0019486738844616E-6</v>
      </c>
    </row>
    <row r="229" spans="9:21" x14ac:dyDescent="0.3">
      <c r="I229" s="17"/>
      <c r="J229" s="17"/>
      <c r="K229" s="17"/>
      <c r="L229" s="17"/>
      <c r="M229" s="17"/>
      <c r="N229" s="52">
        <v>599</v>
      </c>
      <c r="O229" s="53">
        <v>1.1263063422890041E-3</v>
      </c>
      <c r="P229" s="49">
        <f t="shared" si="8"/>
        <v>0.63843825208714577</v>
      </c>
      <c r="Q229" s="17"/>
      <c r="R229" s="46">
        <f t="shared" si="9"/>
        <v>599</v>
      </c>
      <c r="S229" s="45">
        <f>O229*'used Standard Values'!B224</f>
        <v>1.1971618237598684E-3</v>
      </c>
      <c r="T229" s="45">
        <f>O229*'used Standard Values'!C224</f>
        <v>7.2516648168979533E-4</v>
      </c>
      <c r="U229" s="45">
        <f>O229*'used Standard Values'!D224</f>
        <v>9.4898067175902328E-7</v>
      </c>
    </row>
    <row r="230" spans="9:21" x14ac:dyDescent="0.3">
      <c r="I230" s="17"/>
      <c r="J230" s="17"/>
      <c r="K230" s="17"/>
      <c r="L230" s="17"/>
      <c r="M230" s="17"/>
      <c r="N230" s="52">
        <v>600</v>
      </c>
      <c r="O230" s="53">
        <v>1.1232122645947261E-3</v>
      </c>
      <c r="P230" s="49">
        <f t="shared" si="8"/>
        <v>0.63668439749111982</v>
      </c>
      <c r="Q230" s="17"/>
      <c r="R230" s="46">
        <f t="shared" si="9"/>
        <v>600</v>
      </c>
      <c r="S230" s="45">
        <f>O230*'used Standard Values'!B225</f>
        <v>1.1930760674525181E-3</v>
      </c>
      <c r="T230" s="45">
        <f>O230*'used Standard Values'!C225</f>
        <v>7.087469389592721E-4</v>
      </c>
      <c r="U230" s="45">
        <f>O230*'used Standard Values'!D225</f>
        <v>8.9856981167578092E-7</v>
      </c>
    </row>
    <row r="231" spans="9:21" x14ac:dyDescent="0.3">
      <c r="I231" s="17"/>
      <c r="J231" s="17"/>
      <c r="K231" s="17"/>
      <c r="L231" s="17"/>
      <c r="M231" s="17"/>
      <c r="N231" s="52">
        <v>601</v>
      </c>
      <c r="O231" s="53">
        <v>1.1203117088897693E-3</v>
      </c>
      <c r="P231" s="49">
        <f t="shared" si="8"/>
        <v>0.6350402393746073</v>
      </c>
      <c r="Q231" s="17"/>
      <c r="R231" s="46">
        <f t="shared" si="9"/>
        <v>601</v>
      </c>
      <c r="S231" s="45">
        <f>O231*'used Standard Values'!B226</f>
        <v>1.1883540645915313E-3</v>
      </c>
      <c r="T231" s="45">
        <f>O231*'used Standard Values'!C226</f>
        <v>6.9252684456460971E-4</v>
      </c>
      <c r="U231" s="45">
        <f>O231*'used Standard Values'!D226</f>
        <v>8.5251239799675879E-7</v>
      </c>
    </row>
    <row r="232" spans="9:21" x14ac:dyDescent="0.3">
      <c r="I232" s="17"/>
      <c r="J232" s="17"/>
      <c r="K232" s="17"/>
      <c r="L232" s="17"/>
      <c r="M232" s="17"/>
      <c r="N232" s="52">
        <v>602</v>
      </c>
      <c r="O232" s="53">
        <v>1.117746337746314E-3</v>
      </c>
      <c r="P232" s="49">
        <f t="shared" si="8"/>
        <v>0.6335860780977971</v>
      </c>
      <c r="Q232" s="17"/>
      <c r="R232" s="46">
        <f t="shared" si="9"/>
        <v>602</v>
      </c>
      <c r="S232" s="45">
        <f>O232*'used Standard Values'!B227</f>
        <v>1.1830714576110243E-3</v>
      </c>
      <c r="T232" s="45">
        <f>O232*'used Standard Values'!C227</f>
        <v>6.765879537851074E-4</v>
      </c>
      <c r="U232" s="45">
        <f>O232*'used Standard Values'!D227</f>
        <v>8.0889066970025244E-7</v>
      </c>
    </row>
    <row r="233" spans="9:21" x14ac:dyDescent="0.3">
      <c r="I233" s="17"/>
      <c r="J233" s="17"/>
      <c r="K233" s="17"/>
      <c r="L233" s="17"/>
      <c r="M233" s="17"/>
      <c r="N233" s="52">
        <v>603</v>
      </c>
      <c r="O233" s="53">
        <v>1.1154468442559175E-3</v>
      </c>
      <c r="P233" s="49">
        <f t="shared" si="8"/>
        <v>0.6322826275625627</v>
      </c>
      <c r="Q233" s="17"/>
      <c r="R233" s="46">
        <f t="shared" si="9"/>
        <v>603</v>
      </c>
      <c r="S233" s="45">
        <f>O233*'used Standard Values'!B228</f>
        <v>1.177046726961844E-3</v>
      </c>
      <c r="T233" s="45">
        <f>O233*'used Standard Values'!C228</f>
        <v>6.6087503831863126E-4</v>
      </c>
      <c r="U233" s="45">
        <f>O233*'used Standard Values'!D228</f>
        <v>7.6510729941201895E-7</v>
      </c>
    </row>
    <row r="234" spans="9:21" x14ac:dyDescent="0.3">
      <c r="I234" s="17"/>
      <c r="J234" s="17"/>
      <c r="K234" s="17"/>
      <c r="L234" s="17"/>
      <c r="M234" s="17"/>
      <c r="N234" s="52">
        <v>604</v>
      </c>
      <c r="O234" s="53">
        <v>1.11336156090634E-3</v>
      </c>
      <c r="P234" s="49">
        <f t="shared" si="8"/>
        <v>0.63110060042942506</v>
      </c>
      <c r="Q234" s="17"/>
      <c r="R234" s="46">
        <f t="shared" si="9"/>
        <v>604</v>
      </c>
      <c r="S234" s="45">
        <f>O234*'used Standard Values'!B229</f>
        <v>1.1701171705243503E-3</v>
      </c>
      <c r="T234" s="45">
        <f>O234*'used Standard Values'!C229</f>
        <v>6.4534655710447311E-4</v>
      </c>
      <c r="U234" s="45">
        <f>O234*'used Standard Values'!D229</f>
        <v>7.186080858713881E-7</v>
      </c>
    </row>
    <row r="235" spans="9:21" x14ac:dyDescent="0.3">
      <c r="I235" s="17"/>
      <c r="J235" s="17"/>
      <c r="K235" s="17"/>
      <c r="L235" s="17"/>
      <c r="M235" s="17"/>
      <c r="N235" s="52">
        <v>605</v>
      </c>
      <c r="O235" s="53">
        <v>1.111511900331268E-3</v>
      </c>
      <c r="P235" s="49">
        <f t="shared" si="8"/>
        <v>0.63005213428822981</v>
      </c>
      <c r="Q235" s="17"/>
      <c r="R235" s="46">
        <f t="shared" si="9"/>
        <v>605</v>
      </c>
      <c r="S235" s="45">
        <f>O235*'used Standard Values'!B230</f>
        <v>1.162196842986374E-3</v>
      </c>
      <c r="T235" s="45">
        <f>O235*'used Standard Values'!C230</f>
        <v>6.3000494510776265E-4</v>
      </c>
      <c r="U235" s="45">
        <f>O235*'used Standard Values'!D230</f>
        <v>6.6690714019876071E-7</v>
      </c>
    </row>
    <row r="236" spans="9:21" x14ac:dyDescent="0.3">
      <c r="I236" s="17"/>
      <c r="J236" s="17"/>
      <c r="K236" s="17"/>
      <c r="L236" s="17"/>
      <c r="M236" s="17"/>
      <c r="N236" s="52">
        <v>606</v>
      </c>
      <c r="O236" s="53">
        <v>1.1098465230275916E-3</v>
      </c>
      <c r="P236" s="49">
        <f t="shared" si="8"/>
        <v>0.62910812772899838</v>
      </c>
      <c r="Q236" s="17"/>
      <c r="R236" s="46">
        <f t="shared" si="9"/>
        <v>606</v>
      </c>
      <c r="S236" s="45">
        <f>O236*'used Standard Values'!B231</f>
        <v>1.1531714907623673E-3</v>
      </c>
      <c r="T236" s="45">
        <f>O236*'used Standard Values'!C231</f>
        <v>6.1481180072753998E-4</v>
      </c>
      <c r="U236" s="45">
        <f>O236*'used Standard Values'!D231</f>
        <v>6.0804795207760053E-7</v>
      </c>
    </row>
    <row r="237" spans="9:21" x14ac:dyDescent="0.3">
      <c r="I237" s="17"/>
      <c r="J237" s="17"/>
      <c r="K237" s="17"/>
      <c r="L237" s="17"/>
      <c r="M237" s="17"/>
      <c r="N237" s="52">
        <v>607</v>
      </c>
      <c r="O237" s="53">
        <v>1.1083500226556154E-3</v>
      </c>
      <c r="P237" s="49">
        <f t="shared" si="8"/>
        <v>0.62825984778431598</v>
      </c>
      <c r="Q237" s="17"/>
      <c r="R237" s="46">
        <f t="shared" si="9"/>
        <v>607</v>
      </c>
      <c r="S237" s="45">
        <f>O237*'used Standard Values'!B232</f>
        <v>1.1431087660461136E-3</v>
      </c>
      <c r="T237" s="45">
        <f>O237*'used Standard Values'!C232</f>
        <v>5.9976942787979626E-4</v>
      </c>
      <c r="U237" s="45">
        <f>O237*'used Standard Values'!D232</f>
        <v>5.4486487113750056E-7</v>
      </c>
    </row>
    <row r="238" spans="9:21" x14ac:dyDescent="0.3">
      <c r="I238" s="17"/>
      <c r="J238" s="17"/>
      <c r="K238" s="17"/>
      <c r="L238" s="17"/>
      <c r="M238" s="17"/>
      <c r="N238" s="52">
        <v>608</v>
      </c>
      <c r="O238" s="53">
        <v>1.1070683505559143E-3</v>
      </c>
      <c r="P238" s="49">
        <f t="shared" si="8"/>
        <v>0.6275333416248825</v>
      </c>
      <c r="Q238" s="17"/>
      <c r="R238" s="46">
        <f t="shared" si="9"/>
        <v>608</v>
      </c>
      <c r="S238" s="45">
        <f>O238*'used Standard Values'!B233</f>
        <v>1.1321613832032847E-3</v>
      </c>
      <c r="T238" s="45">
        <f>O238*'used Standard Values'!C233</f>
        <v>5.8492266280759883E-4</v>
      </c>
      <c r="U238" s="45">
        <f>O238*'used Standard Values'!D233</f>
        <v>4.8201755983204508E-7</v>
      </c>
    </row>
    <row r="239" spans="9:21" x14ac:dyDescent="0.3">
      <c r="I239" s="17"/>
      <c r="J239" s="17"/>
      <c r="K239" s="17"/>
      <c r="L239" s="17"/>
      <c r="M239" s="17"/>
      <c r="N239" s="52">
        <v>609</v>
      </c>
      <c r="O239" s="53">
        <v>1.1058969737397166E-3</v>
      </c>
      <c r="P239" s="49">
        <f t="shared" si="8"/>
        <v>0.62686935551471923</v>
      </c>
      <c r="Q239" s="17"/>
      <c r="R239" s="46">
        <f t="shared" si="9"/>
        <v>609</v>
      </c>
      <c r="S239" s="45">
        <f>O239*'used Standard Values'!B234</f>
        <v>1.1203263856839802E-3</v>
      </c>
      <c r="T239" s="45">
        <f>O239*'used Standard Values'!C234</f>
        <v>5.7023620013244968E-4</v>
      </c>
      <c r="U239" s="45">
        <f>O239*'used Standard Values'!D234</f>
        <v>4.2407466305995578E-7</v>
      </c>
    </row>
    <row r="240" spans="9:21" x14ac:dyDescent="0.3">
      <c r="I240" s="17"/>
      <c r="J240" s="17"/>
      <c r="K240" s="17"/>
      <c r="L240" s="17"/>
      <c r="M240" s="17"/>
      <c r="N240" s="52">
        <v>610</v>
      </c>
      <c r="O240" s="53">
        <v>1.1048780581616275E-3</v>
      </c>
      <c r="P240" s="49">
        <f t="shared" si="8"/>
        <v>0.62629179090705001</v>
      </c>
      <c r="Q240" s="17"/>
      <c r="R240" s="46">
        <f t="shared" si="9"/>
        <v>610</v>
      </c>
      <c r="S240" s="45">
        <f>O240*'used Standard Values'!B235</f>
        <v>1.1077507411128478E-3</v>
      </c>
      <c r="T240" s="45">
        <f>O240*'used Standard Values'!C235</f>
        <v>5.5575366325529864E-4</v>
      </c>
      <c r="U240" s="45">
        <f>O240*'used Standard Values'!D235</f>
        <v>3.7565853977495337E-7</v>
      </c>
    </row>
    <row r="241" spans="9:21" x14ac:dyDescent="0.3">
      <c r="I241" s="17"/>
      <c r="J241" s="17"/>
      <c r="K241" s="17"/>
      <c r="L241" s="17"/>
      <c r="M241" s="17"/>
      <c r="N241" s="52">
        <v>611</v>
      </c>
      <c r="O241" s="53">
        <v>1.103944230993406E-3</v>
      </c>
      <c r="P241" s="49">
        <f t="shared" si="8"/>
        <v>0.62576245802251773</v>
      </c>
      <c r="Q241" s="17"/>
      <c r="R241" s="46">
        <f t="shared" si="9"/>
        <v>611</v>
      </c>
      <c r="S241" s="45">
        <f>O241*'used Standard Values'!B236</f>
        <v>1.0944144324193552E-3</v>
      </c>
      <c r="T241" s="45">
        <f>O241*'used Standard Values'!C236</f>
        <v>5.414502022422586E-4</v>
      </c>
      <c r="U241" s="45">
        <f>O241*'used Standard Values'!D236</f>
        <v>3.3919050798868629E-7</v>
      </c>
    </row>
    <row r="242" spans="9:21" x14ac:dyDescent="0.3">
      <c r="I242" s="17"/>
      <c r="J242" s="17"/>
      <c r="K242" s="17"/>
      <c r="L242" s="17"/>
      <c r="M242" s="17"/>
      <c r="N242" s="52">
        <v>612</v>
      </c>
      <c r="O242" s="53">
        <v>1.1031762647407304E-3</v>
      </c>
      <c r="P242" s="49">
        <f t="shared" si="8"/>
        <v>0.62532714214653351</v>
      </c>
      <c r="Q242" s="17"/>
      <c r="R242" s="46">
        <f t="shared" si="9"/>
        <v>612</v>
      </c>
      <c r="S242" s="45">
        <f>O242*'used Standard Values'!B237</f>
        <v>1.0803751557953102E-3</v>
      </c>
      <c r="T242" s="45">
        <f>O242*'used Standard Values'!C237</f>
        <v>5.273517911045173E-4</v>
      </c>
      <c r="U242" s="45">
        <f>O242*'used Standard Values'!D237</f>
        <v>3.1237539112398525E-7</v>
      </c>
    </row>
    <row r="243" spans="9:21" x14ac:dyDescent="0.3">
      <c r="I243" s="17"/>
      <c r="J243" s="17"/>
      <c r="K243" s="17"/>
      <c r="L243" s="17"/>
      <c r="M243" s="17"/>
      <c r="N243" s="52">
        <v>613</v>
      </c>
      <c r="O243" s="53">
        <v>1.1024431490977947E-3</v>
      </c>
      <c r="P243" s="49">
        <f t="shared" si="8"/>
        <v>0.62491158107573064</v>
      </c>
      <c r="Q243" s="17"/>
      <c r="R243" s="46">
        <f t="shared" si="9"/>
        <v>613</v>
      </c>
      <c r="S243" s="45">
        <f>O243*'used Standard Values'!B238</f>
        <v>1.0655020430805661E-3</v>
      </c>
      <c r="T243" s="45">
        <f>O243*'used Standard Values'!C238</f>
        <v>5.1338307980830326E-4</v>
      </c>
      <c r="U243" s="45">
        <f>O243*'used Standard Values'!D238</f>
        <v>2.9263250949651858E-7</v>
      </c>
    </row>
    <row r="244" spans="9:21" x14ac:dyDescent="0.3">
      <c r="I244" s="17"/>
      <c r="J244" s="17"/>
      <c r="K244" s="17"/>
      <c r="L244" s="17"/>
      <c r="M244" s="17"/>
      <c r="N244" s="52">
        <v>614</v>
      </c>
      <c r="O244" s="53">
        <v>1.1017905692709622E-3</v>
      </c>
      <c r="P244" s="49">
        <f t="shared" si="8"/>
        <v>0.6245416711246391</v>
      </c>
      <c r="Q244" s="17"/>
      <c r="R244" s="46">
        <f t="shared" si="9"/>
        <v>614</v>
      </c>
      <c r="S244" s="45">
        <f>O244*'used Standard Values'!B239</f>
        <v>1.0498388301696409E-3</v>
      </c>
      <c r="T244" s="45">
        <f>O244*'used Standard Values'!C239</f>
        <v>4.9955536983727598E-4</v>
      </c>
      <c r="U244" s="45">
        <f>O244*'used Standard Values'!D239</f>
        <v>2.7744551915699955E-7</v>
      </c>
    </row>
    <row r="245" spans="9:21" x14ac:dyDescent="0.3">
      <c r="I245" s="17"/>
      <c r="J245" s="17"/>
      <c r="K245" s="17"/>
      <c r="L245" s="17"/>
      <c r="M245" s="17"/>
      <c r="N245" s="52">
        <v>615</v>
      </c>
      <c r="O245" s="53">
        <v>1.1011915997875977E-3</v>
      </c>
      <c r="P245" s="49">
        <f t="shared" si="8"/>
        <v>0.62420214979224953</v>
      </c>
      <c r="Q245" s="17"/>
      <c r="R245" s="46">
        <f t="shared" si="9"/>
        <v>615</v>
      </c>
      <c r="S245" s="45">
        <f>O245*'used Standard Values'!B240</f>
        <v>1.0333581972406817E-3</v>
      </c>
      <c r="T245" s="45">
        <f>O245*'used Standard Values'!C240</f>
        <v>4.8584573382628809E-4</v>
      </c>
      <c r="U245" s="45">
        <f>O245*'used Standard Values'!D240</f>
        <v>2.6428598394902348E-7</v>
      </c>
    </row>
    <row r="246" spans="9:21" x14ac:dyDescent="0.3">
      <c r="I246" s="17"/>
      <c r="J246" s="17"/>
      <c r="K246" s="17"/>
      <c r="L246" s="17"/>
      <c r="M246" s="17"/>
      <c r="N246" s="52">
        <v>616</v>
      </c>
      <c r="O246" s="53">
        <v>1.1006056827202774E-3</v>
      </c>
      <c r="P246" s="49">
        <f t="shared" si="8"/>
        <v>0.62387002712341344</v>
      </c>
      <c r="Q246" s="17"/>
      <c r="R246" s="46">
        <f t="shared" si="9"/>
        <v>616</v>
      </c>
      <c r="S246" s="45">
        <f>O246*'used Standard Values'!B241</f>
        <v>1.0160725626532636E-3</v>
      </c>
      <c r="T246" s="45">
        <f>O246*'used Standard Values'!C241</f>
        <v>4.7224788634161666E-4</v>
      </c>
      <c r="U246" s="45">
        <f>O246*'used Standard Values'!D241</f>
        <v>2.526404024696867E-7</v>
      </c>
    </row>
    <row r="247" spans="9:21" x14ac:dyDescent="0.3">
      <c r="I247" s="17"/>
      <c r="J247" s="17"/>
      <c r="K247" s="17"/>
      <c r="L247" s="17"/>
      <c r="M247" s="17"/>
      <c r="N247" s="52">
        <v>617</v>
      </c>
      <c r="O247" s="53">
        <v>1.1001297588715557E-3</v>
      </c>
      <c r="P247" s="49">
        <f t="shared" si="8"/>
        <v>0.62360025328063551</v>
      </c>
      <c r="Q247" s="17"/>
      <c r="R247" s="46">
        <f t="shared" si="9"/>
        <v>617</v>
      </c>
      <c r="S247" s="45">
        <f>O247*'used Standard Values'!B242</f>
        <v>9.9808612295766578E-4</v>
      </c>
      <c r="T247" s="45">
        <f>O247*'used Standard Values'!C242</f>
        <v>4.5879371412075812E-4</v>
      </c>
      <c r="U247" s="45">
        <f>O247*'used Standard Values'!D242</f>
        <v>2.4273262999742006E-7</v>
      </c>
    </row>
    <row r="248" spans="9:21" x14ac:dyDescent="0.3">
      <c r="I248" s="17"/>
      <c r="J248" s="17"/>
      <c r="K248" s="17"/>
      <c r="L248" s="17"/>
      <c r="M248" s="17"/>
      <c r="N248" s="52">
        <v>618</v>
      </c>
      <c r="O248" s="53">
        <v>1.0995959586045617E-3</v>
      </c>
      <c r="P248" s="49">
        <f t="shared" si="8"/>
        <v>0.62329767262684055</v>
      </c>
      <c r="Q248" s="17"/>
      <c r="R248" s="46">
        <f t="shared" si="9"/>
        <v>618</v>
      </c>
      <c r="S248" s="45">
        <f>O248*'used Standard Values'!B243</f>
        <v>9.7919240032927931E-4</v>
      </c>
      <c r="T248" s="45">
        <f>O248*'used Standard Values'!C243</f>
        <v>4.4537155030552285E-4</v>
      </c>
      <c r="U248" s="45">
        <f>O248*'used Standard Values'!D243</f>
        <v>2.3307035938582289E-7</v>
      </c>
    </row>
    <row r="249" spans="9:21" x14ac:dyDescent="0.3">
      <c r="I249" s="17"/>
      <c r="J249" s="17"/>
      <c r="K249" s="17"/>
      <c r="L249" s="17"/>
      <c r="M249" s="17"/>
      <c r="N249" s="52">
        <v>619</v>
      </c>
      <c r="O249" s="53">
        <v>1.0991054786042788E-3</v>
      </c>
      <c r="P249" s="49">
        <f t="shared" si="8"/>
        <v>0.62301964773937701</v>
      </c>
      <c r="Q249" s="17"/>
      <c r="R249" s="46">
        <f t="shared" si="9"/>
        <v>619</v>
      </c>
      <c r="S249" s="45">
        <f>O249*'used Standard Values'!B244</f>
        <v>9.5943115438324703E-4</v>
      </c>
      <c r="T249" s="45">
        <f>O249*'used Standard Values'!C244</f>
        <v>4.3198362446679689E-4</v>
      </c>
      <c r="U249" s="45">
        <f>O249*'used Standard Values'!D244</f>
        <v>2.2222450967091972E-7</v>
      </c>
    </row>
    <row r="250" spans="9:21" x14ac:dyDescent="0.3">
      <c r="I250" s="17"/>
      <c r="J250" s="17"/>
      <c r="K250" s="17"/>
      <c r="L250" s="17"/>
      <c r="M250" s="17"/>
      <c r="N250" s="52">
        <v>620</v>
      </c>
      <c r="O250" s="53">
        <v>1.0985700282022132E-3</v>
      </c>
      <c r="P250" s="49">
        <f t="shared" si="8"/>
        <v>0.622716131718967</v>
      </c>
      <c r="Q250" s="17"/>
      <c r="R250" s="46">
        <f t="shared" si="9"/>
        <v>620</v>
      </c>
      <c r="S250" s="45">
        <f>O250*'used Standard Values'!B245</f>
        <v>9.3867305074037826E-4</v>
      </c>
      <c r="T250" s="45">
        <f>O250*'used Standard Values'!C245</f>
        <v>4.1855518074504326E-4</v>
      </c>
      <c r="U250" s="45">
        <f>O250*'used Standard Values'!D245</f>
        <v>2.0872830535842052E-7</v>
      </c>
    </row>
    <row r="251" spans="9:21" x14ac:dyDescent="0.3">
      <c r="I251" s="17"/>
      <c r="J251" s="17"/>
      <c r="K251" s="17"/>
      <c r="L251" s="17"/>
      <c r="M251" s="17"/>
      <c r="N251" s="52">
        <v>621</v>
      </c>
      <c r="O251" s="53">
        <v>1.098072167893549E-3</v>
      </c>
      <c r="P251" s="49">
        <f t="shared" si="8"/>
        <v>0.6224339233593823</v>
      </c>
      <c r="Q251" s="17"/>
      <c r="R251" s="46">
        <f t="shared" si="9"/>
        <v>621</v>
      </c>
      <c r="S251" s="45">
        <f>O251*'used Standard Values'!B246</f>
        <v>9.1698249825321646E-4</v>
      </c>
      <c r="T251" s="45">
        <f>O251*'used Standard Values'!C246</f>
        <v>4.0509902726381942E-4</v>
      </c>
      <c r="U251" s="45">
        <f>O251*'used Standard Values'!D246</f>
        <v>1.9129877600688919E-7</v>
      </c>
    </row>
    <row r="252" spans="9:21" x14ac:dyDescent="0.3">
      <c r="I252" s="17"/>
      <c r="J252" s="17"/>
      <c r="K252" s="17"/>
      <c r="L252" s="17"/>
      <c r="M252" s="17"/>
      <c r="N252" s="52">
        <v>622</v>
      </c>
      <c r="O252" s="53">
        <v>1.0975268716581024E-3</v>
      </c>
      <c r="P252" s="49">
        <f t="shared" si="8"/>
        <v>0.62212482630260768</v>
      </c>
      <c r="Q252" s="17"/>
      <c r="R252" s="46">
        <f t="shared" si="9"/>
        <v>622</v>
      </c>
      <c r="S252" s="45">
        <f>O252*'used Standard Values'!B247</f>
        <v>8.9442513395028382E-4</v>
      </c>
      <c r="T252" s="45">
        <f>O252*'used Standard Values'!C247</f>
        <v>3.9162744053852002E-4</v>
      </c>
      <c r="U252" s="45">
        <f>O252*'used Standard Values'!D247</f>
        <v>1.7081908230486706E-7</v>
      </c>
    </row>
    <row r="253" spans="9:21" x14ac:dyDescent="0.3">
      <c r="I253" s="17"/>
      <c r="J253" s="17"/>
      <c r="K253" s="17"/>
      <c r="L253" s="17"/>
      <c r="M253" s="17"/>
      <c r="N253" s="52">
        <v>623</v>
      </c>
      <c r="O253" s="53">
        <v>1.0969057958418941E-3</v>
      </c>
      <c r="P253" s="49">
        <f t="shared" si="8"/>
        <v>0.62177277416223908</v>
      </c>
      <c r="Q253" s="17"/>
      <c r="R253" s="46">
        <f t="shared" si="9"/>
        <v>623</v>
      </c>
      <c r="S253" s="45">
        <f>O253*'used Standard Values'!B248</f>
        <v>8.7114722637649043E-4</v>
      </c>
      <c r="T253" s="45">
        <f>O253*'used Standard Values'!C248</f>
        <v>3.7818767019182157E-4</v>
      </c>
      <c r="U253" s="45">
        <f>O253*'used Standard Values'!D248</f>
        <v>1.4913531200266393E-7</v>
      </c>
    </row>
    <row r="254" spans="9:21" x14ac:dyDescent="0.3">
      <c r="I254" s="17"/>
      <c r="J254" s="17"/>
      <c r="K254" s="17"/>
      <c r="L254" s="17"/>
      <c r="M254" s="17"/>
      <c r="N254" s="52">
        <v>624</v>
      </c>
      <c r="O254" s="53">
        <v>1.0962895726355853E-3</v>
      </c>
      <c r="P254" s="49">
        <f t="shared" si="8"/>
        <v>0.62142347268717868</v>
      </c>
      <c r="Q254" s="17"/>
      <c r="R254" s="46">
        <f t="shared" si="9"/>
        <v>624</v>
      </c>
      <c r="S254" s="45">
        <f>O254*'used Standard Values'!B249</f>
        <v>8.4738141032696622E-4</v>
      </c>
      <c r="T254" s="45">
        <f>O254*'used Standard Values'!C249</f>
        <v>3.6486446446960114E-4</v>
      </c>
      <c r="U254" s="45">
        <f>O254*'used Standard Values'!D249</f>
        <v>1.2810505431805783E-7</v>
      </c>
    </row>
    <row r="255" spans="9:21" x14ac:dyDescent="0.3">
      <c r="I255" s="17"/>
      <c r="J255" s="17"/>
      <c r="K255" s="17"/>
      <c r="L255" s="17"/>
      <c r="M255" s="17"/>
      <c r="N255" s="52">
        <v>625</v>
      </c>
      <c r="O255" s="53">
        <v>1.0956233897883045E-3</v>
      </c>
      <c r="P255" s="49">
        <f t="shared" si="8"/>
        <v>0.62104585196658146</v>
      </c>
      <c r="Q255" s="17"/>
      <c r="R255" s="46">
        <f t="shared" si="9"/>
        <v>625</v>
      </c>
      <c r="S255" s="45">
        <f>O255*'used Standard Values'!B250</f>
        <v>8.2325141508693194E-4</v>
      </c>
      <c r="T255" s="45">
        <f>O255*'used Standard Values'!C250</f>
        <v>3.5169510812204573E-4</v>
      </c>
      <c r="U255" s="45">
        <f>O255*'used Standard Values'!D250</f>
        <v>1.0956233897883046E-7</v>
      </c>
    </row>
    <row r="256" spans="9:21" x14ac:dyDescent="0.3">
      <c r="I256" s="17"/>
      <c r="J256" s="17"/>
      <c r="K256" s="17"/>
      <c r="L256" s="17"/>
      <c r="M256" s="17"/>
      <c r="N256" s="52">
        <v>626</v>
      </c>
      <c r="O256" s="53">
        <v>1.0948851700309172E-3</v>
      </c>
      <c r="P256" s="49">
        <f t="shared" si="8"/>
        <v>0.62062739766701258</v>
      </c>
      <c r="Q256" s="17"/>
      <c r="R256" s="46">
        <f t="shared" si="9"/>
        <v>626</v>
      </c>
      <c r="S256" s="45">
        <f>O256*'used Standard Values'!B251</f>
        <v>7.9881026393776862E-4</v>
      </c>
      <c r="T256" s="45">
        <f>O256*'used Standard Values'!C251</f>
        <v>3.3868969821554087E-4</v>
      </c>
      <c r="U256" s="45">
        <f>O256*'used Standard Values'!D251</f>
        <v>9.4306105662379111E-8</v>
      </c>
    </row>
    <row r="257" spans="9:21" x14ac:dyDescent="0.3">
      <c r="I257" s="17"/>
      <c r="J257" s="17"/>
      <c r="K257" s="17"/>
      <c r="L257" s="17"/>
      <c r="M257" s="17"/>
      <c r="N257" s="52">
        <v>627</v>
      </c>
      <c r="O257" s="53">
        <v>1.0940571516484352E-3</v>
      </c>
      <c r="P257" s="49">
        <f t="shared" si="8"/>
        <v>0.62015804169434396</v>
      </c>
      <c r="Q257" s="17"/>
      <c r="R257" s="46">
        <f t="shared" si="9"/>
        <v>627</v>
      </c>
      <c r="S257" s="45">
        <f>O257*'used Standard Values'!B252</f>
        <v>7.7414258706633426E-4</v>
      </c>
      <c r="T257" s="45">
        <f>O257*'used Standard Values'!C252</f>
        <v>3.2586536024134711E-4</v>
      </c>
      <c r="U257" s="45">
        <f>O257*'used Standard Values'!D252</f>
        <v>8.1616663512973268E-8</v>
      </c>
    </row>
    <row r="258" spans="9:21" x14ac:dyDescent="0.3">
      <c r="I258" s="17"/>
      <c r="J258" s="17"/>
      <c r="K258" s="17"/>
      <c r="L258" s="17"/>
      <c r="M258" s="17"/>
      <c r="N258" s="52">
        <v>628</v>
      </c>
      <c r="O258" s="53">
        <v>1.093214966380721E-3</v>
      </c>
      <c r="P258" s="49">
        <f t="shared" si="8"/>
        <v>0.61968065532967143</v>
      </c>
      <c r="Q258" s="17"/>
      <c r="R258" s="46">
        <f t="shared" si="9"/>
        <v>628</v>
      </c>
      <c r="S258" s="45">
        <f>O258*'used Standard Values'!B253</f>
        <v>7.4951058602354837E-4</v>
      </c>
      <c r="T258" s="45">
        <f>O258*'used Standard Values'!C253</f>
        <v>3.1330841278892982E-4</v>
      </c>
      <c r="U258" s="45">
        <f>O258*'used Standard Values'!D253</f>
        <v>7.1058972814746863E-8</v>
      </c>
    </row>
    <row r="259" spans="9:21" x14ac:dyDescent="0.3">
      <c r="I259" s="17"/>
      <c r="J259" s="17"/>
      <c r="K259" s="17"/>
      <c r="L259" s="17"/>
      <c r="M259" s="17"/>
      <c r="N259" s="52">
        <v>629</v>
      </c>
      <c r="O259" s="53">
        <v>1.0922458227391951E-3</v>
      </c>
      <c r="P259" s="49">
        <f t="shared" si="8"/>
        <v>0.61913130356871116</v>
      </c>
      <c r="Q259" s="17"/>
      <c r="R259" s="46">
        <f t="shared" si="9"/>
        <v>629</v>
      </c>
      <c r="S259" s="45">
        <f>O259*'used Standard Values'!B254</f>
        <v>7.2504413649083414E-4</v>
      </c>
      <c r="T259" s="45">
        <f>O259*'used Standard Values'!C254</f>
        <v>3.0104970876957928E-4</v>
      </c>
      <c r="U259" s="45">
        <f>O259*'used Standard Values'!D254</f>
        <v>6.2185191867132101E-8</v>
      </c>
    </row>
    <row r="260" spans="9:21" x14ac:dyDescent="0.3">
      <c r="I260" s="17"/>
      <c r="J260" s="17"/>
      <c r="K260" s="17"/>
      <c r="L260" s="17"/>
      <c r="M260" s="17"/>
      <c r="N260" s="52">
        <v>630</v>
      </c>
      <c r="O260" s="53">
        <v>1.0912617591298296E-3</v>
      </c>
      <c r="P260" s="49">
        <f t="shared" si="8"/>
        <v>0.61857349453655297</v>
      </c>
      <c r="Q260" s="17"/>
      <c r="R260" s="46">
        <f t="shared" si="9"/>
        <v>630</v>
      </c>
      <c r="S260" s="45">
        <f>O260*'used Standard Values'!B255</f>
        <v>7.0102655406500253E-4</v>
      </c>
      <c r="T260" s="45">
        <f>O260*'used Standard Values'!C255</f>
        <v>2.8918436616940486E-4</v>
      </c>
      <c r="U260" s="45">
        <f>O260*'used Standard Values'!D255</f>
        <v>5.456307704387389E-8</v>
      </c>
    </row>
    <row r="261" spans="9:21" x14ac:dyDescent="0.3">
      <c r="I261" s="17"/>
      <c r="J261" s="17"/>
      <c r="K261" s="17"/>
      <c r="L261" s="17"/>
      <c r="M261" s="17"/>
      <c r="N261" s="52">
        <v>631</v>
      </c>
      <c r="O261" s="53">
        <v>1.090117610139441E-3</v>
      </c>
      <c r="P261" s="49">
        <f t="shared" si="8"/>
        <v>0.61792494231401429</v>
      </c>
      <c r="Q261" s="17"/>
      <c r="R261" s="46">
        <f t="shared" si="9"/>
        <v>631</v>
      </c>
      <c r="S261" s="45">
        <f>O261*'used Standard Values'!B256</f>
        <v>6.7752433745405362E-4</v>
      </c>
      <c r="T261" s="45">
        <f>O261*'used Standard Values'!C256</f>
        <v>2.7772185073547646E-4</v>
      </c>
      <c r="U261" s="45">
        <f>O261*'used Standard Values'!D256</f>
        <v>4.8139593663757708E-8</v>
      </c>
    </row>
    <row r="262" spans="9:21" x14ac:dyDescent="0.3">
      <c r="I262" s="17"/>
      <c r="J262" s="17"/>
      <c r="K262" s="17"/>
      <c r="L262" s="17"/>
      <c r="M262" s="17"/>
      <c r="N262" s="52">
        <v>632</v>
      </c>
      <c r="O262" s="53">
        <v>1.0889450876592126E-3</v>
      </c>
      <c r="P262" s="49">
        <f t="shared" si="8"/>
        <v>0.61726030679283939</v>
      </c>
      <c r="Q262" s="17"/>
      <c r="R262" s="46">
        <f t="shared" si="9"/>
        <v>632</v>
      </c>
      <c r="S262" s="45">
        <f>O262*'used Standard Values'!B257</f>
        <v>6.5457991963416241E-4</v>
      </c>
      <c r="T262" s="45">
        <f>O262*'used Standard Values'!C257</f>
        <v>2.6667132693882953E-4</v>
      </c>
      <c r="U262" s="45">
        <f>O262*'used Standard Values'!D257</f>
        <v>4.2991552060785713E-8</v>
      </c>
    </row>
    <row r="263" spans="9:21" x14ac:dyDescent="0.3">
      <c r="I263" s="17"/>
      <c r="J263" s="17"/>
      <c r="K263" s="17"/>
      <c r="L263" s="17"/>
      <c r="M263" s="17"/>
      <c r="N263" s="52">
        <v>633</v>
      </c>
      <c r="O263" s="53">
        <v>1.087703349487143E-3</v>
      </c>
      <c r="P263" s="49">
        <f t="shared" si="8"/>
        <v>0.61655643687898021</v>
      </c>
      <c r="Q263" s="17"/>
      <c r="R263" s="46">
        <f t="shared" si="9"/>
        <v>633</v>
      </c>
      <c r="S263" s="45">
        <f>O263*'used Standard Values'!B258</f>
        <v>6.3207007244439606E-4</v>
      </c>
      <c r="T263" s="45">
        <f>O263*'used Standard Values'!C258</f>
        <v>2.559740151295471E-4</v>
      </c>
      <c r="U263" s="45">
        <f>O263*'used Standard Values'!D258</f>
        <v>3.8852763643680743E-8</v>
      </c>
    </row>
    <row r="264" spans="9:21" x14ac:dyDescent="0.3">
      <c r="I264" s="17"/>
      <c r="J264" s="17"/>
      <c r="K264" s="17"/>
      <c r="L264" s="17"/>
      <c r="M264" s="17"/>
      <c r="N264" s="52">
        <v>634</v>
      </c>
      <c r="O264" s="53">
        <v>1.0863129964524519E-3</v>
      </c>
      <c r="P264" s="49">
        <f t="shared" si="8"/>
        <v>0.61576832575155083</v>
      </c>
      <c r="Q264" s="17"/>
      <c r="R264" s="46">
        <f t="shared" si="9"/>
        <v>634</v>
      </c>
      <c r="S264" s="45">
        <f>O264*'used Standard Values'!B259</f>
        <v>6.0985361768851464E-4</v>
      </c>
      <c r="T264" s="45">
        <f>O264*'used Standard Values'!C259</f>
        <v>2.4556409452446679E-4</v>
      </c>
      <c r="U264" s="45">
        <f>O264*'used Standard Values'!D259</f>
        <v>3.545725620420803E-8</v>
      </c>
    </row>
    <row r="265" spans="9:21" x14ac:dyDescent="0.3">
      <c r="I265" s="17"/>
      <c r="J265" s="17"/>
      <c r="K265" s="17"/>
      <c r="L265" s="17"/>
      <c r="M265" s="17"/>
      <c r="N265" s="52">
        <v>635</v>
      </c>
      <c r="O265" s="53">
        <v>1.0848784936771144E-3</v>
      </c>
      <c r="P265" s="49">
        <f t="shared" si="8"/>
        <v>0.61495518867674814</v>
      </c>
      <c r="Q265" s="17"/>
      <c r="R265" s="46">
        <f t="shared" si="9"/>
        <v>635</v>
      </c>
      <c r="S265" s="45">
        <f>O265*'used Standard Values'!B260</f>
        <v>5.8789565572362834E-4</v>
      </c>
      <c r="T265" s="45">
        <f>O265*'used Standard Values'!C260</f>
        <v>2.3541863312793383E-4</v>
      </c>
      <c r="U265" s="45">
        <f>O265*'used Standard Values'!D260</f>
        <v>3.2546354810313433E-8</v>
      </c>
    </row>
    <row r="266" spans="9:21" x14ac:dyDescent="0.3">
      <c r="I266" s="17"/>
      <c r="J266" s="17"/>
      <c r="K266" s="17"/>
      <c r="L266" s="17"/>
      <c r="M266" s="17"/>
      <c r="N266" s="52">
        <v>636</v>
      </c>
      <c r="O266" s="53">
        <v>1.0833471018023575E-3</v>
      </c>
      <c r="P266" s="49">
        <f t="shared" ref="P266:P329" si="10">O266/MAX($O$10:$O$630)</f>
        <v>0.61408713074697274</v>
      </c>
      <c r="Q266" s="17"/>
      <c r="R266" s="46">
        <f t="shared" ref="R266:R329" si="11">N266</f>
        <v>636</v>
      </c>
      <c r="S266" s="45">
        <f>O266*'used Standard Values'!B261</f>
        <v>5.6615665372836111E-4</v>
      </c>
      <c r="T266" s="45">
        <f>O266*'used Standard Values'!C261</f>
        <v>2.2551126606654162E-4</v>
      </c>
      <c r="U266" s="45">
        <f>O266*'used Standard Values'!D261</f>
        <v>2.9958154910684183E-8</v>
      </c>
    </row>
    <row r="267" spans="9:21" x14ac:dyDescent="0.3">
      <c r="I267" s="17"/>
      <c r="J267" s="17"/>
      <c r="K267" s="17"/>
      <c r="L267" s="17"/>
      <c r="M267" s="17"/>
      <c r="N267" s="52">
        <v>637</v>
      </c>
      <c r="O267" s="53">
        <v>1.081691223832524E-3</v>
      </c>
      <c r="P267" s="49">
        <f t="shared" si="10"/>
        <v>0.61314850881345717</v>
      </c>
      <c r="Q267" s="17"/>
      <c r="R267" s="46">
        <f t="shared" si="11"/>
        <v>637</v>
      </c>
      <c r="S267" s="45">
        <f>O267*'used Standard Values'!B262</f>
        <v>5.4468172167246157E-4</v>
      </c>
      <c r="T267" s="45">
        <f>O267*'used Standard Values'!C262</f>
        <v>2.1585018568631156E-4</v>
      </c>
      <c r="U267" s="45">
        <f>O267*'used Standard Values'!D262</f>
        <v>2.7648027681159312E-8</v>
      </c>
    </row>
    <row r="268" spans="9:21" x14ac:dyDescent="0.3">
      <c r="I268" s="17"/>
      <c r="J268" s="17"/>
      <c r="K268" s="17"/>
      <c r="L268" s="17"/>
      <c r="M268" s="17"/>
      <c r="N268" s="52">
        <v>638</v>
      </c>
      <c r="O268" s="53">
        <v>1.0800397955443622E-3</v>
      </c>
      <c r="P268" s="49">
        <f t="shared" si="10"/>
        <v>0.61221240914842423</v>
      </c>
      <c r="Q268" s="17"/>
      <c r="R268" s="46">
        <f t="shared" si="11"/>
        <v>638</v>
      </c>
      <c r="S268" s="45">
        <f>O268*'used Standard Values'!B263</f>
        <v>5.235423786354381E-4</v>
      </c>
      <c r="T268" s="45">
        <f>O268*'used Standard Values'!C263</f>
        <v>2.0645522312524167E-4</v>
      </c>
      <c r="U268" s="45">
        <f>O268*'used Standard Values'!D263</f>
        <v>2.5532140766668723E-8</v>
      </c>
    </row>
    <row r="269" spans="9:21" x14ac:dyDescent="0.3">
      <c r="I269" s="17"/>
      <c r="J269" s="17"/>
      <c r="K269" s="17"/>
      <c r="L269" s="17"/>
      <c r="M269" s="17"/>
      <c r="N269" s="52">
        <v>639</v>
      </c>
      <c r="O269" s="53">
        <v>1.0782177779232894E-3</v>
      </c>
      <c r="P269" s="49">
        <f t="shared" si="10"/>
        <v>0.6111796122071359</v>
      </c>
      <c r="Q269" s="17"/>
      <c r="R269" s="46">
        <f t="shared" si="11"/>
        <v>639</v>
      </c>
      <c r="S269" s="45">
        <f>O269*'used Standard Values'!B264</f>
        <v>5.0265855093939221E-4</v>
      </c>
      <c r="T269" s="45">
        <f>O269*'used Standard Values'!C264</f>
        <v>1.9728625098484713E-4</v>
      </c>
      <c r="U269" s="45">
        <f>O269*'used Standard Values'!D264</f>
        <v>2.3519520201707424E-8</v>
      </c>
    </row>
    <row r="270" spans="9:21" x14ac:dyDescent="0.3">
      <c r="I270" s="17"/>
      <c r="J270" s="17"/>
      <c r="K270" s="17"/>
      <c r="L270" s="17"/>
      <c r="M270" s="17"/>
      <c r="N270" s="52">
        <v>640</v>
      </c>
      <c r="O270" s="53">
        <v>1.0763821947670554E-3</v>
      </c>
      <c r="P270" s="49">
        <f t="shared" si="10"/>
        <v>0.61013912574459417</v>
      </c>
      <c r="Q270" s="17"/>
      <c r="R270" s="46">
        <f t="shared" si="11"/>
        <v>640</v>
      </c>
      <c r="S270" s="45">
        <f>O270*'used Standard Values'!B265</f>
        <v>4.8211158503616417E-4</v>
      </c>
      <c r="T270" s="45">
        <f>O270*'used Standard Values'!C265</f>
        <v>1.883668840842347E-4</v>
      </c>
      <c r="U270" s="45">
        <f>O270*'used Standard Values'!D265</f>
        <v>2.152764389534111E-8</v>
      </c>
    </row>
    <row r="271" spans="9:21" x14ac:dyDescent="0.3">
      <c r="I271" s="17"/>
      <c r="J271" s="17"/>
      <c r="K271" s="17"/>
      <c r="L271" s="17"/>
      <c r="M271" s="17"/>
      <c r="N271" s="52">
        <v>641</v>
      </c>
      <c r="O271" s="53">
        <v>1.0743626606725934E-3</v>
      </c>
      <c r="P271" s="49">
        <f t="shared" si="10"/>
        <v>0.60899436808063712</v>
      </c>
      <c r="Q271" s="17"/>
      <c r="R271" s="46">
        <f t="shared" si="11"/>
        <v>641</v>
      </c>
      <c r="S271" s="45">
        <f>O271*'used Standard Values'!B266</f>
        <v>4.6182692998817987E-4</v>
      </c>
      <c r="T271" s="45">
        <f>O271*'used Standard Values'!C266</f>
        <v>1.7965868438698341E-4</v>
      </c>
      <c r="U271" s="45">
        <f>O271*'used Standard Values'!D266</f>
        <v>1.9481772665654158E-8</v>
      </c>
    </row>
    <row r="272" spans="9:21" x14ac:dyDescent="0.3">
      <c r="I272" s="17"/>
      <c r="J272" s="17"/>
      <c r="K272" s="17"/>
      <c r="L272" s="17"/>
      <c r="M272" s="17"/>
      <c r="N272" s="52">
        <v>642</v>
      </c>
      <c r="O272" s="53">
        <v>1.0723380144333232E-3</v>
      </c>
      <c r="P272" s="49">
        <f t="shared" si="10"/>
        <v>0.60784671263596701</v>
      </c>
      <c r="Q272" s="17"/>
      <c r="R272" s="46">
        <f t="shared" si="11"/>
        <v>642</v>
      </c>
      <c r="S272" s="45">
        <f>O272*'used Standard Values'!B267</f>
        <v>4.4190835107194362E-4</v>
      </c>
      <c r="T272" s="45">
        <f>O272*'used Standard Values'!C267</f>
        <v>1.7119490358742808E-4</v>
      </c>
      <c r="U272" s="45">
        <f>O272*'used Standard Values'!D267</f>
        <v>1.7371875833819837E-8</v>
      </c>
    </row>
    <row r="273" spans="9:21" x14ac:dyDescent="0.3">
      <c r="I273" s="17"/>
      <c r="J273" s="17"/>
      <c r="K273" s="17"/>
      <c r="L273" s="17"/>
      <c r="M273" s="17"/>
      <c r="N273" s="52">
        <v>643</v>
      </c>
      <c r="O273" s="53">
        <v>1.0701778220758666E-3</v>
      </c>
      <c r="P273" s="49">
        <f t="shared" si="10"/>
        <v>0.60662222389690534</v>
      </c>
      <c r="Q273" s="17"/>
      <c r="R273" s="46">
        <f t="shared" si="11"/>
        <v>643</v>
      </c>
      <c r="S273" s="45">
        <f>O273*'used Standard Values'!B268</f>
        <v>4.2233925641530829E-4</v>
      </c>
      <c r="T273" s="45">
        <f>O273*'used Standard Values'!C268</f>
        <v>1.6296411031894E-4</v>
      </c>
      <c r="U273" s="45">
        <f>O273*'used Standard Values'!D268</f>
        <v>1.5196525073477307E-8</v>
      </c>
    </row>
    <row r="274" spans="9:21" x14ac:dyDescent="0.3">
      <c r="I274" s="17"/>
      <c r="J274" s="17"/>
      <c r="K274" s="17"/>
      <c r="L274" s="17"/>
      <c r="M274" s="17"/>
      <c r="N274" s="52">
        <v>644</v>
      </c>
      <c r="O274" s="53">
        <v>1.0679745889698373E-3</v>
      </c>
      <c r="P274" s="49">
        <f t="shared" si="10"/>
        <v>0.60537333783425984</v>
      </c>
      <c r="Q274" s="17"/>
      <c r="R274" s="46">
        <f t="shared" si="11"/>
        <v>644</v>
      </c>
      <c r="S274" s="45">
        <f>O274*'used Standard Values'!B269</f>
        <v>4.0319597088992631E-4</v>
      </c>
      <c r="T274" s="45">
        <f>O274*'used Standard Values'!C269</f>
        <v>1.5499077340137772E-4</v>
      </c>
      <c r="U274" s="45">
        <f>O274*'used Standard Values'!D269</f>
        <v>1.2958088119585396E-8</v>
      </c>
    </row>
    <row r="275" spans="9:21" x14ac:dyDescent="0.3">
      <c r="I275" s="17"/>
      <c r="J275" s="17"/>
      <c r="K275" s="17"/>
      <c r="L275" s="17"/>
      <c r="M275" s="17"/>
      <c r="N275" s="52">
        <v>645</v>
      </c>
      <c r="O275" s="53">
        <v>1.0656553027125638E-3</v>
      </c>
      <c r="P275" s="49">
        <f t="shared" si="10"/>
        <v>0.60405866791845875</v>
      </c>
      <c r="Q275" s="17"/>
      <c r="R275" s="46">
        <f t="shared" si="11"/>
        <v>645</v>
      </c>
      <c r="S275" s="45">
        <f>O275*'used Standard Values'!B270</f>
        <v>3.8448843321869301E-4</v>
      </c>
      <c r="T275" s="45">
        <f>O275*'used Standard Values'!C270</f>
        <v>1.4727356283487629E-4</v>
      </c>
      <c r="U275" s="45">
        <f>O275*'used Standard Values'!D270</f>
        <v>1.0656553027125638E-8</v>
      </c>
    </row>
    <row r="276" spans="9:21" x14ac:dyDescent="0.3">
      <c r="I276" s="17"/>
      <c r="J276" s="17"/>
      <c r="K276" s="17"/>
      <c r="L276" s="17"/>
      <c r="M276" s="17"/>
      <c r="N276" s="52">
        <v>646</v>
      </c>
      <c r="O276" s="53">
        <v>1.0632554250444206E-3</v>
      </c>
      <c r="P276" s="49">
        <f t="shared" si="10"/>
        <v>0.60269831536947238</v>
      </c>
      <c r="Q276" s="17"/>
      <c r="R276" s="46">
        <f t="shared" si="11"/>
        <v>646</v>
      </c>
      <c r="S276" s="45">
        <f>O276*'used Standard Values'!B271</f>
        <v>3.6624502966572844E-4</v>
      </c>
      <c r="T276" s="45">
        <f>O276*'used Standard Values'!C271</f>
        <v>1.3981840736996881E-4</v>
      </c>
      <c r="U276" s="45">
        <f>O276*'used Standard Values'!D271</f>
        <v>8.2225082659250431E-9</v>
      </c>
    </row>
    <row r="277" spans="9:21" x14ac:dyDescent="0.3">
      <c r="I277" s="17"/>
      <c r="J277" s="17"/>
      <c r="K277" s="17"/>
      <c r="L277" s="17"/>
      <c r="M277" s="17"/>
      <c r="N277" s="52">
        <v>647</v>
      </c>
      <c r="O277" s="53">
        <v>1.060798913604019E-3</v>
      </c>
      <c r="P277" s="49">
        <f t="shared" si="10"/>
        <v>0.60130586039398615</v>
      </c>
      <c r="Q277" s="17"/>
      <c r="R277" s="46">
        <f t="shared" si="11"/>
        <v>647</v>
      </c>
      <c r="S277" s="45">
        <f>O277*'used Standard Values'!B272</f>
        <v>3.484902645406688E-4</v>
      </c>
      <c r="T277" s="45">
        <f>O277*'used Standard Values'!C272</f>
        <v>1.3262617201355975E-4</v>
      </c>
      <c r="U277" s="45">
        <f>O277*'used Standard Values'!D272</f>
        <v>5.7283141334617025E-9</v>
      </c>
    </row>
    <row r="278" spans="9:21" x14ac:dyDescent="0.3">
      <c r="I278" s="17"/>
      <c r="J278" s="17"/>
      <c r="K278" s="17"/>
      <c r="L278" s="17"/>
      <c r="M278" s="17"/>
      <c r="N278" s="52">
        <v>648</v>
      </c>
      <c r="O278" s="53">
        <v>1.0582367735461065E-3</v>
      </c>
      <c r="P278" s="49">
        <f t="shared" si="10"/>
        <v>0.59985353063363711</v>
      </c>
      <c r="Q278" s="17"/>
      <c r="R278" s="46">
        <f t="shared" si="11"/>
        <v>648</v>
      </c>
      <c r="S278" s="45">
        <f>O278*'used Standard Values'!B273</f>
        <v>3.3124842826598341E-4</v>
      </c>
      <c r="T278" s="45">
        <f>O278*'used Standard Values'!C273</f>
        <v>1.256965173723877E-4</v>
      </c>
      <c r="U278" s="45">
        <f>O278*'used Standard Values'!D273</f>
        <v>3.3863576753475403E-9</v>
      </c>
    </row>
    <row r="279" spans="9:21" x14ac:dyDescent="0.3">
      <c r="I279" s="17"/>
      <c r="J279" s="17"/>
      <c r="K279" s="17"/>
      <c r="L279" s="17"/>
      <c r="M279" s="17"/>
      <c r="N279" s="52">
        <v>649</v>
      </c>
      <c r="O279" s="53">
        <v>1.0556033877637009E-3</v>
      </c>
      <c r="P279" s="49">
        <f t="shared" si="10"/>
        <v>0.59836081577191191</v>
      </c>
      <c r="Q279" s="17"/>
      <c r="R279" s="46">
        <f t="shared" si="11"/>
        <v>649</v>
      </c>
      <c r="S279" s="45">
        <f>O279*'used Standard Values'!B274</f>
        <v>3.1457097071730945E-4</v>
      </c>
      <c r="T279" s="45">
        <f>O279*'used Standard Values'!C274</f>
        <v>1.1903944399506356E-4</v>
      </c>
      <c r="U279" s="45">
        <f>O279*'used Standard Values'!D274</f>
        <v>1.4074708318171387E-9</v>
      </c>
    </row>
    <row r="280" spans="9:21" x14ac:dyDescent="0.3">
      <c r="I280" s="17"/>
      <c r="J280" s="17"/>
      <c r="K280" s="17"/>
      <c r="L280" s="17"/>
      <c r="M280" s="17"/>
      <c r="N280" s="52">
        <v>650</v>
      </c>
      <c r="O280" s="53">
        <v>1.0528741629846771E-3</v>
      </c>
      <c r="P280" s="49">
        <f t="shared" si="10"/>
        <v>0.59681377529806379</v>
      </c>
      <c r="Q280" s="17"/>
      <c r="R280" s="46">
        <f t="shared" si="11"/>
        <v>650</v>
      </c>
      <c r="S280" s="45">
        <f>O280*'used Standard Values'!B275</f>
        <v>2.9848982520615594E-4</v>
      </c>
      <c r="T280" s="45">
        <f>O280*'used Standard Values'!C275</f>
        <v>1.1265753543936044E-4</v>
      </c>
      <c r="U280" s="45">
        <f>O280*'used Standard Values'!D275</f>
        <v>0</v>
      </c>
    </row>
    <row r="281" spans="9:21" x14ac:dyDescent="0.3">
      <c r="I281" s="17"/>
      <c r="J281" s="17"/>
      <c r="K281" s="17"/>
      <c r="L281" s="17"/>
      <c r="M281" s="17"/>
      <c r="N281" s="52">
        <v>651</v>
      </c>
      <c r="O281" s="53">
        <v>1.0501497931731834E-3</v>
      </c>
      <c r="P281" s="49">
        <f t="shared" si="10"/>
        <v>0.59526948682592917</v>
      </c>
      <c r="Q281" s="17"/>
      <c r="R281" s="46">
        <f t="shared" si="11"/>
        <v>651</v>
      </c>
      <c r="S281" s="45">
        <f>O281*'used Standard Values'!B276</f>
        <v>2.8306241597090707E-4</v>
      </c>
      <c r="T281" s="45">
        <f>O281*'used Standard Values'!C276</f>
        <v>1.065652104420006E-4</v>
      </c>
      <c r="U281" s="45">
        <f>O281*'used Standard Values'!D276</f>
        <v>0</v>
      </c>
    </row>
    <row r="282" spans="9:21" x14ac:dyDescent="0.3">
      <c r="I282" s="17"/>
      <c r="J282" s="17"/>
      <c r="K282" s="17"/>
      <c r="L282" s="17"/>
      <c r="M282" s="17"/>
      <c r="N282" s="52">
        <v>652</v>
      </c>
      <c r="O282" s="53">
        <v>1.0472720526343601E-3</v>
      </c>
      <c r="P282" s="49">
        <f t="shared" si="10"/>
        <v>0.59363826131419783</v>
      </c>
      <c r="Q282" s="17"/>
      <c r="R282" s="46">
        <f t="shared" si="11"/>
        <v>652</v>
      </c>
      <c r="S282" s="45">
        <f>O282*'used Standard Values'!B277</f>
        <v>2.6822564248542811E-4</v>
      </c>
      <c r="T282" s="45">
        <f>O282*'used Standard Values'!C277</f>
        <v>1.0073567445290752E-4</v>
      </c>
      <c r="U282" s="45">
        <f>O282*'used Standard Values'!D277</f>
        <v>0</v>
      </c>
    </row>
    <row r="283" spans="9:21" x14ac:dyDescent="0.3">
      <c r="I283" s="17"/>
      <c r="J283" s="17"/>
      <c r="K283" s="17"/>
      <c r="L283" s="17"/>
      <c r="M283" s="17"/>
      <c r="N283" s="52">
        <v>653</v>
      </c>
      <c r="O283" s="53">
        <v>1.0443344158369875E-3</v>
      </c>
      <c r="P283" s="49">
        <f t="shared" si="10"/>
        <v>0.59197308406022819</v>
      </c>
      <c r="Q283" s="17"/>
      <c r="R283" s="46">
        <f t="shared" si="11"/>
        <v>653</v>
      </c>
      <c r="S283" s="45">
        <f>O283*'used Standard Values'!B278</f>
        <v>2.5397126885363068E-4</v>
      </c>
      <c r="T283" s="45">
        <f>O283*'used Standard Values'!C278</f>
        <v>9.5162843200937181E-5</v>
      </c>
      <c r="U283" s="45">
        <f>O283*'used Standard Values'!D278</f>
        <v>0</v>
      </c>
    </row>
    <row r="284" spans="9:21" x14ac:dyDescent="0.3">
      <c r="I284" s="17"/>
      <c r="J284" s="17"/>
      <c r="K284" s="17"/>
      <c r="L284" s="17"/>
      <c r="M284" s="17"/>
      <c r="N284" s="52">
        <v>654</v>
      </c>
      <c r="O284" s="53">
        <v>1.0413236713022129E-3</v>
      </c>
      <c r="P284" s="49">
        <f t="shared" si="10"/>
        <v>0.59026646623691381</v>
      </c>
      <c r="Q284" s="17"/>
      <c r="R284" s="46">
        <f t="shared" si="11"/>
        <v>654</v>
      </c>
      <c r="S284" s="45">
        <f>O284*'used Standard Values'!B279</f>
        <v>2.4026169497327993E-4</v>
      </c>
      <c r="T284" s="45">
        <f>O284*'used Standard Values'!C279</f>
        <v>8.9829630306334697E-5</v>
      </c>
      <c r="U284" s="45">
        <f>O284*'used Standard Values'!D279</f>
        <v>0</v>
      </c>
    </row>
    <row r="285" spans="9:21" x14ac:dyDescent="0.3">
      <c r="I285" s="17"/>
      <c r="J285" s="17"/>
      <c r="K285" s="17"/>
      <c r="L285" s="17"/>
      <c r="M285" s="17"/>
      <c r="N285" s="52">
        <v>655</v>
      </c>
      <c r="O285" s="53">
        <v>1.0382716672134541E-3</v>
      </c>
      <c r="P285" s="49">
        <f t="shared" si="10"/>
        <v>0.58853646074672894</v>
      </c>
      <c r="Q285" s="17"/>
      <c r="R285" s="46">
        <f t="shared" si="11"/>
        <v>655</v>
      </c>
      <c r="S285" s="45">
        <f>O285*'used Standard Values'!B280</f>
        <v>2.2707001361958241E-4</v>
      </c>
      <c r="T285" s="45">
        <f>O285*'used Standard Values'!C280</f>
        <v>8.4722968044617861E-5</v>
      </c>
      <c r="U285" s="45">
        <f>O285*'used Standard Values'!D280</f>
        <v>0</v>
      </c>
    </row>
    <row r="286" spans="9:21" x14ac:dyDescent="0.3">
      <c r="I286" s="17"/>
      <c r="J286" s="17"/>
      <c r="K286" s="17"/>
      <c r="L286" s="17"/>
      <c r="M286" s="17"/>
      <c r="N286" s="52">
        <v>656</v>
      </c>
      <c r="O286" s="53">
        <v>1.0351517079927378E-3</v>
      </c>
      <c r="P286" s="49">
        <f t="shared" si="10"/>
        <v>0.58676793540271899</v>
      </c>
      <c r="Q286" s="17"/>
      <c r="R286" s="46">
        <f t="shared" si="11"/>
        <v>656</v>
      </c>
      <c r="S286" s="45">
        <f>O286*'used Standard Values'!B281</f>
        <v>2.1437691678534283E-4</v>
      </c>
      <c r="T286" s="45">
        <f>O286*'used Standard Values'!C281</f>
        <v>7.9831562217493062E-5</v>
      </c>
      <c r="U286" s="45">
        <f>O286*'used Standard Values'!D281</f>
        <v>0</v>
      </c>
    </row>
    <row r="287" spans="9:21" x14ac:dyDescent="0.3">
      <c r="I287" s="17"/>
      <c r="J287" s="17"/>
      <c r="K287" s="17"/>
      <c r="L287" s="17"/>
      <c r="M287" s="17"/>
      <c r="N287" s="52">
        <v>657</v>
      </c>
      <c r="O287" s="53">
        <v>1.0319867913423507E-3</v>
      </c>
      <c r="P287" s="49">
        <f t="shared" si="10"/>
        <v>0.58497392627890621</v>
      </c>
      <c r="Q287" s="17"/>
      <c r="R287" s="46">
        <f t="shared" si="11"/>
        <v>657</v>
      </c>
      <c r="S287" s="45">
        <f>O287*'used Standard Values'!B282</f>
        <v>2.0219015451752563E-4</v>
      </c>
      <c r="T287" s="45">
        <f>O287*'used Standard Values'!C282</f>
        <v>7.515497471263819E-5</v>
      </c>
      <c r="U287" s="45">
        <f>O287*'used Standard Values'!D282</f>
        <v>0</v>
      </c>
    </row>
    <row r="288" spans="9:21" x14ac:dyDescent="0.3">
      <c r="I288" s="17"/>
      <c r="J288" s="17"/>
      <c r="K288" s="17"/>
      <c r="L288" s="17"/>
      <c r="M288" s="17"/>
      <c r="N288" s="52">
        <v>658</v>
      </c>
      <c r="O288" s="53">
        <v>1.028713077172687E-3</v>
      </c>
      <c r="P288" s="49">
        <f t="shared" si="10"/>
        <v>0.58311824610217433</v>
      </c>
      <c r="Q288" s="17"/>
      <c r="R288" s="46">
        <f t="shared" si="11"/>
        <v>658</v>
      </c>
      <c r="S288" s="45">
        <f>O288*'used Standard Values'!B283</f>
        <v>1.9048762347052817E-4</v>
      </c>
      <c r="T288" s="45">
        <f>O288*'used Standard Values'!C283</f>
        <v>7.0682957829581503E-5</v>
      </c>
      <c r="U288" s="45">
        <f>O288*'used Standard Values'!D283</f>
        <v>0</v>
      </c>
    </row>
    <row r="289" spans="9:21" x14ac:dyDescent="0.3">
      <c r="I289" s="17"/>
      <c r="J289" s="17"/>
      <c r="K289" s="17"/>
      <c r="L289" s="17"/>
      <c r="M289" s="17"/>
      <c r="N289" s="52">
        <v>659</v>
      </c>
      <c r="O289" s="53">
        <v>1.0254049761977816E-3</v>
      </c>
      <c r="P289" s="49">
        <f t="shared" si="10"/>
        <v>0.58124307402434161</v>
      </c>
      <c r="Q289" s="17"/>
      <c r="R289" s="46">
        <f t="shared" si="11"/>
        <v>659</v>
      </c>
      <c r="S289" s="45">
        <f>O289*'used Standard Values'!B284</f>
        <v>1.792739104201034E-4</v>
      </c>
      <c r="T289" s="45">
        <f>O289*'used Standard Values'!C284</f>
        <v>6.641523421113602E-5</v>
      </c>
      <c r="U289" s="45">
        <f>O289*'used Standard Values'!D284</f>
        <v>0</v>
      </c>
    </row>
    <row r="290" spans="9:21" x14ac:dyDescent="0.3">
      <c r="I290" s="17"/>
      <c r="J290" s="17"/>
      <c r="K290" s="17"/>
      <c r="L290" s="17"/>
      <c r="M290" s="17"/>
      <c r="N290" s="52">
        <v>660</v>
      </c>
      <c r="O290" s="53">
        <v>1.0220237781926142E-3</v>
      </c>
      <c r="P290" s="49">
        <f t="shared" si="10"/>
        <v>0.57932646744642557</v>
      </c>
      <c r="Q290" s="17"/>
      <c r="R290" s="46">
        <f t="shared" si="11"/>
        <v>660</v>
      </c>
      <c r="S290" s="45">
        <f>O290*'used Standard Values'!B285</f>
        <v>1.6853172102396208E-4</v>
      </c>
      <c r="T290" s="45">
        <f>O290*'used Standard Values'!C285</f>
        <v>6.234345046974947E-5</v>
      </c>
      <c r="U290" s="45">
        <f>O290*'used Standard Values'!D285</f>
        <v>0</v>
      </c>
    </row>
    <row r="291" spans="9:21" x14ac:dyDescent="0.3">
      <c r="I291" s="17"/>
      <c r="J291" s="17"/>
      <c r="K291" s="17"/>
      <c r="L291" s="17"/>
      <c r="M291" s="17"/>
      <c r="N291" s="52">
        <v>661</v>
      </c>
      <c r="O291" s="53">
        <v>1.0185872979857665E-3</v>
      </c>
      <c r="P291" s="49">
        <f t="shared" si="10"/>
        <v>0.57737852456959415</v>
      </c>
      <c r="Q291" s="17"/>
      <c r="R291" s="46">
        <f t="shared" si="11"/>
        <v>661</v>
      </c>
      <c r="S291" s="45">
        <f>O291*'used Standard Values'!B286</f>
        <v>1.5825454714996518E-4</v>
      </c>
      <c r="T291" s="45">
        <f>O291*'used Standard Values'!C286</f>
        <v>5.8463050458523636E-5</v>
      </c>
      <c r="U291" s="45">
        <f>O291*'used Standard Values'!D286</f>
        <v>0</v>
      </c>
    </row>
    <row r="292" spans="9:21" x14ac:dyDescent="0.3">
      <c r="I292" s="17"/>
      <c r="J292" s="17"/>
      <c r="K292" s="17"/>
      <c r="L292" s="17"/>
      <c r="M292" s="17"/>
      <c r="N292" s="52">
        <v>662</v>
      </c>
      <c r="O292" s="53">
        <v>1.0150920275473886E-3</v>
      </c>
      <c r="P292" s="49">
        <f t="shared" si="10"/>
        <v>0.57539725689359511</v>
      </c>
      <c r="Q292" s="17"/>
      <c r="R292" s="46">
        <f t="shared" si="11"/>
        <v>662</v>
      </c>
      <c r="S292" s="45">
        <f>O292*'used Standard Values'!B287</f>
        <v>1.4843690718825464E-4</v>
      </c>
      <c r="T292" s="45">
        <f>O292*'used Standard Values'!C287</f>
        <v>5.4769330950000461E-5</v>
      </c>
      <c r="U292" s="45">
        <f>O292*'used Standard Values'!D287</f>
        <v>0</v>
      </c>
    </row>
    <row r="293" spans="9:21" x14ac:dyDescent="0.3">
      <c r="I293" s="17"/>
      <c r="J293" s="17"/>
      <c r="K293" s="17"/>
      <c r="L293" s="17"/>
      <c r="M293" s="17"/>
      <c r="N293" s="52">
        <v>663</v>
      </c>
      <c r="O293" s="53">
        <v>1.0115706808979321E-3</v>
      </c>
      <c r="P293" s="49">
        <f t="shared" si="10"/>
        <v>0.57340120811409256</v>
      </c>
      <c r="Q293" s="17"/>
      <c r="R293" s="46">
        <f t="shared" si="11"/>
        <v>663</v>
      </c>
      <c r="S293" s="45">
        <f>O293*'used Standard Values'!B288</f>
        <v>1.3908085291665668E-4</v>
      </c>
      <c r="T293" s="45">
        <f>O293*'used Standard Values'!C288</f>
        <v>5.1260089906858394E-5</v>
      </c>
      <c r="U293" s="45">
        <f>O293*'used Standard Values'!D288</f>
        <v>0</v>
      </c>
    </row>
    <row r="294" spans="9:21" x14ac:dyDescent="0.3">
      <c r="I294" s="17"/>
      <c r="J294" s="17"/>
      <c r="K294" s="17"/>
      <c r="L294" s="17"/>
      <c r="M294" s="17"/>
      <c r="N294" s="52">
        <v>664</v>
      </c>
      <c r="O294" s="53">
        <v>1.0080246063958315E-3</v>
      </c>
      <c r="P294" s="49">
        <f t="shared" si="10"/>
        <v>0.57139114253789169</v>
      </c>
      <c r="Q294" s="17"/>
      <c r="R294" s="46">
        <f t="shared" si="11"/>
        <v>664</v>
      </c>
      <c r="S294" s="45">
        <f>O294*'used Standard Values'!B289</f>
        <v>1.3018305143482054E-4</v>
      </c>
      <c r="T294" s="45">
        <f>O294*'used Standard Values'!C289</f>
        <v>4.7931217225509545E-5</v>
      </c>
      <c r="U294" s="45">
        <f>O294*'used Standard Values'!D289</f>
        <v>0</v>
      </c>
    </row>
    <row r="295" spans="9:21" x14ac:dyDescent="0.3">
      <c r="I295" s="17"/>
      <c r="J295" s="17"/>
      <c r="K295" s="17"/>
      <c r="L295" s="17"/>
      <c r="M295" s="17"/>
      <c r="N295" s="52">
        <v>665</v>
      </c>
      <c r="O295" s="53">
        <v>1.0043916966138962E-3</v>
      </c>
      <c r="P295" s="49">
        <f t="shared" si="10"/>
        <v>0.56933185503849315</v>
      </c>
      <c r="Q295" s="17"/>
      <c r="R295" s="46">
        <f t="shared" si="11"/>
        <v>665</v>
      </c>
      <c r="S295" s="45">
        <f>O295*'used Standard Values'!B290</f>
        <v>1.2173227362960422E-4</v>
      </c>
      <c r="T295" s="45">
        <f>O295*'used Standard Values'!C290</f>
        <v>4.4775781835047493E-5</v>
      </c>
      <c r="U295" s="45">
        <f>O295*'used Standard Values'!D290</f>
        <v>0</v>
      </c>
    </row>
    <row r="296" spans="9:21" x14ac:dyDescent="0.3">
      <c r="I296" s="17"/>
      <c r="J296" s="17"/>
      <c r="K296" s="17"/>
      <c r="L296" s="17"/>
      <c r="M296" s="17"/>
      <c r="N296" s="52">
        <v>666</v>
      </c>
      <c r="O296" s="53">
        <v>1.0007373678975349E-3</v>
      </c>
      <c r="P296" s="49">
        <f t="shared" si="10"/>
        <v>0.56726042637772212</v>
      </c>
      <c r="Q296" s="17"/>
      <c r="R296" s="46">
        <f t="shared" si="11"/>
        <v>666</v>
      </c>
      <c r="S296" s="45">
        <f>O296*'used Standard Values'!B291</f>
        <v>1.137234942666655E-4</v>
      </c>
      <c r="T296" s="45">
        <f>O296*'used Standard Values'!C291</f>
        <v>4.1789511539570152E-5</v>
      </c>
      <c r="U296" s="45">
        <f>O296*'used Standard Values'!D291</f>
        <v>0</v>
      </c>
    </row>
    <row r="297" spans="9:21" x14ac:dyDescent="0.3">
      <c r="I297" s="17"/>
      <c r="J297" s="17"/>
      <c r="K297" s="17"/>
      <c r="L297" s="17"/>
      <c r="M297" s="17"/>
      <c r="N297" s="52">
        <v>667</v>
      </c>
      <c r="O297" s="53">
        <v>9.9703321494434708E-4</v>
      </c>
      <c r="P297" s="49">
        <f t="shared" si="10"/>
        <v>0.56516075522423248</v>
      </c>
      <c r="Q297" s="17"/>
      <c r="R297" s="46">
        <f t="shared" si="11"/>
        <v>667</v>
      </c>
      <c r="S297" s="45">
        <f>O297*'used Standard Values'!B292</f>
        <v>1.0614914122904992E-4</v>
      </c>
      <c r="T297" s="45">
        <f>O297*'used Standard Values'!C292</f>
        <v>3.896900332477121E-5</v>
      </c>
      <c r="U297" s="45">
        <f>O297*'used Standard Values'!D292</f>
        <v>0</v>
      </c>
    </row>
    <row r="298" spans="9:21" x14ac:dyDescent="0.3">
      <c r="I298" s="17"/>
      <c r="J298" s="17"/>
      <c r="K298" s="17"/>
      <c r="L298" s="17"/>
      <c r="M298" s="17"/>
      <c r="N298" s="52">
        <v>668</v>
      </c>
      <c r="O298" s="53">
        <v>9.9327628320128379E-4</v>
      </c>
      <c r="P298" s="49">
        <f t="shared" si="10"/>
        <v>0.56303116681192056</v>
      </c>
      <c r="Q298" s="17"/>
      <c r="R298" s="46">
        <f t="shared" si="11"/>
        <v>668</v>
      </c>
      <c r="S298" s="45">
        <f>O298*'used Standard Values'!B293</f>
        <v>9.9020149713900589E-5</v>
      </c>
      <c r="T298" s="45">
        <f>O298*'used Standard Values'!C293</f>
        <v>3.6317995094766425E-5</v>
      </c>
      <c r="U298" s="45">
        <f>O298*'used Standard Values'!D293</f>
        <v>0</v>
      </c>
    </row>
    <row r="299" spans="9:21" x14ac:dyDescent="0.3">
      <c r="I299" s="17"/>
      <c r="J299" s="17"/>
      <c r="K299" s="17"/>
      <c r="L299" s="17"/>
      <c r="M299" s="17"/>
      <c r="N299" s="52">
        <v>669</v>
      </c>
      <c r="O299" s="53">
        <v>9.8948579527999032E-4</v>
      </c>
      <c r="P299" s="49">
        <f t="shared" si="10"/>
        <v>0.56088255733316206</v>
      </c>
      <c r="Q299" s="17"/>
      <c r="R299" s="46">
        <f t="shared" si="11"/>
        <v>669</v>
      </c>
      <c r="S299" s="45">
        <f>O299*'used Standard Values'!B294</f>
        <v>9.2349312859816605E-5</v>
      </c>
      <c r="T299" s="45">
        <f>O299*'used Standard Values'!C294</f>
        <v>3.3840889151757404E-5</v>
      </c>
      <c r="U299" s="45">
        <f>O299*'used Standard Values'!D294</f>
        <v>0</v>
      </c>
    </row>
    <row r="300" spans="9:21" x14ac:dyDescent="0.3">
      <c r="I300" s="17"/>
      <c r="J300" s="17"/>
      <c r="K300" s="17"/>
      <c r="L300" s="17"/>
      <c r="M300" s="17"/>
      <c r="N300" s="52">
        <v>670</v>
      </c>
      <c r="O300" s="53">
        <v>9.8567457298117918E-4</v>
      </c>
      <c r="P300" s="49">
        <f t="shared" si="10"/>
        <v>0.55872219472894946</v>
      </c>
      <c r="Q300" s="17"/>
      <c r="R300" s="46">
        <f t="shared" si="11"/>
        <v>670</v>
      </c>
      <c r="S300" s="45">
        <f>O300*'used Standard Values'!B295</f>
        <v>8.614795767855507E-5</v>
      </c>
      <c r="T300" s="45">
        <f>O300*'used Standard Values'!C295</f>
        <v>3.1541586335397737E-5</v>
      </c>
      <c r="U300" s="45">
        <f>O300*'used Standard Values'!D295</f>
        <v>0</v>
      </c>
    </row>
    <row r="301" spans="9:21" x14ac:dyDescent="0.3">
      <c r="I301" s="17"/>
      <c r="J301" s="17"/>
      <c r="K301" s="17"/>
      <c r="L301" s="17"/>
      <c r="M301" s="17"/>
      <c r="N301" s="52">
        <v>671</v>
      </c>
      <c r="O301" s="53">
        <v>9.8179052894916004E-4</v>
      </c>
      <c r="P301" s="49">
        <f t="shared" si="10"/>
        <v>0.55652055367471176</v>
      </c>
      <c r="Q301" s="17"/>
      <c r="R301" s="46">
        <f t="shared" si="11"/>
        <v>671</v>
      </c>
      <c r="S301" s="45">
        <f>O301*'used Standard Values'!B296</f>
        <v>8.0409586839843994E-5</v>
      </c>
      <c r="T301" s="45">
        <f>O301*'used Standard Values'!C296</f>
        <v>2.9417006720597392E-5</v>
      </c>
      <c r="U301" s="45">
        <f>O301*'used Standard Values'!D296</f>
        <v>0</v>
      </c>
    </row>
    <row r="302" spans="9:21" x14ac:dyDescent="0.3">
      <c r="I302" s="17"/>
      <c r="J302" s="17"/>
      <c r="K302" s="17"/>
      <c r="L302" s="17"/>
      <c r="M302" s="17"/>
      <c r="N302" s="52">
        <v>672</v>
      </c>
      <c r="O302" s="53">
        <v>9.778909999211445E-4</v>
      </c>
      <c r="P302" s="49">
        <f t="shared" si="10"/>
        <v>0.55431013506732862</v>
      </c>
      <c r="Q302" s="17"/>
      <c r="R302" s="46">
        <f t="shared" si="11"/>
        <v>672</v>
      </c>
      <c r="S302" s="45">
        <f>O302*'used Standard Values'!B297</f>
        <v>7.5106214167423564E-5</v>
      </c>
      <c r="T302" s="45">
        <f>O302*'used Standard Values'!C297</f>
        <v>2.7455893564026002E-5</v>
      </c>
      <c r="U302" s="45">
        <f>O302*'used Standard Values'!D297</f>
        <v>0</v>
      </c>
    </row>
    <row r="303" spans="9:21" x14ac:dyDescent="0.3">
      <c r="I303" s="17"/>
      <c r="J303" s="17"/>
      <c r="K303" s="17"/>
      <c r="L303" s="17"/>
      <c r="M303" s="17"/>
      <c r="N303" s="52">
        <v>673</v>
      </c>
      <c r="O303" s="53">
        <v>9.739864552155388E-4</v>
      </c>
      <c r="P303" s="49">
        <f t="shared" si="10"/>
        <v>0.55209687336094693</v>
      </c>
      <c r="Q303" s="17"/>
      <c r="R303" s="46">
        <f t="shared" si="11"/>
        <v>673</v>
      </c>
      <c r="S303" s="45">
        <f>O303*'used Standard Values'!B298</f>
        <v>7.0202138610945004E-5</v>
      </c>
      <c r="T303" s="45">
        <f>O303*'used Standard Values'!C298</f>
        <v>2.5644440014493798E-5</v>
      </c>
      <c r="U303" s="45">
        <f>O303*'used Standard Values'!D298</f>
        <v>0</v>
      </c>
    </row>
    <row r="304" spans="9:21" x14ac:dyDescent="0.3">
      <c r="I304" s="17"/>
      <c r="J304" s="17"/>
      <c r="K304" s="17"/>
      <c r="L304" s="17"/>
      <c r="M304" s="17"/>
      <c r="N304" s="52">
        <v>674</v>
      </c>
      <c r="O304" s="53">
        <v>9.6999951453408052E-4</v>
      </c>
      <c r="P304" s="49">
        <f t="shared" si="10"/>
        <v>0.54983690611733516</v>
      </c>
      <c r="Q304" s="17"/>
      <c r="R304" s="46">
        <f t="shared" si="11"/>
        <v>674</v>
      </c>
      <c r="S304" s="45">
        <f>O304*'used Standard Values'!B299</f>
        <v>6.5656007940443085E-5</v>
      </c>
      <c r="T304" s="45">
        <f>O304*'used Standard Values'!C299</f>
        <v>2.3966796505083786E-5</v>
      </c>
      <c r="U304" s="45">
        <f>O304*'used Standard Values'!D299</f>
        <v>0</v>
      </c>
    </row>
    <row r="305" spans="9:21" x14ac:dyDescent="0.3">
      <c r="I305" s="17"/>
      <c r="J305" s="17"/>
      <c r="K305" s="17"/>
      <c r="L305" s="17"/>
      <c r="M305" s="17"/>
      <c r="N305" s="52">
        <v>675</v>
      </c>
      <c r="O305" s="53">
        <v>9.6597431054776424E-4</v>
      </c>
      <c r="P305" s="49">
        <f t="shared" si="10"/>
        <v>0.54755524960806323</v>
      </c>
      <c r="Q305" s="17"/>
      <c r="R305" s="46">
        <f t="shared" si="11"/>
        <v>675</v>
      </c>
      <c r="S305" s="45">
        <f>O305*'used Standard Values'!B300</f>
        <v>6.1435966150837811E-5</v>
      </c>
      <c r="T305" s="45">
        <f>O305*'used Standard Values'!C300</f>
        <v>2.241060400470813E-5</v>
      </c>
      <c r="U305" s="45">
        <f>O305*'used Standard Values'!D300</f>
        <v>0</v>
      </c>
    </row>
    <row r="306" spans="9:21" x14ac:dyDescent="0.3">
      <c r="I306" s="17"/>
      <c r="J306" s="17"/>
      <c r="K306" s="17"/>
      <c r="L306" s="17"/>
      <c r="M306" s="17"/>
      <c r="N306" s="52">
        <v>676</v>
      </c>
      <c r="O306" s="53">
        <v>9.6193629330585794E-4</v>
      </c>
      <c r="P306" s="49">
        <f t="shared" si="10"/>
        <v>0.54526633000153679</v>
      </c>
      <c r="Q306" s="17"/>
      <c r="R306" s="46">
        <f t="shared" si="11"/>
        <v>676</v>
      </c>
      <c r="S306" s="45">
        <f>O306*'used Standard Values'!B301</f>
        <v>5.753037960329945E-5</v>
      </c>
      <c r="T306" s="45">
        <f>O306*'used Standard Values'!C301</f>
        <v>2.0970951885013548E-5</v>
      </c>
      <c r="U306" s="45">
        <f>O306*'used Standard Values'!D301</f>
        <v>0</v>
      </c>
    </row>
    <row r="307" spans="9:21" x14ac:dyDescent="0.3">
      <c r="I307" s="17"/>
      <c r="J307" s="17"/>
      <c r="K307" s="17"/>
      <c r="L307" s="17"/>
      <c r="M307" s="17"/>
      <c r="N307" s="52">
        <v>677</v>
      </c>
      <c r="O307" s="53">
        <v>9.5785223093294435E-4</v>
      </c>
      <c r="P307" s="49">
        <f t="shared" si="10"/>
        <v>0.54295131005991171</v>
      </c>
      <c r="Q307" s="17"/>
      <c r="R307" s="46">
        <f t="shared" si="11"/>
        <v>677</v>
      </c>
      <c r="S307" s="45">
        <f>O307*'used Standard Values'!B302</f>
        <v>5.3909992517724923E-5</v>
      </c>
      <c r="T307" s="45">
        <f>O307*'used Standard Values'!C302</f>
        <v>1.9637043528624005E-5</v>
      </c>
      <c r="U307" s="45">
        <f>O307*'used Standard Values'!D302</f>
        <v>0</v>
      </c>
    </row>
    <row r="308" spans="9:21" x14ac:dyDescent="0.3">
      <c r="I308" s="17"/>
      <c r="J308" s="17"/>
      <c r="K308" s="17"/>
      <c r="L308" s="17"/>
      <c r="M308" s="17"/>
      <c r="N308" s="52">
        <v>678</v>
      </c>
      <c r="O308" s="53">
        <v>9.5372769186274063E-4</v>
      </c>
      <c r="P308" s="49">
        <f t="shared" si="10"/>
        <v>0.54061334620782642</v>
      </c>
      <c r="Q308" s="17"/>
      <c r="R308" s="46">
        <f t="shared" si="11"/>
        <v>678</v>
      </c>
      <c r="S308" s="45">
        <f>O308*'used Standard Values'!B303</f>
        <v>5.0519947714768908E-5</v>
      </c>
      <c r="T308" s="45">
        <f>O308*'used Standard Values'!C303</f>
        <v>1.838889992502085E-5</v>
      </c>
      <c r="U308" s="45">
        <f>O308*'used Standard Values'!D303</f>
        <v>0</v>
      </c>
    </row>
    <row r="309" spans="9:21" x14ac:dyDescent="0.3">
      <c r="I309" s="17"/>
      <c r="J309" s="17"/>
      <c r="K309" s="17"/>
      <c r="L309" s="17"/>
      <c r="M309" s="17"/>
      <c r="N309" s="52">
        <v>679</v>
      </c>
      <c r="O309" s="53">
        <v>9.4957291871054469E-4</v>
      </c>
      <c r="P309" s="49">
        <f t="shared" si="10"/>
        <v>0.53825824439448167</v>
      </c>
      <c r="Q309" s="17"/>
      <c r="R309" s="46">
        <f t="shared" si="11"/>
        <v>679</v>
      </c>
      <c r="S309" s="45">
        <f>O309*'used Standard Values'!B304</f>
        <v>4.7306402903802326E-5</v>
      </c>
      <c r="T309" s="45">
        <f>O309*'used Standard Values'!C304</f>
        <v>1.720691649234898E-5</v>
      </c>
      <c r="U309" s="45">
        <f>O309*'used Standard Values'!D304</f>
        <v>0</v>
      </c>
    </row>
    <row r="310" spans="9:21" x14ac:dyDescent="0.3">
      <c r="I310" s="17"/>
      <c r="J310" s="17"/>
      <c r="K310" s="17"/>
      <c r="L310" s="17"/>
      <c r="M310" s="17"/>
      <c r="N310" s="52">
        <v>680</v>
      </c>
      <c r="O310" s="53">
        <v>9.4535537556506867E-4</v>
      </c>
      <c r="P310" s="49">
        <f t="shared" si="10"/>
        <v>0.53586756188404894</v>
      </c>
      <c r="Q310" s="17"/>
      <c r="R310" s="46">
        <f t="shared" si="11"/>
        <v>680</v>
      </c>
      <c r="S310" s="45">
        <f>O310*'used Standard Values'!B305</f>
        <v>4.4214270915178258E-5</v>
      </c>
      <c r="T310" s="45">
        <f>O310*'used Standard Values'!C305</f>
        <v>1.607104138460617E-5</v>
      </c>
      <c r="U310" s="45">
        <f>O310*'used Standard Values'!D305</f>
        <v>0</v>
      </c>
    </row>
    <row r="311" spans="9:21" x14ac:dyDescent="0.3">
      <c r="I311" s="17"/>
      <c r="J311" s="17"/>
      <c r="K311" s="17"/>
      <c r="L311" s="17"/>
      <c r="M311" s="17"/>
      <c r="N311" s="52">
        <v>681</v>
      </c>
      <c r="O311" s="53">
        <v>9.411407308219272E-4</v>
      </c>
      <c r="P311" s="49">
        <f t="shared" si="10"/>
        <v>0.53347852231111081</v>
      </c>
      <c r="Q311" s="17"/>
      <c r="R311" s="46">
        <f t="shared" si="11"/>
        <v>681</v>
      </c>
      <c r="S311" s="45">
        <f>O311*'used Standard Values'!B306</f>
        <v>4.12069528153438E-5</v>
      </c>
      <c r="T311" s="45">
        <f>O311*'used Standard Values'!C306</f>
        <v>1.4967704543438458E-5</v>
      </c>
      <c r="U311" s="45">
        <f>O311*'used Standard Values'!D306</f>
        <v>0</v>
      </c>
    </row>
    <row r="312" spans="9:21" x14ac:dyDescent="0.3">
      <c r="I312" s="17"/>
      <c r="J312" s="17"/>
      <c r="K312" s="17"/>
      <c r="L312" s="17"/>
      <c r="M312" s="17"/>
      <c r="N312" s="52">
        <v>682</v>
      </c>
      <c r="O312" s="53">
        <v>9.3684929082279674E-4</v>
      </c>
      <c r="P312" s="49">
        <f t="shared" si="10"/>
        <v>0.53104595192673965</v>
      </c>
      <c r="Q312" s="17"/>
      <c r="R312" s="46">
        <f t="shared" si="11"/>
        <v>682</v>
      </c>
      <c r="S312" s="45">
        <f>O312*'used Standard Values'!B307</f>
        <v>3.8294052028126514E-5</v>
      </c>
      <c r="T312" s="45">
        <f>O312*'used Standard Values'!C307</f>
        <v>1.3900201560810183E-5</v>
      </c>
      <c r="U312" s="45">
        <f>O312*'used Standard Values'!D307</f>
        <v>0</v>
      </c>
    </row>
    <row r="313" spans="9:21" x14ac:dyDescent="0.3">
      <c r="I313" s="17"/>
      <c r="J313" s="17"/>
      <c r="K313" s="17"/>
      <c r="L313" s="17"/>
      <c r="M313" s="17"/>
      <c r="N313" s="52">
        <v>683</v>
      </c>
      <c r="O313" s="53">
        <v>9.3252876775927419E-4</v>
      </c>
      <c r="P313" s="49">
        <f t="shared" si="10"/>
        <v>0.52859689602675097</v>
      </c>
      <c r="Q313" s="17"/>
      <c r="R313" s="46">
        <f t="shared" si="11"/>
        <v>683</v>
      </c>
      <c r="S313" s="45">
        <f>O313*'used Standard Values'!B308</f>
        <v>3.5503832064542452E-5</v>
      </c>
      <c r="T313" s="45">
        <f>O313*'used Standard Values'!C308</f>
        <v>1.2878856402317654E-5</v>
      </c>
      <c r="U313" s="45">
        <f>O313*'used Standard Values'!D308</f>
        <v>0</v>
      </c>
    </row>
    <row r="314" spans="9:21" x14ac:dyDescent="0.3">
      <c r="I314" s="17"/>
      <c r="J314" s="17"/>
      <c r="K314" s="17"/>
      <c r="L314" s="17"/>
      <c r="M314" s="17"/>
      <c r="N314" s="52">
        <v>684</v>
      </c>
      <c r="O314" s="53">
        <v>9.2815959142887009E-4</v>
      </c>
      <c r="P314" s="49">
        <f t="shared" si="10"/>
        <v>0.52612026138952195</v>
      </c>
      <c r="Q314" s="17"/>
      <c r="R314" s="46">
        <f t="shared" si="11"/>
        <v>684</v>
      </c>
      <c r="S314" s="45">
        <f>O314*'used Standard Values'!B309</f>
        <v>3.2861128352298492E-5</v>
      </c>
      <c r="T314" s="45">
        <f>O314*'used Standard Values'!C309</f>
        <v>1.1912724160879434E-5</v>
      </c>
      <c r="U314" s="45">
        <f>O314*'used Standard Values'!D309</f>
        <v>0</v>
      </c>
    </row>
    <row r="315" spans="9:21" x14ac:dyDescent="0.3">
      <c r="I315" s="17"/>
      <c r="J315" s="17"/>
      <c r="K315" s="17"/>
      <c r="L315" s="17"/>
      <c r="M315" s="17"/>
      <c r="N315" s="52">
        <v>685</v>
      </c>
      <c r="O315" s="53">
        <v>9.2380787648845832E-4</v>
      </c>
      <c r="P315" s="49">
        <f t="shared" si="10"/>
        <v>0.52365352460946291</v>
      </c>
      <c r="Q315" s="17"/>
      <c r="R315" s="46">
        <f t="shared" si="11"/>
        <v>685</v>
      </c>
      <c r="S315" s="45">
        <f>O315*'used Standard Values'!B310</f>
        <v>3.0393279136470278E-5</v>
      </c>
      <c r="T315" s="45">
        <f>O315*'used Standard Values'!C310</f>
        <v>1.1011789887742423E-5</v>
      </c>
      <c r="U315" s="45">
        <f>O315*'used Standard Values'!D310</f>
        <v>0</v>
      </c>
    </row>
    <row r="316" spans="9:21" x14ac:dyDescent="0.3">
      <c r="I316" s="17"/>
      <c r="J316" s="17"/>
      <c r="K316" s="17"/>
      <c r="L316" s="17"/>
      <c r="M316" s="17"/>
      <c r="N316" s="52">
        <v>686</v>
      </c>
      <c r="O316" s="53">
        <v>9.1937352929443144E-4</v>
      </c>
      <c r="P316" s="49">
        <f t="shared" si="10"/>
        <v>0.52113994835990674</v>
      </c>
      <c r="Q316" s="17"/>
      <c r="R316" s="46">
        <f t="shared" si="11"/>
        <v>686</v>
      </c>
      <c r="S316" s="45">
        <f>O316*'used Standard Values'!B311</f>
        <v>2.8099907230325569E-5</v>
      </c>
      <c r="T316" s="45">
        <f>O316*'used Standard Values'!C311</f>
        <v>1.0175911228024848E-5</v>
      </c>
      <c r="U316" s="45">
        <f>O316*'used Standard Values'!D311</f>
        <v>0</v>
      </c>
    </row>
    <row r="317" spans="9:21" x14ac:dyDescent="0.3">
      <c r="I317" s="17"/>
      <c r="J317" s="17"/>
      <c r="K317" s="17"/>
      <c r="L317" s="17"/>
      <c r="M317" s="17"/>
      <c r="N317" s="52">
        <v>687</v>
      </c>
      <c r="O317" s="53">
        <v>9.1497753116533966E-4</v>
      </c>
      <c r="P317" s="49">
        <f t="shared" si="10"/>
        <v>0.51864810998846345</v>
      </c>
      <c r="Q317" s="17"/>
      <c r="R317" s="46">
        <f t="shared" si="11"/>
        <v>687</v>
      </c>
      <c r="S317" s="45">
        <f>O317*'used Standard Values'!B312</f>
        <v>2.596757472188979E-5</v>
      </c>
      <c r="T317" s="45">
        <f>O317*'used Standard Values'!C312</f>
        <v>9.3999210188986895E-6</v>
      </c>
      <c r="U317" s="45">
        <f>O317*'used Standard Values'!D312</f>
        <v>0</v>
      </c>
    </row>
    <row r="318" spans="9:21" x14ac:dyDescent="0.3">
      <c r="I318" s="17"/>
      <c r="J318" s="17"/>
      <c r="K318" s="17"/>
      <c r="L318" s="17"/>
      <c r="M318" s="17"/>
      <c r="N318" s="52">
        <v>688</v>
      </c>
      <c r="O318" s="53">
        <v>9.1045195674600106E-4</v>
      </c>
      <c r="P318" s="49">
        <f t="shared" si="10"/>
        <v>0.51608282227455349</v>
      </c>
      <c r="Q318" s="17"/>
      <c r="R318" s="46">
        <f t="shared" si="11"/>
        <v>688</v>
      </c>
      <c r="S318" s="45">
        <f>O318*'used Standard Values'!B313</f>
        <v>2.398571112816032E-5</v>
      </c>
      <c r="T318" s="45">
        <f>O318*'used Standard Values'!C313</f>
        <v>8.6796216542181752E-6</v>
      </c>
      <c r="U318" s="45">
        <f>O318*'used Standard Values'!D313</f>
        <v>0</v>
      </c>
    </row>
    <row r="319" spans="9:21" x14ac:dyDescent="0.3">
      <c r="I319" s="17"/>
      <c r="J319" s="17"/>
      <c r="K319" s="17"/>
      <c r="L319" s="17"/>
      <c r="M319" s="17"/>
      <c r="N319" s="52">
        <v>689</v>
      </c>
      <c r="O319" s="53">
        <v>9.0598289895868608E-4</v>
      </c>
      <c r="P319" s="49">
        <f t="shared" si="10"/>
        <v>0.51354957058708528</v>
      </c>
      <c r="Q319" s="17"/>
      <c r="R319" s="46">
        <f t="shared" si="11"/>
        <v>689</v>
      </c>
      <c r="S319" s="45">
        <f>O319*'used Standard Values'!B314</f>
        <v>2.215377333251201E-5</v>
      </c>
      <c r="T319" s="45">
        <f>O319*'used Standard Values'!C314</f>
        <v>8.0144669635036735E-6</v>
      </c>
      <c r="U319" s="45">
        <f>O319*'used Standard Values'!D314</f>
        <v>0</v>
      </c>
    </row>
    <row r="320" spans="9:21" x14ac:dyDescent="0.3">
      <c r="I320" s="17"/>
      <c r="J320" s="17"/>
      <c r="K320" s="17"/>
      <c r="L320" s="17"/>
      <c r="M320" s="17"/>
      <c r="N320" s="52">
        <v>690</v>
      </c>
      <c r="O320" s="53">
        <v>9.0141207381639113E-4</v>
      </c>
      <c r="P320" s="49">
        <f t="shared" si="10"/>
        <v>0.51095863284228649</v>
      </c>
      <c r="Q320" s="17"/>
      <c r="R320" s="46">
        <f t="shared" si="11"/>
        <v>690</v>
      </c>
      <c r="S320" s="45">
        <f>O320*'used Standard Values'!B315</f>
        <v>2.0462054075632079E-5</v>
      </c>
      <c r="T320" s="45">
        <f>O320*'used Standard Values'!C315</f>
        <v>7.4005931260325716E-6</v>
      </c>
      <c r="U320" s="45">
        <f>O320*'used Standard Values'!D315</f>
        <v>0</v>
      </c>
    </row>
    <row r="321" spans="9:21" x14ac:dyDescent="0.3">
      <c r="I321" s="17"/>
      <c r="J321" s="17"/>
      <c r="K321" s="17"/>
      <c r="L321" s="17"/>
      <c r="M321" s="17"/>
      <c r="N321" s="52">
        <v>691</v>
      </c>
      <c r="O321" s="53">
        <v>8.9686040469556577E-4</v>
      </c>
      <c r="P321" s="49">
        <f t="shared" si="10"/>
        <v>0.50837855354372463</v>
      </c>
      <c r="Q321" s="17"/>
      <c r="R321" s="46">
        <f t="shared" si="11"/>
        <v>691</v>
      </c>
      <c r="S321" s="45">
        <f>O321*'used Standard Values'!B316</f>
        <v>1.890966486211867E-5</v>
      </c>
      <c r="T321" s="45">
        <f>O321*'used Standard Values'!C316</f>
        <v>6.8374673129703645E-6</v>
      </c>
      <c r="U321" s="45">
        <f>O321*'used Standard Values'!D316</f>
        <v>0</v>
      </c>
    </row>
    <row r="322" spans="9:21" x14ac:dyDescent="0.3">
      <c r="I322" s="17"/>
      <c r="J322" s="17"/>
      <c r="K322" s="17"/>
      <c r="L322" s="17"/>
      <c r="M322" s="17"/>
      <c r="N322" s="52">
        <v>692</v>
      </c>
      <c r="O322" s="53">
        <v>8.9226260507487833E-4</v>
      </c>
      <c r="P322" s="49">
        <f t="shared" si="10"/>
        <v>0.50577232551937301</v>
      </c>
      <c r="Q322" s="17"/>
      <c r="R322" s="46">
        <f t="shared" si="11"/>
        <v>692</v>
      </c>
      <c r="S322" s="45">
        <f>O322*'used Standard Values'!B317</f>
        <v>1.7488239987955008E-5</v>
      </c>
      <c r="T322" s="45">
        <f>O322*'used Standard Values'!C317</f>
        <v>6.3220588763000643E-6</v>
      </c>
      <c r="U322" s="45">
        <f>O322*'used Standard Values'!D317</f>
        <v>0</v>
      </c>
    </row>
    <row r="323" spans="9:21" x14ac:dyDescent="0.3">
      <c r="I323" s="17"/>
      <c r="J323" s="17"/>
      <c r="K323" s="17"/>
      <c r="L323" s="17"/>
      <c r="M323" s="17"/>
      <c r="N323" s="52">
        <v>693</v>
      </c>
      <c r="O323" s="53">
        <v>8.8760223591093546E-4</v>
      </c>
      <c r="P323" s="49">
        <f t="shared" si="10"/>
        <v>0.5031306304215174</v>
      </c>
      <c r="Q323" s="17"/>
      <c r="R323" s="46">
        <f t="shared" si="11"/>
        <v>693</v>
      </c>
      <c r="S323" s="45">
        <f>O323*'used Standard Values'!B318</f>
        <v>1.6187486009023224E-5</v>
      </c>
      <c r="T323" s="45">
        <f>O323*'used Standard Values'!C318</f>
        <v>5.8506088355532687E-6</v>
      </c>
      <c r="U323" s="45">
        <f>O323*'used Standard Values'!D318</f>
        <v>0</v>
      </c>
    </row>
    <row r="324" spans="9:21" x14ac:dyDescent="0.3">
      <c r="I324" s="17"/>
      <c r="J324" s="17"/>
      <c r="K324" s="17"/>
      <c r="L324" s="17"/>
      <c r="M324" s="17"/>
      <c r="N324" s="52">
        <v>694</v>
      </c>
      <c r="O324" s="53">
        <v>8.8298940521523532E-4</v>
      </c>
      <c r="P324" s="49">
        <f t="shared" si="10"/>
        <v>0.50051588214570508</v>
      </c>
      <c r="Q324" s="17"/>
      <c r="R324" s="46">
        <f t="shared" si="11"/>
        <v>694</v>
      </c>
      <c r="S324" s="45">
        <f>O324*'used Standard Values'!B319</f>
        <v>1.4999491134590088E-5</v>
      </c>
      <c r="T324" s="45">
        <f>O324*'used Standard Values'!C319</f>
        <v>5.4202172190726433E-6</v>
      </c>
      <c r="U324" s="45">
        <f>O324*'used Standard Values'!D319</f>
        <v>0</v>
      </c>
    </row>
    <row r="325" spans="9:21" x14ac:dyDescent="0.3">
      <c r="I325" s="17"/>
      <c r="J325" s="17"/>
      <c r="K325" s="17"/>
      <c r="L325" s="17"/>
      <c r="M325" s="17"/>
      <c r="N325" s="52">
        <v>695</v>
      </c>
      <c r="O325" s="53">
        <v>8.7835715382579029E-4</v>
      </c>
      <c r="P325" s="49">
        <f t="shared" si="10"/>
        <v>0.4978901253961735</v>
      </c>
      <c r="Q325" s="17"/>
      <c r="R325" s="46">
        <f t="shared" si="11"/>
        <v>695</v>
      </c>
      <c r="S325" s="45">
        <f>O325*'used Standard Values'!B320</f>
        <v>1.3913177316600519E-5</v>
      </c>
      <c r="T325" s="45">
        <f>O325*'used Standard Values'!C320</f>
        <v>5.0268379913449975E-6</v>
      </c>
      <c r="U325" s="45">
        <f>O325*'used Standard Values'!D320</f>
        <v>0</v>
      </c>
    </row>
    <row r="326" spans="9:21" x14ac:dyDescent="0.3">
      <c r="I326" s="17"/>
      <c r="J326" s="17"/>
      <c r="K326" s="17"/>
      <c r="L326" s="17"/>
      <c r="M326" s="17"/>
      <c r="N326" s="52">
        <v>696</v>
      </c>
      <c r="O326" s="53">
        <v>8.7367745909692725E-4</v>
      </c>
      <c r="P326" s="49">
        <f t="shared" si="10"/>
        <v>0.49523747574765531</v>
      </c>
      <c r="Q326" s="17"/>
      <c r="R326" s="46">
        <f t="shared" si="11"/>
        <v>696</v>
      </c>
      <c r="S326" s="45">
        <f>O326*'used Standard Values'!B321</f>
        <v>1.2922248773617377E-5</v>
      </c>
      <c r="T326" s="45">
        <f>O326*'used Standard Values'!C321</f>
        <v>4.6681102109249691E-6</v>
      </c>
      <c r="U326" s="45">
        <f>O326*'used Standard Values'!D321</f>
        <v>0</v>
      </c>
    </row>
    <row r="327" spans="9:21" x14ac:dyDescent="0.3">
      <c r="I327" s="17"/>
      <c r="J327" s="17"/>
      <c r="K327" s="17"/>
      <c r="L327" s="17"/>
      <c r="M327" s="17"/>
      <c r="N327" s="52">
        <v>697</v>
      </c>
      <c r="O327" s="53">
        <v>8.6893605479350432E-4</v>
      </c>
      <c r="P327" s="49">
        <f t="shared" si="10"/>
        <v>0.49254984649239975</v>
      </c>
      <c r="Q327" s="17"/>
      <c r="R327" s="46">
        <f t="shared" si="11"/>
        <v>697</v>
      </c>
      <c r="S327" s="45">
        <f>O327*'used Standard Values'!B322</f>
        <v>1.2018532633386492E-5</v>
      </c>
      <c r="T327" s="45">
        <f>O327*'used Standard Values'!C322</f>
        <v>4.3410272667931702E-6</v>
      </c>
      <c r="U327" s="45">
        <f>O327*'used Standard Values'!D322</f>
        <v>0</v>
      </c>
    </row>
    <row r="328" spans="9:21" x14ac:dyDescent="0.3">
      <c r="I328" s="17"/>
      <c r="J328" s="17"/>
      <c r="K328" s="17"/>
      <c r="L328" s="17"/>
      <c r="M328" s="17"/>
      <c r="N328" s="52">
        <v>698</v>
      </c>
      <c r="O328" s="53">
        <v>8.6427353267070121E-4</v>
      </c>
      <c r="P328" s="49">
        <f t="shared" si="10"/>
        <v>0.48990693100605842</v>
      </c>
      <c r="Q328" s="17"/>
      <c r="R328" s="46">
        <f t="shared" si="11"/>
        <v>698</v>
      </c>
      <c r="S328" s="45">
        <f>O328*'used Standard Values'!B323</f>
        <v>1.1191201407022455E-5</v>
      </c>
      <c r="T328" s="45">
        <f>O328*'used Standard Values'!C323</f>
        <v>4.0416922052753977E-6</v>
      </c>
      <c r="U328" s="45">
        <f>O328*'used Standard Values'!D323</f>
        <v>0</v>
      </c>
    </row>
    <row r="329" spans="9:21" x14ac:dyDescent="0.3">
      <c r="I329" s="17"/>
      <c r="J329" s="17"/>
      <c r="K329" s="17"/>
      <c r="L329" s="17"/>
      <c r="M329" s="17"/>
      <c r="N329" s="52">
        <v>699</v>
      </c>
      <c r="O329" s="53">
        <v>8.5954587407066792E-4</v>
      </c>
      <c r="P329" s="49">
        <f t="shared" si="10"/>
        <v>0.48722709339905723</v>
      </c>
      <c r="Q329" s="17"/>
      <c r="R329" s="46">
        <f t="shared" si="11"/>
        <v>699</v>
      </c>
      <c r="S329" s="45">
        <f>O329*'used Standard Values'!B324</f>
        <v>1.0425603815777945E-5</v>
      </c>
      <c r="T329" s="45">
        <f>O329*'used Standard Values'!C324</f>
        <v>3.7648753943700806E-6</v>
      </c>
      <c r="U329" s="45">
        <f>O329*'used Standard Values'!D324</f>
        <v>0</v>
      </c>
    </row>
    <row r="330" spans="9:21" x14ac:dyDescent="0.3">
      <c r="I330" s="17"/>
      <c r="J330" s="17"/>
      <c r="K330" s="17"/>
      <c r="L330" s="17"/>
      <c r="M330" s="17"/>
      <c r="N330" s="52">
        <v>700</v>
      </c>
      <c r="O330" s="53">
        <v>8.5485832441883187E-4</v>
      </c>
      <c r="P330" s="49">
        <f t="shared" ref="P330:P393" si="12">O330/MAX($O$10:$O$630)</f>
        <v>0.48456999124671757</v>
      </c>
      <c r="Q330" s="17"/>
      <c r="R330" s="46">
        <f t="shared" ref="R330:R393" si="13">N330</f>
        <v>700</v>
      </c>
      <c r="S330" s="45">
        <f>O330*'used Standard Values'!B325</f>
        <v>9.7104724844054181E-6</v>
      </c>
      <c r="T330" s="45">
        <f>O330*'used Standard Values'!C325</f>
        <v>3.506628846766048E-6</v>
      </c>
      <c r="U330" s="45">
        <f>O330*'used Standard Values'!D325</f>
        <v>0</v>
      </c>
    </row>
    <row r="331" spans="9:21" x14ac:dyDescent="0.3">
      <c r="I331" s="17"/>
      <c r="J331" s="17"/>
      <c r="K331" s="17"/>
      <c r="L331" s="17"/>
      <c r="M331" s="17"/>
      <c r="N331" s="52">
        <v>701</v>
      </c>
      <c r="O331" s="53">
        <v>8.5011962078568586E-4</v>
      </c>
      <c r="P331" s="49">
        <f t="shared" si="12"/>
        <v>0.48188389284603178</v>
      </c>
      <c r="Q331" s="17"/>
      <c r="R331" s="46">
        <f t="shared" si="13"/>
        <v>701</v>
      </c>
      <c r="S331" s="45">
        <f>O331*'used Standard Values'!B326</f>
        <v>9.0362189911983302E-6</v>
      </c>
      <c r="T331" s="45">
        <f>O331*'used Standard Values'!C326</f>
        <v>3.2631442087636781E-6</v>
      </c>
      <c r="U331" s="45">
        <f>O331*'used Standard Values'!D326</f>
        <v>0</v>
      </c>
    </row>
    <row r="332" spans="9:21" x14ac:dyDescent="0.3">
      <c r="I332" s="17"/>
      <c r="J332" s="17"/>
      <c r="K332" s="17"/>
      <c r="L332" s="17"/>
      <c r="M332" s="17"/>
      <c r="N332" s="52">
        <v>702</v>
      </c>
      <c r="O332" s="53">
        <v>8.4540491494292851E-4</v>
      </c>
      <c r="P332" s="49">
        <f t="shared" si="12"/>
        <v>0.47921139741176327</v>
      </c>
      <c r="Q332" s="17"/>
      <c r="R332" s="46">
        <f t="shared" si="13"/>
        <v>702</v>
      </c>
      <c r="S332" s="45">
        <f>O332*'used Standard Values'!B327</f>
        <v>8.4023492572608652E-6</v>
      </c>
      <c r="T332" s="45">
        <f>O332*'used Standard Values'!C327</f>
        <v>3.0342419348167498E-6</v>
      </c>
      <c r="U332" s="45">
        <f>O332*'used Standard Values'!D327</f>
        <v>0</v>
      </c>
    </row>
    <row r="333" spans="9:21" x14ac:dyDescent="0.3">
      <c r="I333" s="17"/>
      <c r="J333" s="17"/>
      <c r="K333" s="17"/>
      <c r="L333" s="17"/>
      <c r="M333" s="17"/>
      <c r="N333" s="52">
        <v>703</v>
      </c>
      <c r="O333" s="53">
        <v>8.4067934361756755E-4</v>
      </c>
      <c r="P333" s="49">
        <f t="shared" si="12"/>
        <v>0.4765327429606615</v>
      </c>
      <c r="Q333" s="17"/>
      <c r="R333" s="46">
        <f t="shared" si="13"/>
        <v>703</v>
      </c>
      <c r="S333" s="45">
        <f>O333*'used Standard Values'!B328</f>
        <v>7.8085845102029737E-6</v>
      </c>
      <c r="T333" s="45">
        <f>O333*'used Standard Values'!C328</f>
        <v>2.8198226272695739E-6</v>
      </c>
      <c r="U333" s="45">
        <f>O333*'used Standard Values'!D328</f>
        <v>0</v>
      </c>
    </row>
    <row r="334" spans="9:21" x14ac:dyDescent="0.3">
      <c r="I334" s="17"/>
      <c r="J334" s="17"/>
      <c r="K334" s="17"/>
      <c r="L334" s="17"/>
      <c r="M334" s="17"/>
      <c r="N334" s="52">
        <v>704</v>
      </c>
      <c r="O334" s="53">
        <v>8.3595449646553391E-4</v>
      </c>
      <c r="P334" s="49">
        <f t="shared" si="12"/>
        <v>0.47385449900174642</v>
      </c>
      <c r="Q334" s="17"/>
      <c r="R334" s="46">
        <f t="shared" si="13"/>
        <v>704</v>
      </c>
      <c r="S334" s="45">
        <f>O334*'used Standard Values'!B329</f>
        <v>7.2551270254678844E-6</v>
      </c>
      <c r="T334" s="45">
        <f>O334*'used Standard Values'!C329</f>
        <v>2.6199591356911547E-6</v>
      </c>
      <c r="U334" s="45">
        <f>O334*'used Standard Values'!D329</f>
        <v>0</v>
      </c>
    </row>
    <row r="335" spans="9:21" x14ac:dyDescent="0.3">
      <c r="I335" s="17"/>
      <c r="J335" s="17"/>
      <c r="K335" s="17"/>
      <c r="L335" s="17"/>
      <c r="M335" s="17"/>
      <c r="N335" s="52">
        <v>705</v>
      </c>
      <c r="O335" s="53">
        <v>8.3122878780050586E-4</v>
      </c>
      <c r="P335" s="49">
        <f t="shared" si="12"/>
        <v>0.47117576670069056</v>
      </c>
      <c r="Q335" s="17"/>
      <c r="R335" s="46">
        <f t="shared" si="13"/>
        <v>705</v>
      </c>
      <c r="S335" s="45">
        <f>O335*'used Standard Values'!B330</f>
        <v>6.7420268746317272E-6</v>
      </c>
      <c r="T335" s="45">
        <f>O335*'used Standard Values'!C330</f>
        <v>2.4346691194676817E-6</v>
      </c>
      <c r="U335" s="45">
        <f>O335*'used Standard Values'!D330</f>
        <v>0</v>
      </c>
    </row>
    <row r="336" spans="9:21" x14ac:dyDescent="0.3">
      <c r="I336" s="17"/>
      <c r="J336" s="17"/>
      <c r="K336" s="17"/>
      <c r="L336" s="17"/>
      <c r="M336" s="17"/>
      <c r="N336" s="52">
        <v>706</v>
      </c>
      <c r="O336" s="53">
        <v>8.2650986375621684E-4</v>
      </c>
      <c r="P336" s="49">
        <f t="shared" si="12"/>
        <v>0.46850088021071035</v>
      </c>
      <c r="Q336" s="17"/>
      <c r="R336" s="46">
        <f t="shared" si="13"/>
        <v>706</v>
      </c>
      <c r="S336" s="45">
        <f>O336*'used Standard Values'!B331</f>
        <v>6.2669184728267729E-6</v>
      </c>
      <c r="T336" s="45">
        <f>O336*'used Standard Values'!C331</f>
        <v>2.2630988918355839E-6</v>
      </c>
      <c r="U336" s="45">
        <f>O336*'used Standard Values'!D331</f>
        <v>0</v>
      </c>
    </row>
    <row r="337" spans="9:21" x14ac:dyDescent="0.3">
      <c r="I337" s="17"/>
      <c r="J337" s="17"/>
      <c r="K337" s="17"/>
      <c r="L337" s="17"/>
      <c r="M337" s="17"/>
      <c r="N337" s="52">
        <v>707</v>
      </c>
      <c r="O337" s="53">
        <v>8.218226688813618E-4</v>
      </c>
      <c r="P337" s="49">
        <f t="shared" si="12"/>
        <v>0.4658439791610256</v>
      </c>
      <c r="Q337" s="17"/>
      <c r="R337" s="46">
        <f t="shared" si="13"/>
        <v>707</v>
      </c>
      <c r="S337" s="45">
        <f>O337*'used Standard Values'!B332</f>
        <v>5.8256921567420778E-6</v>
      </c>
      <c r="T337" s="45">
        <f>O337*'used Standard Values'!C332</f>
        <v>2.1037641263253451E-6</v>
      </c>
      <c r="U337" s="45">
        <f>O337*'used Standard Values'!D332</f>
        <v>0</v>
      </c>
    </row>
    <row r="338" spans="9:21" x14ac:dyDescent="0.3">
      <c r="I338" s="17"/>
      <c r="J338" s="17"/>
      <c r="K338" s="17"/>
      <c r="L338" s="17"/>
      <c r="M338" s="17"/>
      <c r="N338" s="52">
        <v>708</v>
      </c>
      <c r="O338" s="53">
        <v>8.1714805901468915E-4</v>
      </c>
      <c r="P338" s="49">
        <f t="shared" si="12"/>
        <v>0.46319421182827447</v>
      </c>
      <c r="Q338" s="17"/>
      <c r="R338" s="46">
        <f t="shared" si="13"/>
        <v>708</v>
      </c>
      <c r="S338" s="45">
        <f>O338*'used Standard Values'!B333</f>
        <v>5.4154959544328165E-6</v>
      </c>
      <c r="T338" s="45">
        <f>O338*'used Standard Values'!C333</f>
        <v>1.955634689348551E-6</v>
      </c>
      <c r="U338" s="45">
        <f>O338*'used Standard Values'!D333</f>
        <v>0</v>
      </c>
    </row>
    <row r="339" spans="9:21" x14ac:dyDescent="0.3">
      <c r="I339" s="17"/>
      <c r="J339" s="17"/>
      <c r="K339" s="17"/>
      <c r="L339" s="17"/>
      <c r="M339" s="17"/>
      <c r="N339" s="52">
        <v>709</v>
      </c>
      <c r="O339" s="53">
        <v>8.1251957324418415E-4</v>
      </c>
      <c r="P339" s="49">
        <f t="shared" si="12"/>
        <v>0.46057058959142727</v>
      </c>
      <c r="Q339" s="17"/>
      <c r="R339" s="46">
        <f t="shared" si="13"/>
        <v>709</v>
      </c>
      <c r="S339" s="45">
        <f>O339*'used Standard Values'!B334</f>
        <v>5.0338902642336045E-6</v>
      </c>
      <c r="T339" s="45">
        <f>O339*'used Standard Values'!C334</f>
        <v>1.817829728229882E-6</v>
      </c>
      <c r="U339" s="45">
        <f>O339*'used Standard Values'!D334</f>
        <v>0</v>
      </c>
    </row>
    <row r="340" spans="9:21" x14ac:dyDescent="0.3">
      <c r="I340" s="17"/>
      <c r="J340" s="17"/>
      <c r="K340" s="17"/>
      <c r="L340" s="17"/>
      <c r="M340" s="17"/>
      <c r="N340" s="52">
        <v>710</v>
      </c>
      <c r="O340" s="53">
        <v>8.0786704273659701E-4</v>
      </c>
      <c r="P340" s="49">
        <f t="shared" si="12"/>
        <v>0.45793333777678386</v>
      </c>
      <c r="Q340" s="17"/>
      <c r="R340" s="46">
        <f t="shared" si="13"/>
        <v>710</v>
      </c>
      <c r="S340" s="45">
        <f>O340*'used Standard Values'!B335</f>
        <v>4.6778296994416834E-6</v>
      </c>
      <c r="T340" s="45">
        <f>O340*'used Standard Values'!C335</f>
        <v>1.6892499863622242E-6</v>
      </c>
      <c r="U340" s="45">
        <f>O340*'used Standard Values'!D335</f>
        <v>0</v>
      </c>
    </row>
    <row r="341" spans="9:21" x14ac:dyDescent="0.3">
      <c r="I341" s="17"/>
      <c r="J341" s="17"/>
      <c r="K341" s="17"/>
      <c r="L341" s="17"/>
      <c r="M341" s="17"/>
      <c r="N341" s="52">
        <v>711</v>
      </c>
      <c r="O341" s="53">
        <v>8.032783309043362E-4</v>
      </c>
      <c r="P341" s="49">
        <f t="shared" si="12"/>
        <v>0.45533226109673403</v>
      </c>
      <c r="Q341" s="17"/>
      <c r="R341" s="46">
        <f t="shared" si="13"/>
        <v>711</v>
      </c>
      <c r="S341" s="45">
        <f>O341*'used Standard Values'!B336</f>
        <v>4.3455959997628819E-6</v>
      </c>
      <c r="T341" s="45">
        <f>O341*'used Standard Values'!C336</f>
        <v>1.5692741046364096E-6</v>
      </c>
      <c r="U341" s="45">
        <f>O341*'used Standard Values'!D336</f>
        <v>0</v>
      </c>
    </row>
    <row r="342" spans="9:21" x14ac:dyDescent="0.3">
      <c r="I342" s="17"/>
      <c r="J342" s="17"/>
      <c r="K342" s="17"/>
      <c r="L342" s="17"/>
      <c r="M342" s="17"/>
      <c r="N342" s="52">
        <v>712</v>
      </c>
      <c r="O342" s="53">
        <v>7.9876988865101167E-4</v>
      </c>
      <c r="P342" s="49">
        <f t="shared" si="12"/>
        <v>0.45277668462186604</v>
      </c>
      <c r="Q342" s="17"/>
      <c r="R342" s="46">
        <f t="shared" si="13"/>
        <v>712</v>
      </c>
      <c r="S342" s="45">
        <f>O342*'used Standard Values'!B337</f>
        <v>4.0358511603099951E-6</v>
      </c>
      <c r="T342" s="45">
        <f>O342*'used Standard Values'!C337</f>
        <v>1.4574195634348628E-6</v>
      </c>
      <c r="U342" s="45">
        <f>O342*'used Standard Values'!D337</f>
        <v>0</v>
      </c>
    </row>
    <row r="343" spans="9:21" x14ac:dyDescent="0.3">
      <c r="I343" s="17"/>
      <c r="J343" s="17"/>
      <c r="K343" s="17"/>
      <c r="L343" s="17"/>
      <c r="M343" s="17"/>
      <c r="N343" s="52">
        <v>713</v>
      </c>
      <c r="O343" s="53">
        <v>7.941913506612615E-4</v>
      </c>
      <c r="P343" s="49">
        <f t="shared" si="12"/>
        <v>0.45018137490768118</v>
      </c>
      <c r="Q343" s="17"/>
      <c r="R343" s="46">
        <f t="shared" si="13"/>
        <v>713</v>
      </c>
      <c r="S343" s="45">
        <f>O343*'used Standard Values'!B338</f>
        <v>3.7466072270407092E-6</v>
      </c>
      <c r="T343" s="45">
        <f>O343*'used Standard Values'!C338</f>
        <v>1.3529685011595117E-6</v>
      </c>
      <c r="U343" s="45">
        <f>O343*'used Standard Values'!D338</f>
        <v>0</v>
      </c>
    </row>
    <row r="344" spans="9:21" x14ac:dyDescent="0.3">
      <c r="I344" s="17"/>
      <c r="J344" s="17"/>
      <c r="K344" s="17"/>
      <c r="L344" s="17"/>
      <c r="M344" s="17"/>
      <c r="N344" s="52">
        <v>714</v>
      </c>
      <c r="O344" s="53">
        <v>7.8953621852444731E-4</v>
      </c>
      <c r="P344" s="49">
        <f t="shared" si="12"/>
        <v>0.44754264837913982</v>
      </c>
      <c r="Q344" s="17"/>
      <c r="R344" s="46">
        <f t="shared" si="13"/>
        <v>714</v>
      </c>
      <c r="S344" s="45">
        <f>O344*'used Standard Values'!B339</f>
        <v>3.4767282650259336E-6</v>
      </c>
      <c r="T344" s="45">
        <f>O344*'used Standard Values'!C339</f>
        <v>1.2555102307267354E-6</v>
      </c>
      <c r="U344" s="45">
        <f>O344*'used Standard Values'!D339</f>
        <v>0</v>
      </c>
    </row>
    <row r="345" spans="9:21" x14ac:dyDescent="0.3">
      <c r="I345" s="17"/>
      <c r="J345" s="17"/>
      <c r="K345" s="17"/>
      <c r="L345" s="17"/>
      <c r="M345" s="17"/>
      <c r="N345" s="52">
        <v>715</v>
      </c>
      <c r="O345" s="53">
        <v>7.8505047437938433E-4</v>
      </c>
      <c r="P345" s="49">
        <f t="shared" si="12"/>
        <v>0.44499993815568156</v>
      </c>
      <c r="Q345" s="17"/>
      <c r="R345" s="46">
        <f t="shared" si="13"/>
        <v>715</v>
      </c>
      <c r="S345" s="45">
        <f>O345*'used Standard Values'!B340</f>
        <v>3.2261311672916817E-6</v>
      </c>
      <c r="T345" s="45">
        <f>O345*'used Standard Values'!C340</f>
        <v>1.1650149039790064E-6</v>
      </c>
      <c r="U345" s="45">
        <f>O345*'used Standard Values'!D340</f>
        <v>0</v>
      </c>
    </row>
    <row r="346" spans="9:21" x14ac:dyDescent="0.3">
      <c r="I346" s="17"/>
      <c r="J346" s="17"/>
      <c r="K346" s="17"/>
      <c r="L346" s="17"/>
      <c r="M346" s="17"/>
      <c r="N346" s="52">
        <v>716</v>
      </c>
      <c r="O346" s="53">
        <v>7.806286436266587E-4</v>
      </c>
      <c r="P346" s="49">
        <f t="shared" si="12"/>
        <v>0.44249345675643986</v>
      </c>
      <c r="Q346" s="17"/>
      <c r="R346" s="46">
        <f t="shared" si="13"/>
        <v>716</v>
      </c>
      <c r="S346" s="45">
        <f>O346*'used Standard Values'!B341</f>
        <v>2.9928623049726139E-6</v>
      </c>
      <c r="T346" s="45">
        <f>O346*'used Standard Values'!C341</f>
        <v>1.0807772345865344E-6</v>
      </c>
      <c r="U346" s="45">
        <f>O346*'used Standard Values'!D341</f>
        <v>0</v>
      </c>
    </row>
    <row r="347" spans="9:21" x14ac:dyDescent="0.3">
      <c r="I347" s="17"/>
      <c r="J347" s="17"/>
      <c r="K347" s="17"/>
      <c r="L347" s="17"/>
      <c r="M347" s="17"/>
      <c r="N347" s="52">
        <v>717</v>
      </c>
      <c r="O347" s="53">
        <v>7.7625729395264589E-4</v>
      </c>
      <c r="P347" s="49">
        <f t="shared" si="12"/>
        <v>0.44001559017578418</v>
      </c>
      <c r="Q347" s="17"/>
      <c r="R347" s="46">
        <f t="shared" si="13"/>
        <v>717</v>
      </c>
      <c r="S347" s="45">
        <f>O347*'used Standard Values'!B342</f>
        <v>2.7757004663365856E-6</v>
      </c>
      <c r="T347" s="45">
        <f>O347*'used Standard Values'!C342</f>
        <v>1.002356203447645E-6</v>
      </c>
      <c r="U347" s="45">
        <f>O347*'used Standard Values'!D342</f>
        <v>0</v>
      </c>
    </row>
    <row r="348" spans="9:21" x14ac:dyDescent="0.3">
      <c r="I348" s="17"/>
      <c r="J348" s="17"/>
      <c r="K348" s="17"/>
      <c r="L348" s="17"/>
      <c r="M348" s="17"/>
      <c r="N348" s="52">
        <v>718</v>
      </c>
      <c r="O348" s="53">
        <v>7.7184678497143385E-4</v>
      </c>
      <c r="P348" s="49">
        <f t="shared" si="12"/>
        <v>0.43751552643730163</v>
      </c>
      <c r="Q348" s="17"/>
      <c r="R348" s="46">
        <f t="shared" si="13"/>
        <v>718</v>
      </c>
      <c r="S348" s="45">
        <f>O348*'used Standard Values'!B343</f>
        <v>2.5736011526952207E-6</v>
      </c>
      <c r="T348" s="45">
        <f>O348*'used Standard Values'!C343</f>
        <v>9.2937453900982369E-7</v>
      </c>
      <c r="U348" s="45">
        <f>O348*'used Standard Values'!D343</f>
        <v>0</v>
      </c>
    </row>
    <row r="349" spans="9:21" x14ac:dyDescent="0.3">
      <c r="I349" s="17"/>
      <c r="J349" s="17"/>
      <c r="K349" s="17"/>
      <c r="L349" s="17"/>
      <c r="M349" s="17"/>
      <c r="N349" s="52">
        <v>719</v>
      </c>
      <c r="O349" s="53">
        <v>7.6754706709669055E-4</v>
      </c>
      <c r="P349" s="49">
        <f t="shared" si="12"/>
        <v>0.43507826380159625</v>
      </c>
      <c r="Q349" s="17"/>
      <c r="R349" s="46">
        <f t="shared" si="13"/>
        <v>719</v>
      </c>
      <c r="S349" s="45">
        <f>O349*'used Standard Values'!B344</f>
        <v>2.3863613976336435E-6</v>
      </c>
      <c r="T349" s="45">
        <f>O349*'used Standard Values'!C344</f>
        <v>8.6175886430040671E-7</v>
      </c>
      <c r="U349" s="45">
        <f>O349*'used Standard Values'!D344</f>
        <v>0</v>
      </c>
    </row>
    <row r="350" spans="9:21" x14ac:dyDescent="0.3">
      <c r="I350" s="17"/>
      <c r="J350" s="17"/>
      <c r="K350" s="17"/>
      <c r="L350" s="17"/>
      <c r="M350" s="17"/>
      <c r="N350" s="52">
        <v>720</v>
      </c>
      <c r="O350" s="53">
        <v>7.6323984804642321E-4</v>
      </c>
      <c r="P350" s="49">
        <f t="shared" si="12"/>
        <v>0.43263674918114187</v>
      </c>
      <c r="Q350" s="17"/>
      <c r="R350" s="46">
        <f t="shared" si="13"/>
        <v>720</v>
      </c>
      <c r="S350" s="45">
        <f>O350*'used Standard Values'!B345</f>
        <v>2.2128818989168922E-6</v>
      </c>
      <c r="T350" s="45">
        <f>O350*'used Standard Values'!C345</f>
        <v>7.9911212090460506E-7</v>
      </c>
      <c r="U350" s="45">
        <f>O350*'used Standard Values'!D345</f>
        <v>0</v>
      </c>
    </row>
    <row r="351" spans="9:21" x14ac:dyDescent="0.3">
      <c r="I351" s="17"/>
      <c r="J351" s="17"/>
      <c r="K351" s="17"/>
      <c r="L351" s="17"/>
      <c r="M351" s="17"/>
      <c r="N351" s="52">
        <v>721</v>
      </c>
      <c r="O351" s="53">
        <v>7.5901522943720983E-4</v>
      </c>
      <c r="P351" s="49">
        <f t="shared" si="12"/>
        <v>0.43024205599747428</v>
      </c>
      <c r="Q351" s="17"/>
      <c r="R351" s="46">
        <f t="shared" si="13"/>
        <v>721</v>
      </c>
      <c r="S351" s="45">
        <f>O351*'used Standard Values'!B346</f>
        <v>2.0526413176980597E-6</v>
      </c>
      <c r="T351" s="45">
        <f>O351*'used Standard Values'!C346</f>
        <v>7.4124637930999287E-7</v>
      </c>
      <c r="U351" s="45">
        <f>O351*'used Standard Values'!D346</f>
        <v>0</v>
      </c>
    </row>
    <row r="352" spans="9:21" x14ac:dyDescent="0.3">
      <c r="I352" s="17"/>
      <c r="J352" s="17"/>
      <c r="K352" s="17"/>
      <c r="L352" s="17"/>
      <c r="M352" s="17"/>
      <c r="N352" s="52">
        <v>722</v>
      </c>
      <c r="O352" s="53">
        <v>7.5470750488636782E-4</v>
      </c>
      <c r="P352" s="49">
        <f t="shared" si="12"/>
        <v>0.42780025483783313</v>
      </c>
      <c r="Q352" s="17"/>
      <c r="R352" s="46">
        <f t="shared" si="13"/>
        <v>722</v>
      </c>
      <c r="S352" s="45">
        <f>O352*'used Standard Values'!B347</f>
        <v>1.9041421289784038E-6</v>
      </c>
      <c r="T352" s="45">
        <f>O352*'used Standard Values'!C347</f>
        <v>6.8762064912801276E-7</v>
      </c>
      <c r="U352" s="45">
        <f>O352*'used Standard Values'!D347</f>
        <v>0</v>
      </c>
    </row>
    <row r="353" spans="9:21" x14ac:dyDescent="0.3">
      <c r="I353" s="17"/>
      <c r="J353" s="17"/>
      <c r="K353" s="17"/>
      <c r="L353" s="17"/>
      <c r="M353" s="17"/>
      <c r="N353" s="52">
        <v>723</v>
      </c>
      <c r="O353" s="53">
        <v>7.5060838117017967E-4</v>
      </c>
      <c r="P353" s="49">
        <f t="shared" si="12"/>
        <v>0.42547669748741151</v>
      </c>
      <c r="Q353" s="17"/>
      <c r="R353" s="46">
        <f t="shared" si="13"/>
        <v>723</v>
      </c>
      <c r="S353" s="45">
        <f>O353*'used Standard Values'!B348</f>
        <v>1.7670582314826394E-6</v>
      </c>
      <c r="T353" s="45">
        <f>O353*'used Standard Values'!C348</f>
        <v>6.3811710503102457E-7</v>
      </c>
      <c r="U353" s="45">
        <f>O353*'used Standard Values'!D348</f>
        <v>0</v>
      </c>
    </row>
    <row r="354" spans="9:21" x14ac:dyDescent="0.3">
      <c r="I354" s="17"/>
      <c r="J354" s="17"/>
      <c r="K354" s="17"/>
      <c r="L354" s="17"/>
      <c r="M354" s="17"/>
      <c r="N354" s="52">
        <v>724</v>
      </c>
      <c r="O354" s="53">
        <v>7.4641057365251306E-4</v>
      </c>
      <c r="P354" s="49">
        <f t="shared" si="12"/>
        <v>0.42309720196869616</v>
      </c>
      <c r="Q354" s="17"/>
      <c r="R354" s="46">
        <f t="shared" si="13"/>
        <v>724</v>
      </c>
      <c r="S354" s="45">
        <f>O354*'used Standard Values'!B349</f>
        <v>1.6395774086542888E-6</v>
      </c>
      <c r="T354" s="45">
        <f>O354*'used Standard Values'!C349</f>
        <v>5.9208152918720162E-7</v>
      </c>
      <c r="U354" s="45">
        <f>O354*'used Standard Values'!D349</f>
        <v>0</v>
      </c>
    </row>
    <row r="355" spans="9:21" x14ac:dyDescent="0.3">
      <c r="I355" s="17"/>
      <c r="J355" s="17"/>
      <c r="K355" s="17"/>
      <c r="L355" s="17"/>
      <c r="M355" s="17"/>
      <c r="N355" s="52">
        <v>725</v>
      </c>
      <c r="O355" s="53">
        <v>7.4228084604617268E-4</v>
      </c>
      <c r="P355" s="49">
        <f t="shared" si="12"/>
        <v>0.42075629703404965</v>
      </c>
      <c r="Q355" s="17"/>
      <c r="R355" s="46">
        <f t="shared" si="13"/>
        <v>725</v>
      </c>
      <c r="S355" s="45">
        <f>O355*'used Standard Values'!B350</f>
        <v>1.5210744869093567E-6</v>
      </c>
      <c r="T355" s="45">
        <f>O355*'used Standard Values'!C350</f>
        <v>5.4928782607416776E-7</v>
      </c>
      <c r="U355" s="45">
        <f>O355*'used Standard Values'!D350</f>
        <v>0</v>
      </c>
    </row>
    <row r="356" spans="9:21" x14ac:dyDescent="0.3">
      <c r="I356" s="17"/>
      <c r="J356" s="17"/>
      <c r="K356" s="17"/>
      <c r="L356" s="17"/>
      <c r="M356" s="17"/>
      <c r="N356" s="52">
        <v>726</v>
      </c>
      <c r="O356" s="53">
        <v>7.3832574572368383E-4</v>
      </c>
      <c r="P356" s="49">
        <f t="shared" si="12"/>
        <v>0.41851437825768256</v>
      </c>
      <c r="Q356" s="17"/>
      <c r="R356" s="46">
        <f t="shared" si="13"/>
        <v>726</v>
      </c>
      <c r="S356" s="45">
        <f>O356*'used Standard Values'!B351</f>
        <v>1.4109109670481307E-6</v>
      </c>
      <c r="T356" s="45">
        <f>O356*'used Standard Values'!C351</f>
        <v>5.0950582408851315E-7</v>
      </c>
      <c r="U356" s="45">
        <f>O356*'used Standard Values'!D351</f>
        <v>0</v>
      </c>
    </row>
    <row r="357" spans="9:21" x14ac:dyDescent="0.3">
      <c r="I357" s="17"/>
      <c r="J357" s="17"/>
      <c r="K357" s="17"/>
      <c r="L357" s="17"/>
      <c r="M357" s="17"/>
      <c r="N357" s="52">
        <v>727</v>
      </c>
      <c r="O357" s="53">
        <v>7.3436209410227872E-4</v>
      </c>
      <c r="P357" s="49">
        <f t="shared" si="12"/>
        <v>0.41626761224204473</v>
      </c>
      <c r="Q357" s="17"/>
      <c r="R357" s="46">
        <f t="shared" si="13"/>
        <v>727</v>
      </c>
      <c r="S357" s="45">
        <f>O357*'used Standard Values'!B352</f>
        <v>1.3082205401933753E-6</v>
      </c>
      <c r="T357" s="45">
        <f>O357*'used Standard Values'!C352</f>
        <v>4.7242247875693694E-7</v>
      </c>
      <c r="U357" s="45">
        <f>O357*'used Standard Values'!D352</f>
        <v>0</v>
      </c>
    </row>
    <row r="358" spans="9:21" x14ac:dyDescent="0.3">
      <c r="I358" s="17"/>
      <c r="J358" s="17"/>
      <c r="K358" s="17"/>
      <c r="L358" s="17"/>
      <c r="M358" s="17"/>
      <c r="N358" s="52">
        <v>728</v>
      </c>
      <c r="O358" s="53">
        <v>7.3040238147312653E-4</v>
      </c>
      <c r="P358" s="49">
        <f t="shared" si="12"/>
        <v>0.41402307901444557</v>
      </c>
      <c r="Q358" s="17"/>
      <c r="R358" s="46">
        <f t="shared" si="13"/>
        <v>728</v>
      </c>
      <c r="S358" s="45">
        <f>O358*'used Standard Values'!B353</f>
        <v>1.212548297507352E-6</v>
      </c>
      <c r="T358" s="45">
        <f>O358*'used Standard Values'!C353</f>
        <v>4.378733060836135E-7</v>
      </c>
      <c r="U358" s="45">
        <f>O358*'used Standard Values'!D353</f>
        <v>0</v>
      </c>
    </row>
    <row r="359" spans="9:21" x14ac:dyDescent="0.3">
      <c r="I359" s="17"/>
      <c r="J359" s="17"/>
      <c r="K359" s="17"/>
      <c r="L359" s="17"/>
      <c r="M359" s="17"/>
      <c r="N359" s="52">
        <v>729</v>
      </c>
      <c r="O359" s="53">
        <v>7.2641279200984135E-4</v>
      </c>
      <c r="P359" s="49">
        <f t="shared" si="12"/>
        <v>0.4117616103288404</v>
      </c>
      <c r="Q359" s="17"/>
      <c r="R359" s="46">
        <f t="shared" si="13"/>
        <v>729</v>
      </c>
      <c r="S359" s="45">
        <f>O359*'used Standard Values'!B354</f>
        <v>1.1233675999187472E-6</v>
      </c>
      <c r="T359" s="45">
        <f>O359*'used Standard Values'!C354</f>
        <v>4.0566863783801838E-7</v>
      </c>
      <c r="U359" s="45">
        <f>O359*'used Standard Values'!D354</f>
        <v>0</v>
      </c>
    </row>
    <row r="360" spans="9:21" x14ac:dyDescent="0.3">
      <c r="I360" s="17"/>
      <c r="J360" s="17"/>
      <c r="K360" s="17"/>
      <c r="L360" s="17"/>
      <c r="M360" s="17"/>
      <c r="N360" s="52">
        <v>730</v>
      </c>
      <c r="O360" s="53">
        <v>7.226087990899121E-4</v>
      </c>
      <c r="P360" s="49">
        <f t="shared" si="12"/>
        <v>0.4096053456435011</v>
      </c>
      <c r="Q360" s="17"/>
      <c r="R360" s="46">
        <f t="shared" si="13"/>
        <v>730</v>
      </c>
      <c r="S360" s="45">
        <f>O360*'used Standard Values'!B355</f>
        <v>1.0405357150342999E-6</v>
      </c>
      <c r="T360" s="45">
        <f>O360*'used Standard Values'!C355</f>
        <v>3.7575657552675427E-7</v>
      </c>
      <c r="U360" s="45">
        <f>O360*'used Standard Values'!D355</f>
        <v>0</v>
      </c>
    </row>
    <row r="361" spans="9:21" x14ac:dyDescent="0.3">
      <c r="I361" s="17"/>
      <c r="J361" s="17"/>
      <c r="K361" s="17"/>
      <c r="L361" s="17"/>
      <c r="M361" s="17"/>
      <c r="N361" s="52">
        <v>731</v>
      </c>
      <c r="O361" s="53">
        <v>7.1879396873185072E-4</v>
      </c>
      <c r="P361" s="49">
        <f t="shared" si="12"/>
        <v>0.40744293783812557</v>
      </c>
      <c r="Q361" s="17"/>
      <c r="R361" s="46">
        <f t="shared" si="13"/>
        <v>731</v>
      </c>
      <c r="S361" s="45">
        <f>O361*'used Standard Values'!B356</f>
        <v>9.6321410744736678E-7</v>
      </c>
      <c r="T361" s="45">
        <f>O361*'used Standard Values'!C356</f>
        <v>3.4783417706731728E-7</v>
      </c>
      <c r="U361" s="45">
        <f>O361*'used Standard Values'!D356</f>
        <v>0</v>
      </c>
    </row>
    <row r="362" spans="9:21" x14ac:dyDescent="0.3">
      <c r="I362" s="17"/>
      <c r="J362" s="17"/>
      <c r="K362" s="17"/>
      <c r="L362" s="17"/>
      <c r="M362" s="17"/>
      <c r="N362" s="52">
        <v>732</v>
      </c>
      <c r="O362" s="53">
        <v>7.1494484599728993E-4</v>
      </c>
      <c r="P362" s="49">
        <f t="shared" si="12"/>
        <v>0.40526109165786911</v>
      </c>
      <c r="Q362" s="17"/>
      <c r="R362" s="46">
        <f t="shared" si="13"/>
        <v>732</v>
      </c>
      <c r="S362" s="45">
        <f>O362*'used Standard Values'!B357</f>
        <v>8.9101788794527257E-7</v>
      </c>
      <c r="T362" s="45">
        <f>O362*'used Standard Values'!C357</f>
        <v>3.2176292978664911E-7</v>
      </c>
      <c r="U362" s="45">
        <f>O362*'used Standard Values'!D357</f>
        <v>0</v>
      </c>
    </row>
    <row r="363" spans="9:21" x14ac:dyDescent="0.3">
      <c r="I363" s="17"/>
      <c r="J363" s="17"/>
      <c r="K363" s="17"/>
      <c r="L363" s="17"/>
      <c r="M363" s="17"/>
      <c r="N363" s="52">
        <v>733</v>
      </c>
      <c r="O363" s="53">
        <v>7.1132846894622701E-4</v>
      </c>
      <c r="P363" s="49">
        <f t="shared" si="12"/>
        <v>0.40321117561222525</v>
      </c>
      <c r="Q363" s="17"/>
      <c r="R363" s="46">
        <f t="shared" si="13"/>
        <v>733</v>
      </c>
      <c r="S363" s="45">
        <f>O363*'used Standard Values'!B358</f>
        <v>8.2405340274860447E-7</v>
      </c>
      <c r="T363" s="45">
        <f>O363*'used Standard Values'!C358</f>
        <v>2.9758085060700314E-7</v>
      </c>
      <c r="U363" s="45">
        <f>O363*'used Standard Values'!D358</f>
        <v>0</v>
      </c>
    </row>
    <row r="364" spans="9:21" x14ac:dyDescent="0.3">
      <c r="I364" s="17"/>
      <c r="J364" s="17"/>
      <c r="K364" s="17"/>
      <c r="L364" s="17"/>
      <c r="M364" s="17"/>
      <c r="N364" s="52">
        <v>734</v>
      </c>
      <c r="O364" s="53">
        <v>7.075985062250322E-4</v>
      </c>
      <c r="P364" s="49">
        <f t="shared" si="12"/>
        <v>0.40109687438647684</v>
      </c>
      <c r="Q364" s="17"/>
      <c r="R364" s="46">
        <f t="shared" si="13"/>
        <v>734</v>
      </c>
      <c r="S364" s="45">
        <f>O364*'used Standard Values'!B359</f>
        <v>7.6168026005581134E-7</v>
      </c>
      <c r="T364" s="45">
        <f>O364*'used Standard Values'!C359</f>
        <v>2.7505655918218455E-7</v>
      </c>
      <c r="U364" s="45">
        <f>O364*'used Standard Values'!D359</f>
        <v>0</v>
      </c>
    </row>
    <row r="365" spans="9:21" x14ac:dyDescent="0.3">
      <c r="I365" s="17"/>
      <c r="J365" s="17"/>
      <c r="K365" s="17"/>
      <c r="L365" s="17"/>
      <c r="M365" s="17"/>
      <c r="N365" s="52">
        <v>735</v>
      </c>
      <c r="O365" s="53">
        <v>7.0394518562712791E-4</v>
      </c>
      <c r="P365" s="49">
        <f t="shared" si="12"/>
        <v>0.39902601717004693</v>
      </c>
      <c r="Q365" s="17"/>
      <c r="R365" s="46">
        <f t="shared" si="13"/>
        <v>735</v>
      </c>
      <c r="S365" s="45">
        <f>O365*'used Standard Values'!B360</f>
        <v>7.0390949560621669E-7</v>
      </c>
      <c r="T365" s="45">
        <f>O365*'used Standard Values'!C360</f>
        <v>2.5419460652995586E-7</v>
      </c>
      <c r="U365" s="45">
        <f>O365*'used Standard Values'!D360</f>
        <v>0</v>
      </c>
    </row>
    <row r="366" spans="9:21" x14ac:dyDescent="0.3">
      <c r="I366" s="17"/>
      <c r="J366" s="17"/>
      <c r="K366" s="17"/>
      <c r="L366" s="17"/>
      <c r="M366" s="17"/>
      <c r="N366" s="52">
        <v>736</v>
      </c>
      <c r="O366" s="53">
        <v>7.0038551441561534E-4</v>
      </c>
      <c r="P366" s="49">
        <f t="shared" si="12"/>
        <v>0.39700824440170368</v>
      </c>
      <c r="Q366" s="17"/>
      <c r="R366" s="46">
        <f t="shared" si="13"/>
        <v>736</v>
      </c>
      <c r="S366" s="45">
        <f>O366*'used Standard Values'!B361</f>
        <v>6.5047310103919804E-7</v>
      </c>
      <c r="T366" s="45">
        <f>O366*'used Standard Values'!C361</f>
        <v>2.3489774517400952E-7</v>
      </c>
      <c r="U366" s="45">
        <f>O366*'used Standard Values'!D361</f>
        <v>0</v>
      </c>
    </row>
    <row r="367" spans="9:21" x14ac:dyDescent="0.3">
      <c r="I367" s="17"/>
      <c r="J367" s="17"/>
      <c r="K367" s="17"/>
      <c r="L367" s="17"/>
      <c r="M367" s="17"/>
      <c r="N367" s="52">
        <v>737</v>
      </c>
      <c r="O367" s="53">
        <v>6.9679211982975561E-4</v>
      </c>
      <c r="P367" s="49">
        <f t="shared" si="12"/>
        <v>0.39497135579305637</v>
      </c>
      <c r="Q367" s="17"/>
      <c r="R367" s="46">
        <f t="shared" si="13"/>
        <v>737</v>
      </c>
      <c r="S367" s="45">
        <f>O367*'used Standard Values'!B362</f>
        <v>6.0093665763955956E-7</v>
      </c>
      <c r="T367" s="45">
        <f>O367*'used Standard Values'!C362</f>
        <v>2.1700921651662702E-7</v>
      </c>
      <c r="U367" s="45">
        <f>O367*'used Standard Values'!D362</f>
        <v>0</v>
      </c>
    </row>
    <row r="368" spans="9:21" x14ac:dyDescent="0.3">
      <c r="I368" s="17"/>
      <c r="J368" s="17"/>
      <c r="K368" s="17"/>
      <c r="L368" s="17"/>
      <c r="M368" s="17"/>
      <c r="N368" s="52">
        <v>738</v>
      </c>
      <c r="O368" s="53">
        <v>6.9332276746622871E-4</v>
      </c>
      <c r="P368" s="49">
        <f t="shared" si="12"/>
        <v>0.39300477958223345</v>
      </c>
      <c r="Q368" s="17"/>
      <c r="R368" s="46">
        <f t="shared" si="13"/>
        <v>738</v>
      </c>
      <c r="S368" s="45">
        <f>O368*'used Standard Values'!B363</f>
        <v>5.5517841404541287E-7</v>
      </c>
      <c r="T368" s="45">
        <f>O368*'used Standard Values'!C363</f>
        <v>2.0048509404803252E-7</v>
      </c>
      <c r="U368" s="45">
        <f>O368*'used Standard Values'!D363</f>
        <v>0</v>
      </c>
    </row>
    <row r="369" spans="9:21" x14ac:dyDescent="0.3">
      <c r="I369" s="17"/>
      <c r="J369" s="17"/>
      <c r="K369" s="17"/>
      <c r="L369" s="17"/>
      <c r="M369" s="17"/>
      <c r="N369" s="52">
        <v>739</v>
      </c>
      <c r="O369" s="53">
        <v>6.8990635058746141E-4</v>
      </c>
      <c r="P369" s="49">
        <f t="shared" si="12"/>
        <v>0.39106820945154558</v>
      </c>
      <c r="Q369" s="17"/>
      <c r="R369" s="46">
        <f t="shared" si="13"/>
        <v>739</v>
      </c>
      <c r="S369" s="45">
        <f>O369*'used Standard Values'!B364</f>
        <v>5.128736214013165E-7</v>
      </c>
      <c r="T369" s="45">
        <f>O369*'used Standard Values'!C364</f>
        <v>1.8520805044997132E-7</v>
      </c>
      <c r="U369" s="45">
        <f>O369*'used Standard Values'!D364</f>
        <v>0</v>
      </c>
    </row>
    <row r="370" spans="9:21" x14ac:dyDescent="0.3">
      <c r="I370" s="17"/>
      <c r="J370" s="17"/>
      <c r="K370" s="17"/>
      <c r="L370" s="17"/>
      <c r="M370" s="17"/>
      <c r="N370" s="52">
        <v>740</v>
      </c>
      <c r="O370" s="53">
        <v>6.8651131010282612E-4</v>
      </c>
      <c r="P370" s="49">
        <f t="shared" si="12"/>
        <v>0.38914375636858545</v>
      </c>
      <c r="Q370" s="17"/>
      <c r="R370" s="46">
        <f t="shared" si="13"/>
        <v>740</v>
      </c>
      <c r="S370" s="45">
        <f>O370*'used Standard Values'!B365</f>
        <v>4.7374676375992411E-7</v>
      </c>
      <c r="T370" s="45">
        <f>O370*'used Standard Values'!C365</f>
        <v>1.7107861847762426E-7</v>
      </c>
      <c r="U370" s="45">
        <f>O370*'used Standard Values'!D365</f>
        <v>0</v>
      </c>
    </row>
    <row r="371" spans="9:21" x14ac:dyDescent="0.3">
      <c r="I371" s="17"/>
      <c r="J371" s="17"/>
      <c r="K371" s="17"/>
      <c r="L371" s="17"/>
      <c r="M371" s="17"/>
      <c r="N371" s="52">
        <v>741</v>
      </c>
      <c r="O371" s="53">
        <v>6.8309187394119733E-4</v>
      </c>
      <c r="P371" s="49">
        <f t="shared" si="12"/>
        <v>0.38720547478018813</v>
      </c>
      <c r="Q371" s="17"/>
      <c r="R371" s="46">
        <f t="shared" si="13"/>
        <v>741</v>
      </c>
      <c r="S371" s="45">
        <f>O371*'used Standard Values'!B366</f>
        <v>4.3753100149257036E-7</v>
      </c>
      <c r="T371" s="45">
        <f>O371*'used Standard Values'!C366</f>
        <v>1.5800044831715944E-7</v>
      </c>
      <c r="U371" s="45">
        <f>O371*'used Standard Values'!D366</f>
        <v>0</v>
      </c>
    </row>
    <row r="372" spans="9:21" x14ac:dyDescent="0.3">
      <c r="I372" s="17"/>
      <c r="J372" s="17"/>
      <c r="K372" s="17"/>
      <c r="L372" s="17"/>
      <c r="M372" s="17"/>
      <c r="N372" s="52">
        <v>742</v>
      </c>
      <c r="O372" s="53">
        <v>6.7974203351930105E-4</v>
      </c>
      <c r="P372" s="49">
        <f t="shared" si="12"/>
        <v>0.38530664301175477</v>
      </c>
      <c r="Q372" s="17"/>
      <c r="R372" s="46">
        <f t="shared" si="13"/>
        <v>742</v>
      </c>
      <c r="S372" s="45">
        <f>O372*'used Standard Values'!B367</f>
        <v>4.0410806638549487E-7</v>
      </c>
      <c r="T372" s="45">
        <f>O372*'used Standard Values'!C367</f>
        <v>1.4593082631131125E-7</v>
      </c>
      <c r="U372" s="45">
        <f>O372*'used Standard Values'!D367</f>
        <v>0</v>
      </c>
    </row>
    <row r="373" spans="9:21" x14ac:dyDescent="0.3">
      <c r="I373" s="17"/>
      <c r="J373" s="17"/>
      <c r="K373" s="17"/>
      <c r="L373" s="17"/>
      <c r="M373" s="17"/>
      <c r="N373" s="52">
        <v>743</v>
      </c>
      <c r="O373" s="53">
        <v>6.7649584452509151E-4</v>
      </c>
      <c r="P373" s="49">
        <f t="shared" si="12"/>
        <v>0.38346656527305029</v>
      </c>
      <c r="Q373" s="17"/>
      <c r="R373" s="46">
        <f t="shared" si="13"/>
        <v>743</v>
      </c>
      <c r="S373" s="45">
        <f>O373*'used Standard Values'!B368</f>
        <v>3.733341086405018E-7</v>
      </c>
      <c r="T373" s="45">
        <f>O373*'used Standard Values'!C368</f>
        <v>1.3481777446205423E-7</v>
      </c>
      <c r="U373" s="45">
        <f>O373*'used Standard Values'!D368</f>
        <v>0</v>
      </c>
    </row>
    <row r="374" spans="9:21" x14ac:dyDescent="0.3">
      <c r="I374" s="17"/>
      <c r="J374" s="17"/>
      <c r="K374" s="17"/>
      <c r="L374" s="17"/>
      <c r="M374" s="17"/>
      <c r="N374" s="52">
        <v>744</v>
      </c>
      <c r="O374" s="53">
        <v>6.7321503460989526E-4</v>
      </c>
      <c r="P374" s="49">
        <f t="shared" si="12"/>
        <v>0.38160686292650114</v>
      </c>
      <c r="Q374" s="17"/>
      <c r="R374" s="46">
        <f t="shared" si="13"/>
        <v>744</v>
      </c>
      <c r="S374" s="45">
        <f>O374*'used Standard Values'!B369</f>
        <v>3.4497490697011404E-7</v>
      </c>
      <c r="T374" s="45">
        <f>O374*'used Standard Values'!C369</f>
        <v>1.2457675911697461E-7</v>
      </c>
      <c r="U374" s="45">
        <f>O374*'used Standard Values'!D369</f>
        <v>0</v>
      </c>
    </row>
    <row r="375" spans="9:21" x14ac:dyDescent="0.3">
      <c r="I375" s="17"/>
      <c r="J375" s="17"/>
      <c r="K375" s="17"/>
      <c r="L375" s="17"/>
      <c r="M375" s="17"/>
      <c r="N375" s="52">
        <v>745</v>
      </c>
      <c r="O375" s="53">
        <v>6.6999791056030226E-4</v>
      </c>
      <c r="P375" s="49">
        <f t="shared" si="12"/>
        <v>0.37978326043235605</v>
      </c>
      <c r="Q375" s="17"/>
      <c r="R375" s="46">
        <f t="shared" si="13"/>
        <v>745</v>
      </c>
      <c r="S375" s="45">
        <f>O375*'used Standard Values'!B370</f>
        <v>3.1893327638219883E-7</v>
      </c>
      <c r="T375" s="45">
        <f>O375*'used Standard Values'!C370</f>
        <v>1.1517264082531596E-7</v>
      </c>
      <c r="U375" s="45">
        <f>O375*'used Standard Values'!D370</f>
        <v>0</v>
      </c>
    </row>
    <row r="376" spans="9:21" x14ac:dyDescent="0.3">
      <c r="I376" s="17"/>
      <c r="J376" s="17"/>
      <c r="K376" s="17"/>
      <c r="L376" s="17"/>
      <c r="M376" s="17"/>
      <c r="N376" s="52">
        <v>746</v>
      </c>
      <c r="O376" s="53">
        <v>6.6682165998991553E-4</v>
      </c>
      <c r="P376" s="49">
        <f t="shared" si="12"/>
        <v>0.37798282676150652</v>
      </c>
      <c r="Q376" s="17"/>
      <c r="R376" s="46">
        <f t="shared" si="13"/>
        <v>746</v>
      </c>
      <c r="S376" s="45">
        <f>O376*'used Standard Values'!B371</f>
        <v>2.9503764402051408E-7</v>
      </c>
      <c r="T376" s="45">
        <f>O376*'used Standard Values'!C371</f>
        <v>1.0654349787203472E-7</v>
      </c>
      <c r="U376" s="45">
        <f>O376*'used Standard Values'!D371</f>
        <v>0</v>
      </c>
    </row>
    <row r="377" spans="9:21" x14ac:dyDescent="0.3">
      <c r="I377" s="17"/>
      <c r="J377" s="17"/>
      <c r="K377" s="17"/>
      <c r="L377" s="17"/>
      <c r="M377" s="17"/>
      <c r="N377" s="52">
        <v>747</v>
      </c>
      <c r="O377" s="53">
        <v>6.6368717241502132E-4</v>
      </c>
      <c r="P377" s="49">
        <f t="shared" si="12"/>
        <v>0.37620606612954793</v>
      </c>
      <c r="Q377" s="17"/>
      <c r="R377" s="46">
        <f t="shared" si="13"/>
        <v>747</v>
      </c>
      <c r="S377" s="45">
        <f>O377*'used Standard Values'!B372</f>
        <v>2.7311503658869853E-7</v>
      </c>
      <c r="T377" s="45">
        <f>O377*'used Standard Values'!C372</f>
        <v>9.8626834044430789E-8</v>
      </c>
      <c r="U377" s="45">
        <f>O377*'used Standard Values'!D372</f>
        <v>0</v>
      </c>
    </row>
    <row r="378" spans="9:21" x14ac:dyDescent="0.3">
      <c r="I378" s="17"/>
      <c r="J378" s="17"/>
      <c r="K378" s="17"/>
      <c r="L378" s="17"/>
      <c r="M378" s="17"/>
      <c r="N378" s="52">
        <v>748</v>
      </c>
      <c r="O378" s="53">
        <v>6.6054094301925821E-4</v>
      </c>
      <c r="P378" s="49">
        <f t="shared" si="12"/>
        <v>0.37442264973502248</v>
      </c>
      <c r="Q378" s="17"/>
      <c r="R378" s="46">
        <f t="shared" si="13"/>
        <v>748</v>
      </c>
      <c r="S378" s="45">
        <f>O378*'used Standard Values'!B373</f>
        <v>2.5297489511483574E-7</v>
      </c>
      <c r="T378" s="45">
        <f>O378*'used Standard Values'!C373</f>
        <v>9.1353869285072247E-8</v>
      </c>
      <c r="U378" s="45">
        <f>O378*'used Standard Values'!D373</f>
        <v>0</v>
      </c>
    </row>
    <row r="379" spans="9:21" x14ac:dyDescent="0.3">
      <c r="I379" s="17"/>
      <c r="J379" s="17"/>
      <c r="K379" s="17"/>
      <c r="L379" s="17"/>
      <c r="M379" s="17"/>
      <c r="N379" s="52">
        <v>749</v>
      </c>
      <c r="O379" s="53">
        <v>6.5757761629148931E-4</v>
      </c>
      <c r="P379" s="49">
        <f t="shared" si="12"/>
        <v>0.37274291033783952</v>
      </c>
      <c r="Q379" s="17"/>
      <c r="R379" s="46">
        <f t="shared" si="13"/>
        <v>749</v>
      </c>
      <c r="S379" s="45">
        <f>O379*'used Standard Values'!B374</f>
        <v>2.34524465030505E-7</v>
      </c>
      <c r="T379" s="45">
        <f>O379*'used Standard Values'!C374</f>
        <v>8.4691065146221641E-8</v>
      </c>
      <c r="U379" s="45">
        <f>O379*'used Standard Values'!D374</f>
        <v>0</v>
      </c>
    </row>
    <row r="380" spans="9:21" x14ac:dyDescent="0.3">
      <c r="I380" s="17"/>
      <c r="J380" s="17"/>
      <c r="K380" s="17"/>
      <c r="L380" s="17"/>
      <c r="M380" s="17"/>
      <c r="N380" s="52">
        <v>750</v>
      </c>
      <c r="O380" s="53">
        <v>6.5442865245677467E-4</v>
      </c>
      <c r="P380" s="49">
        <f t="shared" si="12"/>
        <v>0.37095794394722587</v>
      </c>
      <c r="Q380" s="17"/>
      <c r="R380" s="46">
        <f t="shared" si="13"/>
        <v>750</v>
      </c>
      <c r="S380" s="45">
        <f>O380*'used Standard Values'!B375</f>
        <v>2.1746736108290392E-7</v>
      </c>
      <c r="T380" s="45">
        <f>O380*'used Standard Values'!C375</f>
        <v>7.8531438294812958E-8</v>
      </c>
      <c r="U380" s="45">
        <f>O380*'used Standard Values'!D375</f>
        <v>0</v>
      </c>
    </row>
    <row r="381" spans="9:21" x14ac:dyDescent="0.3">
      <c r="I381" s="17"/>
      <c r="J381" s="17"/>
      <c r="K381" s="17"/>
      <c r="L381" s="17"/>
      <c r="M381" s="17"/>
      <c r="N381" s="52">
        <v>751</v>
      </c>
      <c r="O381" s="53">
        <v>6.514986897964265E-4</v>
      </c>
      <c r="P381" s="49">
        <f t="shared" si="12"/>
        <v>0.36929711671992677</v>
      </c>
      <c r="Q381" s="17"/>
      <c r="R381" s="46">
        <f t="shared" si="13"/>
        <v>751</v>
      </c>
      <c r="S381" s="45">
        <f>O381*'used Standard Values'!B376</f>
        <v>2.0180732205317538E-7</v>
      </c>
      <c r="T381" s="45">
        <f>O381*'used Standard Values'!C376</f>
        <v>7.287631769128337E-8</v>
      </c>
      <c r="U381" s="45">
        <f>O381*'used Standard Values'!D376</f>
        <v>0</v>
      </c>
    </row>
    <row r="382" spans="9:21" x14ac:dyDescent="0.3">
      <c r="I382" s="17"/>
      <c r="J382" s="17"/>
      <c r="K382" s="17"/>
      <c r="L382" s="17"/>
      <c r="M382" s="17"/>
      <c r="N382" s="52">
        <v>752</v>
      </c>
      <c r="O382" s="53">
        <v>6.4850899364665509E-4</v>
      </c>
      <c r="P382" s="49">
        <f t="shared" si="12"/>
        <v>0.36760243001484028</v>
      </c>
      <c r="Q382" s="17"/>
      <c r="R382" s="46">
        <f t="shared" si="13"/>
        <v>752</v>
      </c>
      <c r="S382" s="45">
        <f>O382*'used Standard Values'!B377</f>
        <v>1.8734588249850063E-7</v>
      </c>
      <c r="T382" s="45">
        <f>O382*'used Standard Values'!C377</f>
        <v>6.765401463880381E-8</v>
      </c>
      <c r="U382" s="45">
        <f>O382*'used Standard Values'!D377</f>
        <v>0</v>
      </c>
    </row>
    <row r="383" spans="9:21" x14ac:dyDescent="0.3">
      <c r="I383" s="17"/>
      <c r="J383" s="17"/>
      <c r="K383" s="17"/>
      <c r="L383" s="17"/>
      <c r="M383" s="17"/>
      <c r="N383" s="52">
        <v>753</v>
      </c>
      <c r="O383" s="53">
        <v>6.4567152832556516E-4</v>
      </c>
      <c r="P383" s="49">
        <f t="shared" si="12"/>
        <v>0.36599403420640247</v>
      </c>
      <c r="Q383" s="17"/>
      <c r="R383" s="46">
        <f t="shared" si="13"/>
        <v>753</v>
      </c>
      <c r="S383" s="45">
        <f>O383*'used Standard Values'!B378</f>
        <v>1.7403391634195582E-7</v>
      </c>
      <c r="T383" s="45">
        <f>O383*'used Standard Values'!C378</f>
        <v>6.2846825612485879E-8</v>
      </c>
      <c r="U383" s="45">
        <f>O383*'used Standard Values'!D378</f>
        <v>0</v>
      </c>
    </row>
    <row r="384" spans="9:21" x14ac:dyDescent="0.3">
      <c r="I384" s="17"/>
      <c r="J384" s="17"/>
      <c r="K384" s="17"/>
      <c r="L384" s="17"/>
      <c r="M384" s="17"/>
      <c r="N384" s="52">
        <v>754</v>
      </c>
      <c r="O384" s="53">
        <v>6.4272804275271214E-4</v>
      </c>
      <c r="P384" s="49">
        <f t="shared" si="12"/>
        <v>0.36432554161818104</v>
      </c>
      <c r="Q384" s="17"/>
      <c r="R384" s="46">
        <f t="shared" si="13"/>
        <v>754</v>
      </c>
      <c r="S384" s="45">
        <f>O384*'used Standard Values'!B379</f>
        <v>1.6168993680482283E-7</v>
      </c>
      <c r="T384" s="45">
        <f>O384*'used Standard Values'!C379</f>
        <v>5.8389188217267327E-8</v>
      </c>
      <c r="U384" s="45">
        <f>O384*'used Standard Values'!D379</f>
        <v>0</v>
      </c>
    </row>
    <row r="385" spans="9:21" x14ac:dyDescent="0.3">
      <c r="I385" s="17"/>
      <c r="J385" s="17"/>
      <c r="K385" s="17"/>
      <c r="L385" s="17"/>
      <c r="M385" s="17"/>
      <c r="N385" s="52">
        <v>755</v>
      </c>
      <c r="O385" s="53">
        <v>6.3986899327778297E-4</v>
      </c>
      <c r="P385" s="49">
        <f t="shared" si="12"/>
        <v>0.36270491099499302</v>
      </c>
      <c r="Q385" s="17"/>
      <c r="R385" s="46">
        <f t="shared" si="13"/>
        <v>755</v>
      </c>
      <c r="S385" s="45">
        <f>O385*'used Standard Values'!B380</f>
        <v>1.5025794020234798E-7</v>
      </c>
      <c r="T385" s="45">
        <f>O385*'used Standard Values'!C380</f>
        <v>5.4260890629955995E-8</v>
      </c>
      <c r="U385" s="45">
        <f>O385*'used Standard Values'!D380</f>
        <v>0</v>
      </c>
    </row>
    <row r="386" spans="9:21" x14ac:dyDescent="0.3">
      <c r="I386" s="17"/>
      <c r="J386" s="17"/>
      <c r="K386" s="17"/>
      <c r="L386" s="17"/>
      <c r="M386" s="17"/>
      <c r="N386" s="52">
        <v>756</v>
      </c>
      <c r="O386" s="53">
        <v>6.3705293503090203E-4</v>
      </c>
      <c r="P386" s="49">
        <f t="shared" si="12"/>
        <v>0.36110864962505312</v>
      </c>
      <c r="Q386" s="17"/>
      <c r="R386" s="46">
        <f t="shared" si="13"/>
        <v>756</v>
      </c>
      <c r="S386" s="45">
        <f>O386*'used Standard Values'!B381</f>
        <v>1.3962352882365782E-7</v>
      </c>
      <c r="T386" s="45">
        <f>O386*'used Standard Values'!C381</f>
        <v>5.042061842142224E-8</v>
      </c>
      <c r="U386" s="45">
        <f>O386*'used Standard Values'!D381</f>
        <v>0</v>
      </c>
    </row>
    <row r="387" spans="9:21" x14ac:dyDescent="0.3">
      <c r="I387" s="17"/>
      <c r="J387" s="17"/>
      <c r="K387" s="17"/>
      <c r="L387" s="17"/>
      <c r="M387" s="17"/>
      <c r="N387" s="52">
        <v>757</v>
      </c>
      <c r="O387" s="53">
        <v>6.3424440678646276E-4</v>
      </c>
      <c r="P387" s="49">
        <f t="shared" si="12"/>
        <v>0.359516656580183</v>
      </c>
      <c r="Q387" s="17"/>
      <c r="R387" s="46">
        <f t="shared" si="13"/>
        <v>757</v>
      </c>
      <c r="S387" s="45">
        <f>O387*'used Standard Values'!B382</f>
        <v>1.2971934469352673E-7</v>
      </c>
      <c r="T387" s="45">
        <f>O387*'used Standard Values'!C382</f>
        <v>4.6844023396434564E-8</v>
      </c>
      <c r="U387" s="45">
        <f>O387*'used Standard Values'!D382</f>
        <v>0</v>
      </c>
    </row>
    <row r="388" spans="9:21" x14ac:dyDescent="0.3">
      <c r="I388" s="17"/>
      <c r="J388" s="17"/>
      <c r="K388" s="17"/>
      <c r="L388" s="17"/>
      <c r="M388" s="17"/>
      <c r="N388" s="52">
        <v>758</v>
      </c>
      <c r="O388" s="53">
        <v>6.3159965352128987E-4</v>
      </c>
      <c r="P388" s="49">
        <f t="shared" si="12"/>
        <v>0.35801749814661937</v>
      </c>
      <c r="Q388" s="17"/>
      <c r="R388" s="46">
        <f t="shared" si="13"/>
        <v>758</v>
      </c>
      <c r="S388" s="45">
        <f>O388*'used Standard Values'!B383</f>
        <v>1.205347936778297E-7</v>
      </c>
      <c r="T388" s="45">
        <f>O388*'used Standard Values'!C383</f>
        <v>4.3527321722073217E-8</v>
      </c>
      <c r="U388" s="45">
        <f>O388*'used Standard Values'!D383</f>
        <v>0</v>
      </c>
    </row>
    <row r="389" spans="9:21" x14ac:dyDescent="0.3">
      <c r="I389" s="17"/>
      <c r="J389" s="17"/>
      <c r="K389" s="17"/>
      <c r="L389" s="17"/>
      <c r="M389" s="17"/>
      <c r="N389" s="52">
        <v>759</v>
      </c>
      <c r="O389" s="53">
        <v>6.287903500386999E-4</v>
      </c>
      <c r="P389" s="49">
        <f t="shared" si="12"/>
        <v>0.35642506566385274</v>
      </c>
      <c r="Q389" s="17"/>
      <c r="R389" s="46">
        <f t="shared" si="13"/>
        <v>759</v>
      </c>
      <c r="S389" s="45">
        <f>O389*'used Standard Values'!B384</f>
        <v>1.1196580519578112E-7</v>
      </c>
      <c r="T389" s="45">
        <f>O389*'used Standard Values'!C384</f>
        <v>4.043289837772301E-8</v>
      </c>
      <c r="U389" s="45">
        <f>O389*'used Standard Values'!D384</f>
        <v>0</v>
      </c>
    </row>
    <row r="390" spans="9:21" x14ac:dyDescent="0.3">
      <c r="I390" s="17"/>
      <c r="J390" s="17"/>
      <c r="K390" s="17"/>
      <c r="L390" s="17"/>
      <c r="M390" s="17"/>
      <c r="N390" s="52">
        <v>760</v>
      </c>
      <c r="O390" s="53">
        <v>6.261262868575044E-4</v>
      </c>
      <c r="P390" s="49">
        <f t="shared" si="12"/>
        <v>0.35491496155008601</v>
      </c>
      <c r="Q390" s="17"/>
      <c r="R390" s="46">
        <f t="shared" si="13"/>
        <v>760</v>
      </c>
      <c r="S390" s="45">
        <f>O390*'used Standard Values'!B385</f>
        <v>1.040311956245178E-7</v>
      </c>
      <c r="T390" s="45">
        <f>O390*'used Standard Values'!C385</f>
        <v>3.7567577211450264E-8</v>
      </c>
      <c r="U390" s="45">
        <f>O390*'used Standard Values'!D385</f>
        <v>0</v>
      </c>
    </row>
    <row r="391" spans="9:21" x14ac:dyDescent="0.3">
      <c r="I391" s="17"/>
      <c r="J391" s="17"/>
      <c r="K391" s="17"/>
      <c r="L391" s="17"/>
      <c r="M391" s="17"/>
      <c r="N391" s="52">
        <v>761</v>
      </c>
      <c r="O391" s="53">
        <v>6.2343010843209892E-4</v>
      </c>
      <c r="P391" s="49">
        <f t="shared" si="12"/>
        <v>0.35338665315245005</v>
      </c>
      <c r="Q391" s="17"/>
      <c r="R391" s="46">
        <f t="shared" si="13"/>
        <v>761</v>
      </c>
      <c r="S391" s="45">
        <f>O391*'used Standard Values'!B386</f>
        <v>9.6646379757534323E-8</v>
      </c>
      <c r="T391" s="45">
        <f>O391*'used Standard Values'!C386</f>
        <v>3.4900783284331665E-8</v>
      </c>
      <c r="U391" s="45">
        <f>O391*'used Standard Values'!D386</f>
        <v>0</v>
      </c>
    </row>
    <row r="392" spans="9:21" x14ac:dyDescent="0.3">
      <c r="I392" s="17"/>
      <c r="J392" s="17"/>
      <c r="K392" s="17"/>
      <c r="L392" s="17"/>
      <c r="M392" s="17"/>
      <c r="N392" s="52">
        <v>762</v>
      </c>
      <c r="O392" s="53">
        <v>6.2093246612930587E-4</v>
      </c>
      <c r="P392" s="49">
        <f t="shared" si="12"/>
        <v>0.35197088345795163</v>
      </c>
      <c r="Q392" s="17"/>
      <c r="R392" s="46">
        <f t="shared" si="13"/>
        <v>762</v>
      </c>
      <c r="S392" s="45">
        <f>O392*'used Standard Values'!B387</f>
        <v>8.9800433023305866E-8</v>
      </c>
      <c r="T392" s="45">
        <f>O392*'used Standard Values'!C387</f>
        <v>3.2428570603082675E-8</v>
      </c>
      <c r="U392" s="45">
        <f>O392*'used Standard Values'!D387</f>
        <v>0</v>
      </c>
    </row>
    <row r="393" spans="9:21" x14ac:dyDescent="0.3">
      <c r="I393" s="17"/>
      <c r="J393" s="17"/>
      <c r="K393" s="17"/>
      <c r="L393" s="17"/>
      <c r="M393" s="17"/>
      <c r="N393" s="52">
        <v>763</v>
      </c>
      <c r="O393" s="53">
        <v>6.1832413258471855E-4</v>
      </c>
      <c r="P393" s="49">
        <f t="shared" si="12"/>
        <v>0.35049236926821331</v>
      </c>
      <c r="Q393" s="17"/>
      <c r="R393" s="46">
        <f t="shared" si="13"/>
        <v>763</v>
      </c>
      <c r="S393" s="45">
        <f>O393*'used Standard Values'!B388</f>
        <v>8.3417985062177868E-8</v>
      </c>
      <c r="T393" s="45">
        <f>O393*'used Standard Values'!C388</f>
        <v>3.012376242091535E-8</v>
      </c>
      <c r="U393" s="45">
        <f>O393*'used Standard Values'!D388</f>
        <v>0</v>
      </c>
    </row>
    <row r="394" spans="9:21" x14ac:dyDescent="0.3">
      <c r="I394" s="17"/>
      <c r="J394" s="17"/>
      <c r="K394" s="17"/>
      <c r="L394" s="17"/>
      <c r="M394" s="17"/>
      <c r="N394" s="52">
        <v>764</v>
      </c>
      <c r="O394" s="53">
        <v>6.1586075107236053E-4</v>
      </c>
      <c r="P394" s="49">
        <f t="shared" ref="P394:P457" si="14">O394/MAX($O$10:$O$630)</f>
        <v>0.34909602004427359</v>
      </c>
      <c r="Q394" s="17"/>
      <c r="R394" s="46">
        <f t="shared" ref="R394:R410" si="15">N394</f>
        <v>764</v>
      </c>
      <c r="S394" s="45">
        <f>O394*'used Standard Values'!B389</f>
        <v>7.7507307243958719E-8</v>
      </c>
      <c r="T394" s="45">
        <f>O394*'used Standard Values'!C389</f>
        <v>2.7989313008538572E-8</v>
      </c>
      <c r="U394" s="45">
        <f>O394*'used Standard Values'!D389</f>
        <v>0</v>
      </c>
    </row>
    <row r="395" spans="9:21" x14ac:dyDescent="0.3">
      <c r="I395" s="17"/>
      <c r="J395" s="17"/>
      <c r="K395" s="17"/>
      <c r="L395" s="17"/>
      <c r="M395" s="17"/>
      <c r="N395" s="52">
        <v>765</v>
      </c>
      <c r="O395" s="53">
        <v>6.1337830673183604E-4</v>
      </c>
      <c r="P395" s="49">
        <f t="shared" si="14"/>
        <v>0.34768886520001768</v>
      </c>
      <c r="Q395" s="17"/>
      <c r="R395" s="46">
        <f t="shared" si="15"/>
        <v>765</v>
      </c>
      <c r="S395" s="45">
        <f>O395*'used Standard Values'!B390</f>
        <v>7.2018587128305059E-8</v>
      </c>
      <c r="T395" s="45">
        <f>O395*'used Standard Values'!C390</f>
        <v>2.6007240205429848E-8</v>
      </c>
      <c r="U395" s="45">
        <f>O395*'used Standard Values'!D390</f>
        <v>0</v>
      </c>
    </row>
    <row r="396" spans="9:21" x14ac:dyDescent="0.3">
      <c r="I396" s="17"/>
      <c r="J396" s="17"/>
      <c r="K396" s="17"/>
      <c r="L396" s="17"/>
      <c r="M396" s="17"/>
      <c r="N396" s="52">
        <v>766</v>
      </c>
      <c r="O396" s="53">
        <v>6.1091541321799678E-4</v>
      </c>
      <c r="P396" s="49">
        <f t="shared" si="14"/>
        <v>0.34629279259435636</v>
      </c>
      <c r="Q396" s="17"/>
      <c r="R396" s="46">
        <f t="shared" si="15"/>
        <v>766</v>
      </c>
      <c r="S396" s="45">
        <f>O396*'used Standard Values'!B391</f>
        <v>6.6926699891151381E-8</v>
      </c>
      <c r="T396" s="45">
        <f>O396*'used Standard Values'!C391</f>
        <v>2.4168449098933699E-8</v>
      </c>
      <c r="U396" s="45">
        <f>O396*'used Standard Values'!D391</f>
        <v>0</v>
      </c>
    </row>
    <row r="397" spans="9:21" x14ac:dyDescent="0.3">
      <c r="I397" s="17"/>
      <c r="J397" s="17"/>
      <c r="K397" s="17"/>
      <c r="L397" s="17"/>
      <c r="M397" s="17"/>
      <c r="N397" s="52">
        <v>767</v>
      </c>
      <c r="O397" s="53">
        <v>6.0848637485869247E-4</v>
      </c>
      <c r="P397" s="49">
        <f t="shared" si="14"/>
        <v>0.34491591052760429</v>
      </c>
      <c r="Q397" s="17"/>
      <c r="R397" s="46">
        <f t="shared" si="15"/>
        <v>767</v>
      </c>
      <c r="S397" s="45">
        <f>O397*'used Standard Values'!B392</f>
        <v>6.2202215426742401E-8</v>
      </c>
      <c r="T397" s="45">
        <f>O397*'used Standard Values'!C392</f>
        <v>2.2462347546273618E-8</v>
      </c>
      <c r="U397" s="45">
        <f>O397*'used Standard Values'!D392</f>
        <v>0</v>
      </c>
    </row>
    <row r="398" spans="9:21" x14ac:dyDescent="0.3">
      <c r="I398" s="17"/>
      <c r="J398" s="17"/>
      <c r="K398" s="17"/>
      <c r="L398" s="17"/>
      <c r="M398" s="17"/>
      <c r="N398" s="52">
        <v>768</v>
      </c>
      <c r="O398" s="53">
        <v>6.0609200498478745E-4</v>
      </c>
      <c r="P398" s="49">
        <f t="shared" si="14"/>
        <v>0.34355868003022527</v>
      </c>
      <c r="Q398" s="17"/>
      <c r="R398" s="46">
        <f t="shared" si="15"/>
        <v>768</v>
      </c>
      <c r="S398" s="45">
        <f>O398*'used Standard Values'!B393</f>
        <v>5.7817813464921064E-8</v>
      </c>
      <c r="T398" s="45">
        <f>O398*'used Standard Values'!C393</f>
        <v>2.0879069530279349E-8</v>
      </c>
      <c r="U398" s="45">
        <f>O398*'used Standard Values'!D393</f>
        <v>0</v>
      </c>
    </row>
    <row r="399" spans="9:21" x14ac:dyDescent="0.3">
      <c r="I399" s="17"/>
      <c r="J399" s="17"/>
      <c r="K399" s="17"/>
      <c r="L399" s="17"/>
      <c r="M399" s="17"/>
      <c r="N399" s="52">
        <v>769</v>
      </c>
      <c r="O399" s="53">
        <v>6.0377759891859701E-4</v>
      </c>
      <c r="P399" s="49">
        <f t="shared" si="14"/>
        <v>0.34224677641391821</v>
      </c>
      <c r="Q399" s="17"/>
      <c r="R399" s="46">
        <f t="shared" si="15"/>
        <v>769</v>
      </c>
      <c r="S399" s="45">
        <f>O399*'used Standard Values'!B394</f>
        <v>5.3750636588369287E-8</v>
      </c>
      <c r="T399" s="45">
        <f>O399*'used Standard Values'!C394</f>
        <v>1.9410338854450886E-8</v>
      </c>
      <c r="U399" s="45">
        <f>O399*'used Standard Values'!D394</f>
        <v>0</v>
      </c>
    </row>
    <row r="400" spans="9:21" x14ac:dyDescent="0.3">
      <c r="I400" s="17"/>
      <c r="J400" s="17"/>
      <c r="K400" s="17"/>
      <c r="L400" s="17"/>
      <c r="M400" s="17"/>
      <c r="N400" s="52">
        <v>770</v>
      </c>
      <c r="O400" s="53">
        <v>6.0144905530885493E-4</v>
      </c>
      <c r="P400" s="49">
        <f t="shared" si="14"/>
        <v>0.34092685903771741</v>
      </c>
      <c r="Q400" s="17"/>
      <c r="R400" s="46">
        <f t="shared" si="15"/>
        <v>770</v>
      </c>
      <c r="S400" s="45">
        <f>O400*'used Standard Values'!B395</f>
        <v>4.9965542661028057E-8</v>
      </c>
      <c r="T400" s="45">
        <f>O400*'used Standard Values'!C395</f>
        <v>1.8043471659265648E-8</v>
      </c>
      <c r="U400" s="45">
        <f>O400*'used Standard Values'!D395</f>
        <v>0</v>
      </c>
    </row>
    <row r="401" spans="9:21" x14ac:dyDescent="0.3">
      <c r="I401" s="17"/>
      <c r="J401" s="17"/>
      <c r="K401" s="17"/>
      <c r="L401" s="17"/>
      <c r="M401" s="17"/>
      <c r="N401" s="52">
        <v>771</v>
      </c>
      <c r="O401" s="53">
        <v>5.9925358910074974E-4</v>
      </c>
      <c r="P401" s="49">
        <f t="shared" si="14"/>
        <v>0.33968237558255859</v>
      </c>
      <c r="Q401" s="17"/>
      <c r="R401" s="46">
        <f t="shared" si="15"/>
        <v>771</v>
      </c>
      <c r="S401" s="45">
        <f>O401*'used Standard Values'!B396</f>
        <v>4.644975768335379E-8</v>
      </c>
      <c r="T401" s="45">
        <f>O401*'used Standard Values'!C396</f>
        <v>1.6773857025916362E-8</v>
      </c>
      <c r="U401" s="45">
        <f>O401*'used Standard Values'!D396</f>
        <v>0</v>
      </c>
    </row>
    <row r="402" spans="9:21" x14ac:dyDescent="0.3">
      <c r="I402" s="17"/>
      <c r="J402" s="17"/>
      <c r="K402" s="17"/>
      <c r="L402" s="17"/>
      <c r="M402" s="17"/>
      <c r="N402" s="52">
        <v>772</v>
      </c>
      <c r="O402" s="53">
        <v>5.9700214307958042E-4</v>
      </c>
      <c r="P402" s="49">
        <f t="shared" si="14"/>
        <v>0.33840616039273502</v>
      </c>
      <c r="Q402" s="17"/>
      <c r="R402" s="46">
        <f t="shared" si="15"/>
        <v>772</v>
      </c>
      <c r="S402" s="45">
        <f>O402*'used Standard Values'!B397</f>
        <v>4.3171039852599422E-8</v>
      </c>
      <c r="T402" s="45">
        <f>O402*'used Standard Values'!C397</f>
        <v>1.558985128343721E-8</v>
      </c>
      <c r="U402" s="45">
        <f>O402*'used Standard Values'!D397</f>
        <v>0</v>
      </c>
    </row>
    <row r="403" spans="9:21" x14ac:dyDescent="0.3">
      <c r="I403" s="17"/>
      <c r="J403" s="17"/>
      <c r="K403" s="17"/>
      <c r="L403" s="17"/>
      <c r="M403" s="17"/>
      <c r="N403" s="52">
        <v>773</v>
      </c>
      <c r="O403" s="53">
        <v>5.9468590444511674E-4</v>
      </c>
      <c r="P403" s="49">
        <f t="shared" si="14"/>
        <v>0.33709321799892911</v>
      </c>
      <c r="Q403" s="17"/>
      <c r="R403" s="46">
        <f t="shared" si="15"/>
        <v>773</v>
      </c>
      <c r="S403" s="45">
        <f>O403*'used Standard Values'!B398</f>
        <v>4.0116190911159708E-8</v>
      </c>
      <c r="T403" s="45">
        <f>O403*'used Standard Values'!C398</f>
        <v>1.4486691356900112E-8</v>
      </c>
      <c r="U403" s="45">
        <f>O403*'used Standard Values'!D398</f>
        <v>0</v>
      </c>
    </row>
    <row r="404" spans="9:21" x14ac:dyDescent="0.3">
      <c r="I404" s="17"/>
      <c r="J404" s="17"/>
      <c r="K404" s="17"/>
      <c r="L404" s="17"/>
      <c r="M404" s="17"/>
      <c r="N404" s="52">
        <v>774</v>
      </c>
      <c r="O404" s="53">
        <v>5.9262882185037583E-4</v>
      </c>
      <c r="P404" s="49">
        <f t="shared" si="14"/>
        <v>0.33592717625089435</v>
      </c>
      <c r="Q404" s="17"/>
      <c r="R404" s="46">
        <f t="shared" si="15"/>
        <v>774</v>
      </c>
      <c r="S404" s="45">
        <f>O404*'used Standard Values'!B399</f>
        <v>3.7293207258082063E-8</v>
      </c>
      <c r="T404" s="45">
        <f>O404*'used Standard Values'!C399</f>
        <v>1.3467258851309269E-8</v>
      </c>
      <c r="U404" s="45">
        <f>O404*'used Standard Values'!D399</f>
        <v>0</v>
      </c>
    </row>
    <row r="405" spans="9:21" x14ac:dyDescent="0.3">
      <c r="I405" s="17"/>
      <c r="J405" s="17"/>
      <c r="K405" s="17"/>
      <c r="L405" s="17"/>
      <c r="M405" s="17"/>
      <c r="N405" s="52">
        <v>775</v>
      </c>
      <c r="O405" s="53">
        <v>5.9043772909733922E-4</v>
      </c>
      <c r="P405" s="49">
        <f t="shared" si="14"/>
        <v>0.33468517185574326</v>
      </c>
      <c r="Q405" s="17"/>
      <c r="R405" s="46">
        <f t="shared" si="15"/>
        <v>775</v>
      </c>
      <c r="S405" s="45">
        <f>O405*'used Standard Values'!B400</f>
        <v>3.4662544352007528E-8</v>
      </c>
      <c r="T405" s="45">
        <f>O405*'used Standard Values'!C400</f>
        <v>1.2517279856863592E-8</v>
      </c>
      <c r="U405" s="45">
        <f>O405*'used Standard Values'!D400</f>
        <v>0</v>
      </c>
    </row>
    <row r="406" spans="9:21" x14ac:dyDescent="0.3">
      <c r="I406" s="17"/>
      <c r="J406" s="17"/>
      <c r="K406" s="17"/>
      <c r="L406" s="17"/>
      <c r="M406" s="17"/>
      <c r="N406" s="52">
        <v>776</v>
      </c>
      <c r="O406" s="53">
        <v>5.8846233168904861E-4</v>
      </c>
      <c r="P406" s="49">
        <f t="shared" si="14"/>
        <v>0.33356543273932893</v>
      </c>
      <c r="Q406" s="17"/>
      <c r="R406" s="46">
        <f t="shared" si="15"/>
        <v>776</v>
      </c>
      <c r="S406" s="45">
        <f>O406*'used Standard Values'!B401</f>
        <v>3.2230246676062064E-8</v>
      </c>
      <c r="T406" s="45">
        <f>O406*'used Standard Values'!C401</f>
        <v>1.1638931650428433E-8</v>
      </c>
      <c r="U406" s="45">
        <f>O406*'used Standard Values'!D401</f>
        <v>0</v>
      </c>
    </row>
    <row r="407" spans="9:21" x14ac:dyDescent="0.3">
      <c r="I407" s="17"/>
      <c r="J407" s="17"/>
      <c r="K407" s="17"/>
      <c r="L407" s="17"/>
      <c r="M407" s="17"/>
      <c r="N407" s="52">
        <v>777</v>
      </c>
      <c r="O407" s="53">
        <v>5.8645856447664575E-4</v>
      </c>
      <c r="P407" s="49">
        <f t="shared" si="14"/>
        <v>0.33242961241350522</v>
      </c>
      <c r="Q407" s="17"/>
      <c r="R407" s="46">
        <f t="shared" si="15"/>
        <v>777</v>
      </c>
      <c r="S407" s="45">
        <f>O407*'used Standard Values'!B402</f>
        <v>2.9967551748733728E-8</v>
      </c>
      <c r="T407" s="45">
        <f>O407*'used Standard Values'!C402</f>
        <v>1.0821831921502873E-8</v>
      </c>
      <c r="U407" s="45">
        <f>O407*'used Standard Values'!D402</f>
        <v>0</v>
      </c>
    </row>
    <row r="408" spans="9:21" x14ac:dyDescent="0.3">
      <c r="I408" s="17"/>
      <c r="J408" s="17"/>
      <c r="K408" s="17"/>
      <c r="L408" s="17"/>
      <c r="M408" s="17"/>
      <c r="N408" s="52">
        <v>778</v>
      </c>
      <c r="O408" s="53">
        <v>5.8442362919015282E-4</v>
      </c>
      <c r="P408" s="49">
        <f t="shared" si="14"/>
        <v>0.33127612470004825</v>
      </c>
      <c r="Q408" s="17"/>
      <c r="R408" s="46">
        <f t="shared" si="15"/>
        <v>778</v>
      </c>
      <c r="S408" s="45">
        <f>O408*'used Standard Values'!B403</f>
        <v>2.7863296534029489E-8</v>
      </c>
      <c r="T408" s="45">
        <f>O408*'used Standard Values'!C403</f>
        <v>1.0061945648695066E-8</v>
      </c>
      <c r="U408" s="45">
        <f>O408*'used Standard Values'!D403</f>
        <v>0</v>
      </c>
    </row>
    <row r="409" spans="9:21" x14ac:dyDescent="0.3">
      <c r="I409" s="17"/>
      <c r="J409" s="17"/>
      <c r="K409" s="17"/>
      <c r="L409" s="17"/>
      <c r="M409" s="17"/>
      <c r="N409" s="52">
        <v>779</v>
      </c>
      <c r="O409" s="53">
        <v>5.82328212973467E-4</v>
      </c>
      <c r="P409" s="49">
        <f t="shared" si="14"/>
        <v>0.33008835382764323</v>
      </c>
      <c r="Q409" s="17"/>
      <c r="R409" s="46">
        <f t="shared" si="15"/>
        <v>779</v>
      </c>
      <c r="S409" s="45">
        <f>O409*'used Standard Values'!B404</f>
        <v>2.590526071402737E-8</v>
      </c>
      <c r="T409" s="45">
        <f>O409*'used Standard Values'!C404</f>
        <v>9.3548639868514295E-9</v>
      </c>
      <c r="U409" s="45">
        <f>O409*'used Standard Values'!D404</f>
        <v>0</v>
      </c>
    </row>
    <row r="410" spans="9:21" x14ac:dyDescent="0.3">
      <c r="I410" s="17"/>
      <c r="J410" s="17"/>
      <c r="K410" s="17"/>
      <c r="L410" s="17"/>
      <c r="M410" s="17"/>
      <c r="N410" s="52">
        <v>780</v>
      </c>
      <c r="O410" s="53">
        <v>5.8048860887417405E-4</v>
      </c>
      <c r="P410" s="49">
        <f t="shared" si="14"/>
        <v>0.32904558812386669</v>
      </c>
      <c r="Q410" s="17"/>
      <c r="R410" s="46">
        <f t="shared" si="15"/>
        <v>780</v>
      </c>
      <c r="S410" s="45">
        <f>O410*'used Standard Values'!B405</f>
        <v>2.4096047325050433E-8</v>
      </c>
      <c r="T410" s="45">
        <f>O410*'used Standard Values'!C405</f>
        <v>8.7015242470238692E-9</v>
      </c>
      <c r="U410" s="45">
        <f>O410*'used Standard Values'!D405</f>
        <v>0</v>
      </c>
    </row>
    <row r="411" spans="9:21" x14ac:dyDescent="0.3">
      <c r="I411" s="17"/>
      <c r="J411" s="17"/>
      <c r="K411" s="17"/>
      <c r="L411" s="17"/>
      <c r="M411" s="17"/>
      <c r="N411" s="52">
        <v>781</v>
      </c>
      <c r="O411" s="53">
        <v>5.7847653950977764E-4</v>
      </c>
      <c r="P411" s="49">
        <f t="shared" si="14"/>
        <v>0.32790506178582562</v>
      </c>
      <c r="Q411" s="17"/>
      <c r="R411" s="42"/>
      <c r="S411" s="45"/>
      <c r="T411" s="45"/>
      <c r="U411" s="45"/>
    </row>
    <row r="412" spans="9:21" x14ac:dyDescent="0.3">
      <c r="I412" s="17"/>
      <c r="J412" s="17"/>
      <c r="K412" s="17"/>
      <c r="L412" s="17"/>
      <c r="M412" s="17"/>
      <c r="N412" s="52">
        <v>782</v>
      </c>
      <c r="O412" s="53">
        <v>5.7657877298801735E-4</v>
      </c>
      <c r="P412" s="49">
        <f t="shared" si="14"/>
        <v>0.32682932715171198</v>
      </c>
      <c r="Q412" s="17"/>
      <c r="R412" s="47" t="s">
        <v>26</v>
      </c>
      <c r="S412" s="48">
        <f>SUM(S10:S410)</f>
        <v>0.13598123789173569</v>
      </c>
      <c r="T412" s="48">
        <f t="shared" ref="T412:U412" si="16">SUM(T10:T410)</f>
        <v>0.14677515889781531</v>
      </c>
      <c r="U412" s="48">
        <f t="shared" si="16"/>
        <v>0.17376561591557815</v>
      </c>
    </row>
    <row r="413" spans="9:21" x14ac:dyDescent="0.3">
      <c r="I413" s="17"/>
      <c r="J413" s="17"/>
      <c r="K413" s="17"/>
      <c r="L413" s="17"/>
      <c r="M413" s="17"/>
      <c r="N413" s="52">
        <v>783</v>
      </c>
      <c r="O413" s="53">
        <v>5.7472991956661269E-4</v>
      </c>
      <c r="P413" s="49">
        <f t="shared" si="14"/>
        <v>0.32578131853948306</v>
      </c>
      <c r="Q413" s="17"/>
    </row>
    <row r="414" spans="9:21" x14ac:dyDescent="0.3">
      <c r="I414" s="17"/>
      <c r="J414" s="17"/>
      <c r="K414" s="17"/>
      <c r="L414" s="17"/>
      <c r="M414" s="17"/>
      <c r="N414" s="52">
        <v>784</v>
      </c>
      <c r="O414" s="53">
        <v>5.7293913385066011E-4</v>
      </c>
      <c r="P414" s="49">
        <f t="shared" si="14"/>
        <v>0.32476622516796583</v>
      </c>
      <c r="Q414" s="17"/>
    </row>
    <row r="415" spans="9:21" x14ac:dyDescent="0.3">
      <c r="I415" s="17"/>
      <c r="J415" s="17"/>
      <c r="K415" s="17"/>
      <c r="L415" s="17"/>
      <c r="M415" s="17"/>
      <c r="N415" s="52">
        <v>785</v>
      </c>
      <c r="O415" s="53">
        <v>5.7106642203759753E-4</v>
      </c>
      <c r="P415" s="49">
        <f t="shared" si="14"/>
        <v>0.32370469260643842</v>
      </c>
      <c r="Q415" s="17"/>
    </row>
    <row r="416" spans="9:21" x14ac:dyDescent="0.3">
      <c r="I416" s="17"/>
      <c r="J416" s="17"/>
      <c r="K416" s="17"/>
      <c r="L416" s="17"/>
      <c r="M416" s="17"/>
      <c r="N416" s="52">
        <v>786</v>
      </c>
      <c r="O416" s="53">
        <v>5.6939346634344158E-4</v>
      </c>
      <c r="P416" s="49">
        <f t="shared" si="14"/>
        <v>0.32275639029374298</v>
      </c>
      <c r="Q416" s="17"/>
    </row>
    <row r="417" spans="9:17" x14ac:dyDescent="0.3">
      <c r="I417" s="17"/>
      <c r="J417" s="17"/>
      <c r="K417" s="17"/>
      <c r="L417" s="17"/>
      <c r="M417" s="17"/>
      <c r="N417" s="52">
        <v>787</v>
      </c>
      <c r="O417" s="53">
        <v>5.6765603307300727E-4</v>
      </c>
      <c r="P417" s="49">
        <f t="shared" si="14"/>
        <v>0.32177153935342084</v>
      </c>
      <c r="Q417" s="17"/>
    </row>
    <row r="418" spans="9:17" x14ac:dyDescent="0.3">
      <c r="I418" s="17"/>
      <c r="J418" s="17"/>
      <c r="K418" s="17"/>
      <c r="L418" s="17"/>
      <c r="M418" s="17"/>
      <c r="N418" s="52">
        <v>788</v>
      </c>
      <c r="O418" s="53">
        <v>5.6594943842618961E-4</v>
      </c>
      <c r="P418" s="49">
        <f t="shared" si="14"/>
        <v>0.32080416905421677</v>
      </c>
      <c r="Q418" s="17"/>
    </row>
    <row r="419" spans="9:17" x14ac:dyDescent="0.3">
      <c r="I419" s="17"/>
      <c r="J419" s="17"/>
      <c r="K419" s="17"/>
      <c r="L419" s="17"/>
      <c r="M419" s="17"/>
      <c r="N419" s="52">
        <v>789</v>
      </c>
      <c r="O419" s="53">
        <v>5.642097834241079E-4</v>
      </c>
      <c r="P419" s="49">
        <f t="shared" si="14"/>
        <v>0.31981805874207336</v>
      </c>
      <c r="Q419" s="17"/>
    </row>
    <row r="420" spans="9:17" x14ac:dyDescent="0.3">
      <c r="I420" s="17"/>
      <c r="J420" s="17"/>
      <c r="K420" s="17"/>
      <c r="L420" s="17"/>
      <c r="M420" s="17"/>
      <c r="N420" s="52">
        <v>790</v>
      </c>
      <c r="O420" s="53">
        <v>5.6257013517307117E-4</v>
      </c>
      <c r="P420" s="49">
        <f t="shared" si="14"/>
        <v>0.31888863650220373</v>
      </c>
      <c r="Q420" s="17"/>
    </row>
    <row r="421" spans="9:17" x14ac:dyDescent="0.3">
      <c r="I421" s="17"/>
      <c r="J421" s="17"/>
      <c r="K421" s="17"/>
      <c r="L421" s="17"/>
      <c r="M421" s="17"/>
      <c r="N421" s="52">
        <v>791</v>
      </c>
      <c r="O421" s="53">
        <v>5.6098253597910768E-4</v>
      </c>
      <c r="P421" s="49">
        <f t="shared" si="14"/>
        <v>0.31798871787762323</v>
      </c>
      <c r="Q421" s="17"/>
    </row>
    <row r="422" spans="9:17" x14ac:dyDescent="0.3">
      <c r="I422" s="17"/>
      <c r="J422" s="17"/>
      <c r="K422" s="17"/>
      <c r="L422" s="17"/>
      <c r="M422" s="17"/>
      <c r="N422" s="52">
        <v>792</v>
      </c>
      <c r="O422" s="53">
        <v>5.5934485413559898E-4</v>
      </c>
      <c r="P422" s="49">
        <f t="shared" si="14"/>
        <v>0.31706041028102422</v>
      </c>
      <c r="Q422" s="17"/>
    </row>
    <row r="423" spans="9:17" x14ac:dyDescent="0.3">
      <c r="I423" s="17"/>
      <c r="J423" s="17"/>
      <c r="K423" s="17"/>
      <c r="L423" s="17"/>
      <c r="M423" s="17"/>
      <c r="N423" s="52">
        <v>793</v>
      </c>
      <c r="O423" s="53">
        <v>5.577024096736485E-4</v>
      </c>
      <c r="P423" s="49">
        <f t="shared" si="14"/>
        <v>0.31612940303009562</v>
      </c>
      <c r="Q423" s="17"/>
    </row>
    <row r="424" spans="9:17" x14ac:dyDescent="0.3">
      <c r="I424" s="17"/>
      <c r="J424" s="17"/>
      <c r="K424" s="17"/>
      <c r="L424" s="17"/>
      <c r="M424" s="17"/>
      <c r="N424" s="52">
        <v>794</v>
      </c>
      <c r="O424" s="53">
        <v>5.562266877431922E-4</v>
      </c>
      <c r="P424" s="49">
        <f t="shared" si="14"/>
        <v>0.31529290118821446</v>
      </c>
      <c r="Q424" s="17"/>
    </row>
    <row r="425" spans="9:17" x14ac:dyDescent="0.3">
      <c r="I425" s="17"/>
      <c r="J425" s="17"/>
      <c r="K425" s="17"/>
      <c r="L425" s="17"/>
      <c r="M425" s="17"/>
      <c r="N425" s="52">
        <v>795</v>
      </c>
      <c r="O425" s="53">
        <v>5.546960196505398E-4</v>
      </c>
      <c r="P425" s="49">
        <f t="shared" si="14"/>
        <v>0.31442525352886408</v>
      </c>
      <c r="Q425" s="17"/>
    </row>
    <row r="426" spans="9:17" x14ac:dyDescent="0.3">
      <c r="I426" s="17"/>
      <c r="J426" s="17"/>
      <c r="K426" s="17"/>
      <c r="L426" s="17"/>
      <c r="M426" s="17"/>
      <c r="N426" s="52">
        <v>796</v>
      </c>
      <c r="O426" s="53">
        <v>5.5320669759262244E-4</v>
      </c>
      <c r="P426" s="49">
        <f t="shared" si="14"/>
        <v>0.31358104255734526</v>
      </c>
      <c r="Q426" s="17"/>
    </row>
    <row r="427" spans="9:17" x14ac:dyDescent="0.3">
      <c r="I427" s="17"/>
      <c r="J427" s="17"/>
      <c r="K427" s="17"/>
      <c r="L427" s="17"/>
      <c r="M427" s="17"/>
      <c r="N427" s="52">
        <v>797</v>
      </c>
      <c r="O427" s="53">
        <v>5.5169528793935535E-4</v>
      </c>
      <c r="P427" s="49">
        <f t="shared" si="14"/>
        <v>0.31272431139905454</v>
      </c>
      <c r="Q427" s="17"/>
    </row>
    <row r="428" spans="9:17" x14ac:dyDescent="0.3">
      <c r="I428" s="17"/>
      <c r="J428" s="17"/>
      <c r="K428" s="17"/>
      <c r="L428" s="17"/>
      <c r="M428" s="17"/>
      <c r="N428" s="52">
        <v>798</v>
      </c>
      <c r="O428" s="53">
        <v>5.5029791550928063E-4</v>
      </c>
      <c r="P428" s="49">
        <f t="shared" si="14"/>
        <v>0.31193222138031362</v>
      </c>
      <c r="Q428" s="17"/>
    </row>
    <row r="429" spans="9:17" x14ac:dyDescent="0.3">
      <c r="I429" s="17"/>
      <c r="J429" s="17"/>
      <c r="K429" s="17"/>
      <c r="L429" s="17"/>
      <c r="M429" s="17"/>
      <c r="N429" s="52">
        <v>799</v>
      </c>
      <c r="O429" s="53">
        <v>5.4886006597010186E-4</v>
      </c>
      <c r="P429" s="49">
        <f t="shared" si="14"/>
        <v>0.311117187217679</v>
      </c>
      <c r="Q429" s="17"/>
    </row>
    <row r="430" spans="9:17" x14ac:dyDescent="0.3">
      <c r="I430" s="17"/>
      <c r="J430" s="17"/>
      <c r="K430" s="17"/>
      <c r="L430" s="17"/>
      <c r="M430" s="17"/>
      <c r="N430" s="52">
        <v>800</v>
      </c>
      <c r="O430" s="53">
        <v>5.4734636457696214E-4</v>
      </c>
      <c r="P430" s="49">
        <f t="shared" si="14"/>
        <v>0.31025915700393275</v>
      </c>
      <c r="Q430" s="17"/>
    </row>
    <row r="431" spans="9:17" x14ac:dyDescent="0.3">
      <c r="I431" s="17"/>
      <c r="J431" s="17"/>
      <c r="K431" s="17"/>
      <c r="L431" s="17"/>
      <c r="M431" s="17"/>
      <c r="N431" s="52">
        <v>801</v>
      </c>
      <c r="O431" s="53">
        <v>5.4603310291246655E-4</v>
      </c>
      <c r="P431" s="49">
        <f t="shared" si="14"/>
        <v>0.30951474453804034</v>
      </c>
      <c r="Q431" s="17"/>
    </row>
    <row r="432" spans="9:17" x14ac:dyDescent="0.3">
      <c r="I432" s="17"/>
      <c r="J432" s="17"/>
      <c r="K432" s="17"/>
      <c r="L432" s="17"/>
      <c r="M432" s="17"/>
      <c r="N432" s="52">
        <v>802</v>
      </c>
      <c r="O432" s="53">
        <v>5.4466876818793503E-4</v>
      </c>
      <c r="P432" s="49">
        <f t="shared" si="14"/>
        <v>0.30874138169341542</v>
      </c>
      <c r="Q432" s="17"/>
    </row>
    <row r="433" spans="9:17" x14ac:dyDescent="0.3">
      <c r="I433" s="17"/>
      <c r="J433" s="17"/>
      <c r="K433" s="17"/>
      <c r="L433" s="17"/>
      <c r="M433" s="17"/>
      <c r="N433" s="52">
        <v>803</v>
      </c>
      <c r="O433" s="53">
        <v>5.4327188787450602E-4</v>
      </c>
      <c r="P433" s="49">
        <f t="shared" si="14"/>
        <v>0.30794957062728212</v>
      </c>
      <c r="Q433" s="17"/>
    </row>
    <row r="434" spans="9:17" x14ac:dyDescent="0.3">
      <c r="I434" s="17"/>
      <c r="J434" s="17"/>
      <c r="K434" s="17"/>
      <c r="L434" s="17"/>
      <c r="M434" s="17"/>
      <c r="N434" s="52">
        <v>804</v>
      </c>
      <c r="O434" s="53">
        <v>5.4200033875839878E-4</v>
      </c>
      <c r="P434" s="49">
        <f t="shared" si="14"/>
        <v>0.3072288026047203</v>
      </c>
      <c r="Q434" s="17"/>
    </row>
    <row r="435" spans="9:17" x14ac:dyDescent="0.3">
      <c r="I435" s="17"/>
      <c r="J435" s="17"/>
      <c r="K435" s="17"/>
      <c r="L435" s="17"/>
      <c r="M435" s="17"/>
      <c r="N435" s="52">
        <v>805</v>
      </c>
      <c r="O435" s="53">
        <v>5.4062757421981255E-4</v>
      </c>
      <c r="P435" s="49">
        <f t="shared" si="14"/>
        <v>0.30645066138360189</v>
      </c>
      <c r="Q435" s="17"/>
    </row>
    <row r="436" spans="9:17" x14ac:dyDescent="0.3">
      <c r="I436" s="17"/>
      <c r="J436" s="17"/>
      <c r="K436" s="17"/>
      <c r="L436" s="17"/>
      <c r="M436" s="17"/>
      <c r="N436" s="52">
        <v>806</v>
      </c>
      <c r="O436" s="53">
        <v>5.3931543268693604E-4</v>
      </c>
      <c r="P436" s="49">
        <f t="shared" si="14"/>
        <v>0.30570688385586631</v>
      </c>
      <c r="Q436" s="17"/>
    </row>
    <row r="437" spans="9:17" x14ac:dyDescent="0.3">
      <c r="I437" s="17"/>
      <c r="J437" s="17"/>
      <c r="K437" s="17"/>
      <c r="L437" s="17"/>
      <c r="M437" s="17"/>
      <c r="N437" s="52">
        <v>807</v>
      </c>
      <c r="O437" s="53">
        <v>5.3799679686155049E-4</v>
      </c>
      <c r="P437" s="49">
        <f t="shared" si="14"/>
        <v>0.30495942508742174</v>
      </c>
      <c r="Q437" s="17"/>
    </row>
    <row r="438" spans="9:17" x14ac:dyDescent="0.3">
      <c r="I438" s="17"/>
      <c r="J438" s="17"/>
      <c r="K438" s="17"/>
      <c r="L438" s="17"/>
      <c r="M438" s="17"/>
      <c r="N438" s="52">
        <v>808</v>
      </c>
      <c r="O438" s="53">
        <v>5.3676571867735073E-4</v>
      </c>
      <c r="P438" s="49">
        <f t="shared" si="14"/>
        <v>0.30426159770725641</v>
      </c>
      <c r="Q438" s="17"/>
    </row>
    <row r="439" spans="9:17" x14ac:dyDescent="0.3">
      <c r="I439" s="17"/>
      <c r="J439" s="17"/>
      <c r="K439" s="17"/>
      <c r="L439" s="17"/>
      <c r="M439" s="17"/>
      <c r="N439" s="52">
        <v>809</v>
      </c>
      <c r="O439" s="53">
        <v>5.3552769732436898E-4</v>
      </c>
      <c r="P439" s="49">
        <f t="shared" si="14"/>
        <v>0.30355983464425357</v>
      </c>
      <c r="Q439" s="17"/>
    </row>
    <row r="440" spans="9:17" x14ac:dyDescent="0.3">
      <c r="I440" s="17"/>
      <c r="J440" s="17"/>
      <c r="K440" s="17"/>
      <c r="L440" s="17"/>
      <c r="M440" s="17"/>
      <c r="N440" s="52">
        <v>810</v>
      </c>
      <c r="O440" s="53">
        <v>5.343298174528186E-4</v>
      </c>
      <c r="P440" s="49">
        <f t="shared" si="14"/>
        <v>0.30288082547713058</v>
      </c>
      <c r="Q440" s="17"/>
    </row>
    <row r="441" spans="9:17" x14ac:dyDescent="0.3">
      <c r="I441" s="17"/>
      <c r="J441" s="17"/>
      <c r="K441" s="17"/>
      <c r="L441" s="17"/>
      <c r="M441" s="17"/>
      <c r="N441" s="52">
        <v>811</v>
      </c>
      <c r="O441" s="53">
        <v>5.3305150224756232E-4</v>
      </c>
      <c r="P441" s="49">
        <f t="shared" si="14"/>
        <v>0.30215622214798515</v>
      </c>
      <c r="Q441" s="17"/>
    </row>
    <row r="442" spans="9:17" x14ac:dyDescent="0.3">
      <c r="I442" s="17"/>
      <c r="J442" s="17"/>
      <c r="K442" s="17"/>
      <c r="L442" s="17"/>
      <c r="M442" s="17"/>
      <c r="N442" s="52">
        <v>812</v>
      </c>
      <c r="O442" s="53">
        <v>5.3192881532901945E-4</v>
      </c>
      <c r="P442" s="49">
        <f t="shared" si="14"/>
        <v>0.30151983553893974</v>
      </c>
      <c r="Q442" s="17"/>
    </row>
    <row r="443" spans="9:17" x14ac:dyDescent="0.3">
      <c r="I443" s="17"/>
      <c r="J443" s="17"/>
      <c r="K443" s="17"/>
      <c r="L443" s="17"/>
      <c r="M443" s="17"/>
      <c r="N443" s="52">
        <v>813</v>
      </c>
      <c r="O443" s="53">
        <v>5.3062388464343514E-4</v>
      </c>
      <c r="P443" s="49">
        <f t="shared" si="14"/>
        <v>0.30078014542558557</v>
      </c>
      <c r="Q443" s="17"/>
    </row>
    <row r="444" spans="9:17" x14ac:dyDescent="0.3">
      <c r="I444" s="17"/>
      <c r="J444" s="17"/>
      <c r="K444" s="17"/>
      <c r="L444" s="17"/>
      <c r="M444" s="17"/>
      <c r="N444" s="52">
        <v>814</v>
      </c>
      <c r="O444" s="53">
        <v>5.2948246228813796E-4</v>
      </c>
      <c r="P444" s="49">
        <f t="shared" si="14"/>
        <v>0.30013313877557579</v>
      </c>
      <c r="Q444" s="17"/>
    </row>
    <row r="445" spans="9:17" x14ac:dyDescent="0.3">
      <c r="I445" s="17"/>
      <c r="J445" s="17"/>
      <c r="K445" s="17"/>
      <c r="L445" s="17"/>
      <c r="M445" s="17"/>
      <c r="N445" s="52">
        <v>815</v>
      </c>
      <c r="O445" s="53">
        <v>5.2836061958644071E-4</v>
      </c>
      <c r="P445" s="49">
        <f t="shared" si="14"/>
        <v>0.2994972307044797</v>
      </c>
      <c r="Q445" s="17"/>
    </row>
    <row r="446" spans="9:17" x14ac:dyDescent="0.3">
      <c r="I446" s="17"/>
      <c r="J446" s="17"/>
      <c r="K446" s="17"/>
      <c r="L446" s="17"/>
      <c r="M446" s="17"/>
      <c r="N446" s="52">
        <v>816</v>
      </c>
      <c r="O446" s="53">
        <v>5.2719394073403084E-4</v>
      </c>
      <c r="P446" s="49">
        <f t="shared" si="14"/>
        <v>0.29883590759964324</v>
      </c>
      <c r="Q446" s="17"/>
    </row>
    <row r="447" spans="9:17" x14ac:dyDescent="0.3">
      <c r="I447" s="17"/>
      <c r="J447" s="17"/>
      <c r="K447" s="17"/>
      <c r="L447" s="17"/>
      <c r="M447" s="17"/>
      <c r="N447" s="52">
        <v>817</v>
      </c>
      <c r="O447" s="53">
        <v>5.2600099232429217E-4</v>
      </c>
      <c r="P447" s="49">
        <f t="shared" si="14"/>
        <v>0.29815969379444007</v>
      </c>
      <c r="Q447" s="17"/>
    </row>
    <row r="448" spans="9:17" x14ac:dyDescent="0.3">
      <c r="I448" s="17"/>
      <c r="J448" s="17"/>
      <c r="K448" s="17"/>
      <c r="L448" s="17"/>
      <c r="M448" s="17"/>
      <c r="N448" s="52">
        <v>818</v>
      </c>
      <c r="O448" s="53">
        <v>5.2489885282012364E-4</v>
      </c>
      <c r="P448" s="49">
        <f t="shared" si="14"/>
        <v>0.29753495433220145</v>
      </c>
      <c r="Q448" s="17"/>
    </row>
    <row r="449" spans="9:17" x14ac:dyDescent="0.3">
      <c r="I449" s="17"/>
      <c r="J449" s="17"/>
      <c r="K449" s="17"/>
      <c r="L449" s="17"/>
      <c r="M449" s="17"/>
      <c r="N449" s="52">
        <v>819</v>
      </c>
      <c r="O449" s="53">
        <v>5.2376490281343482E-4</v>
      </c>
      <c r="P449" s="49">
        <f t="shared" si="14"/>
        <v>0.29689218332662115</v>
      </c>
      <c r="Q449" s="17"/>
    </row>
    <row r="450" spans="9:17" x14ac:dyDescent="0.3">
      <c r="I450" s="17"/>
      <c r="J450" s="17"/>
      <c r="K450" s="17"/>
      <c r="L450" s="17"/>
      <c r="M450" s="17"/>
      <c r="N450" s="52">
        <v>820</v>
      </c>
      <c r="O450" s="53">
        <v>5.2259333162145622E-4</v>
      </c>
      <c r="P450" s="49">
        <f t="shared" si="14"/>
        <v>0.29622808703601305</v>
      </c>
      <c r="Q450" s="17"/>
    </row>
    <row r="451" spans="9:17" x14ac:dyDescent="0.3">
      <c r="I451" s="17"/>
      <c r="J451" s="17"/>
      <c r="K451" s="17"/>
      <c r="L451" s="17"/>
      <c r="M451" s="17"/>
      <c r="N451" s="52">
        <v>821</v>
      </c>
      <c r="O451" s="53">
        <v>5.2150162746111384E-4</v>
      </c>
      <c r="P451" s="49">
        <f t="shared" si="14"/>
        <v>0.29560926276968713</v>
      </c>
      <c r="Q451" s="17"/>
    </row>
    <row r="452" spans="9:17" x14ac:dyDescent="0.3">
      <c r="I452" s="17"/>
      <c r="J452" s="17"/>
      <c r="K452" s="17"/>
      <c r="L452" s="17"/>
      <c r="M452" s="17"/>
      <c r="N452" s="52">
        <v>822</v>
      </c>
      <c r="O452" s="53">
        <v>5.2035000449545429E-4</v>
      </c>
      <c r="P452" s="49">
        <f t="shared" si="14"/>
        <v>0.29495647398065761</v>
      </c>
      <c r="Q452" s="17"/>
    </row>
    <row r="453" spans="9:17" x14ac:dyDescent="0.3">
      <c r="I453" s="17"/>
      <c r="J453" s="17"/>
      <c r="K453" s="17"/>
      <c r="L453" s="17"/>
      <c r="M453" s="17"/>
      <c r="N453" s="52">
        <v>823</v>
      </c>
      <c r="O453" s="53">
        <v>5.1920910308372252E-4</v>
      </c>
      <c r="P453" s="49">
        <f t="shared" si="14"/>
        <v>0.29430976262357739</v>
      </c>
      <c r="Q453" s="17"/>
    </row>
    <row r="454" spans="9:17" x14ac:dyDescent="0.3">
      <c r="I454" s="17"/>
      <c r="J454" s="17"/>
      <c r="K454" s="17"/>
      <c r="L454" s="17"/>
      <c r="M454" s="17"/>
      <c r="N454" s="52">
        <v>824</v>
      </c>
      <c r="O454" s="53">
        <v>5.1813184532675111E-4</v>
      </c>
      <c r="P454" s="49">
        <f t="shared" si="14"/>
        <v>0.29369912719200342</v>
      </c>
      <c r="Q454" s="17"/>
    </row>
    <row r="455" spans="9:17" x14ac:dyDescent="0.3">
      <c r="I455" s="17"/>
      <c r="J455" s="17"/>
      <c r="K455" s="17"/>
      <c r="L455" s="17"/>
      <c r="M455" s="17"/>
      <c r="N455" s="52">
        <v>825</v>
      </c>
      <c r="O455" s="53">
        <v>5.1702603244977504E-4</v>
      </c>
      <c r="P455" s="49">
        <f t="shared" si="14"/>
        <v>0.29307230550610464</v>
      </c>
      <c r="Q455" s="17"/>
    </row>
    <row r="456" spans="9:17" x14ac:dyDescent="0.3">
      <c r="I456" s="17"/>
      <c r="J456" s="17"/>
      <c r="K456" s="17"/>
      <c r="L456" s="17"/>
      <c r="M456" s="17"/>
      <c r="N456" s="52">
        <v>826</v>
      </c>
      <c r="O456" s="53">
        <v>5.1586945743165003E-4</v>
      </c>
      <c r="P456" s="49">
        <f t="shared" si="14"/>
        <v>0.29241670968349859</v>
      </c>
      <c r="Q456" s="17"/>
    </row>
    <row r="457" spans="9:17" x14ac:dyDescent="0.3">
      <c r="I457" s="17"/>
      <c r="J457" s="17"/>
      <c r="K457" s="17"/>
      <c r="L457" s="17"/>
      <c r="M457" s="17"/>
      <c r="N457" s="52">
        <v>827</v>
      </c>
      <c r="O457" s="53">
        <v>5.1488546916349091E-4</v>
      </c>
      <c r="P457" s="49">
        <f t="shared" si="14"/>
        <v>0.29185894335793477</v>
      </c>
      <c r="Q457" s="17"/>
    </row>
    <row r="458" spans="9:17" x14ac:dyDescent="0.3">
      <c r="I458" s="17"/>
      <c r="J458" s="17"/>
      <c r="K458" s="17"/>
      <c r="L458" s="17"/>
      <c r="M458" s="17"/>
      <c r="N458" s="52">
        <v>828</v>
      </c>
      <c r="O458" s="53">
        <v>5.137449898601807E-4</v>
      </c>
      <c r="P458" s="49">
        <f t="shared" ref="P458:P521" si="17">O458/MAX($O$10:$O$630)</f>
        <v>0.29121247126982847</v>
      </c>
      <c r="Q458" s="17"/>
    </row>
    <row r="459" spans="9:17" x14ac:dyDescent="0.3">
      <c r="I459" s="17"/>
      <c r="J459" s="17"/>
      <c r="K459" s="17"/>
      <c r="L459" s="17"/>
      <c r="M459" s="17"/>
      <c r="N459" s="52">
        <v>829</v>
      </c>
      <c r="O459" s="53">
        <v>5.1269380810838245E-4</v>
      </c>
      <c r="P459" s="49">
        <f t="shared" si="17"/>
        <v>0.29061661682504208</v>
      </c>
      <c r="Q459" s="17"/>
    </row>
    <row r="460" spans="9:17" x14ac:dyDescent="0.3">
      <c r="I460" s="17"/>
      <c r="J460" s="17"/>
      <c r="K460" s="17"/>
      <c r="L460" s="17"/>
      <c r="M460" s="17"/>
      <c r="N460" s="52">
        <v>830</v>
      </c>
      <c r="O460" s="53">
        <v>5.1150478221837316E-4</v>
      </c>
      <c r="P460" s="49">
        <f t="shared" si="17"/>
        <v>0.28994262647055191</v>
      </c>
      <c r="Q460" s="17"/>
    </row>
    <row r="461" spans="9:17" x14ac:dyDescent="0.3">
      <c r="I461" s="17"/>
      <c r="J461" s="17"/>
      <c r="K461" s="17"/>
      <c r="L461" s="17"/>
      <c r="M461" s="17"/>
      <c r="N461" s="52">
        <v>831</v>
      </c>
      <c r="O461" s="53">
        <v>5.1044064688567287E-4</v>
      </c>
      <c r="P461" s="49">
        <f t="shared" si="17"/>
        <v>0.28933942938616669</v>
      </c>
      <c r="Q461" s="17"/>
    </row>
    <row r="462" spans="9:17" x14ac:dyDescent="0.3">
      <c r="I462" s="17"/>
      <c r="J462" s="17"/>
      <c r="K462" s="17"/>
      <c r="L462" s="17"/>
      <c r="M462" s="17"/>
      <c r="N462" s="52">
        <v>832</v>
      </c>
      <c r="O462" s="53">
        <v>5.0928894361646035E-4</v>
      </c>
      <c r="P462" s="49">
        <f t="shared" si="17"/>
        <v>0.28868659507767402</v>
      </c>
      <c r="Q462" s="17"/>
    </row>
    <row r="463" spans="9:17" x14ac:dyDescent="0.3">
      <c r="I463" s="17"/>
      <c r="J463" s="17"/>
      <c r="K463" s="17"/>
      <c r="L463" s="17"/>
      <c r="M463" s="17"/>
      <c r="N463" s="52">
        <v>833</v>
      </c>
      <c r="O463" s="53">
        <v>5.0821552395753416E-4</v>
      </c>
      <c r="P463" s="49">
        <f t="shared" si="17"/>
        <v>0.28807813524301834</v>
      </c>
      <c r="Q463" s="17"/>
    </row>
    <row r="464" spans="9:17" x14ac:dyDescent="0.3">
      <c r="I464" s="17"/>
      <c r="J464" s="17"/>
      <c r="K464" s="17"/>
      <c r="L464" s="17"/>
      <c r="M464" s="17"/>
      <c r="N464" s="52">
        <v>834</v>
      </c>
      <c r="O464" s="53">
        <v>5.0711402482272842E-4</v>
      </c>
      <c r="P464" s="49">
        <f t="shared" si="17"/>
        <v>0.28745375876932144</v>
      </c>
      <c r="Q464" s="17"/>
    </row>
    <row r="465" spans="9:17" x14ac:dyDescent="0.3">
      <c r="I465" s="17"/>
      <c r="J465" s="17"/>
      <c r="K465" s="17"/>
      <c r="L465" s="17"/>
      <c r="M465" s="17"/>
      <c r="N465" s="52">
        <v>835</v>
      </c>
      <c r="O465" s="53">
        <v>5.0604431971791857E-4</v>
      </c>
      <c r="P465" s="49">
        <f t="shared" si="17"/>
        <v>0.28684740450164009</v>
      </c>
      <c r="Q465" s="17"/>
    </row>
    <row r="466" spans="9:17" x14ac:dyDescent="0.3">
      <c r="I466" s="17"/>
      <c r="J466" s="17"/>
      <c r="K466" s="17"/>
      <c r="L466" s="17"/>
      <c r="M466" s="17"/>
      <c r="N466" s="52">
        <v>836</v>
      </c>
      <c r="O466" s="53">
        <v>5.0484829506436044E-4</v>
      </c>
      <c r="P466" s="49">
        <f t="shared" si="17"/>
        <v>0.28616944695083829</v>
      </c>
      <c r="Q466" s="17"/>
    </row>
    <row r="467" spans="9:17" x14ac:dyDescent="0.3">
      <c r="I467" s="17"/>
      <c r="J467" s="17"/>
      <c r="K467" s="17"/>
      <c r="L467" s="17"/>
      <c r="M467" s="17"/>
      <c r="N467" s="52">
        <v>837</v>
      </c>
      <c r="O467" s="53">
        <v>5.0374256455000381E-4</v>
      </c>
      <c r="P467" s="49">
        <f t="shared" si="17"/>
        <v>0.28554267195156896</v>
      </c>
      <c r="Q467" s="17"/>
    </row>
    <row r="468" spans="9:17" x14ac:dyDescent="0.3">
      <c r="I468" s="17"/>
      <c r="J468" s="17"/>
      <c r="K468" s="17"/>
      <c r="L468" s="17"/>
      <c r="M468" s="17"/>
      <c r="N468" s="52">
        <v>838</v>
      </c>
      <c r="O468" s="53">
        <v>5.0262020008111526E-4</v>
      </c>
      <c r="P468" s="49">
        <f t="shared" si="17"/>
        <v>0.28490646812067721</v>
      </c>
      <c r="Q468" s="17"/>
    </row>
    <row r="469" spans="9:17" x14ac:dyDescent="0.3">
      <c r="I469" s="17"/>
      <c r="J469" s="17"/>
      <c r="K469" s="17"/>
      <c r="L469" s="17"/>
      <c r="M469" s="17"/>
      <c r="N469" s="52">
        <v>839</v>
      </c>
      <c r="O469" s="53">
        <v>5.0152114382158875E-4</v>
      </c>
      <c r="P469" s="49">
        <f t="shared" si="17"/>
        <v>0.2842834763724007</v>
      </c>
      <c r="Q469" s="17"/>
    </row>
    <row r="470" spans="9:17" x14ac:dyDescent="0.3">
      <c r="I470" s="17"/>
      <c r="J470" s="17"/>
      <c r="K470" s="17"/>
      <c r="L470" s="17"/>
      <c r="M470" s="17"/>
      <c r="N470" s="52">
        <v>840</v>
      </c>
      <c r="O470" s="53">
        <v>5.0037888342664412E-4</v>
      </c>
      <c r="P470" s="49">
        <f t="shared" si="17"/>
        <v>0.28363599468593986</v>
      </c>
      <c r="Q470" s="17"/>
    </row>
    <row r="471" spans="9:17" x14ac:dyDescent="0.3">
      <c r="I471" s="17"/>
      <c r="J471" s="17"/>
      <c r="K471" s="17"/>
      <c r="L471" s="17"/>
      <c r="M471" s="17"/>
      <c r="N471" s="52">
        <v>841</v>
      </c>
      <c r="O471" s="53">
        <v>4.9924552437174584E-4</v>
      </c>
      <c r="P471" s="49">
        <f t="shared" si="17"/>
        <v>0.28299355865692322</v>
      </c>
      <c r="Q471" s="17"/>
    </row>
    <row r="472" spans="9:17" x14ac:dyDescent="0.3">
      <c r="I472" s="17"/>
      <c r="J472" s="17"/>
      <c r="K472" s="17"/>
      <c r="L472" s="17"/>
      <c r="M472" s="17"/>
      <c r="N472" s="52">
        <v>842</v>
      </c>
      <c r="O472" s="53">
        <v>4.9805971803651373E-4</v>
      </c>
      <c r="P472" s="49">
        <f t="shared" si="17"/>
        <v>0.28232139328276679</v>
      </c>
      <c r="Q472" s="17"/>
    </row>
    <row r="473" spans="9:17" x14ac:dyDescent="0.3">
      <c r="I473" s="17"/>
      <c r="J473" s="17"/>
      <c r="K473" s="17"/>
      <c r="L473" s="17"/>
      <c r="M473" s="17"/>
      <c r="N473" s="52">
        <v>843</v>
      </c>
      <c r="O473" s="53">
        <v>4.9692930632793753E-4</v>
      </c>
      <c r="P473" s="49">
        <f t="shared" si="17"/>
        <v>0.28168062793477494</v>
      </c>
      <c r="Q473" s="17"/>
    </row>
    <row r="474" spans="9:17" x14ac:dyDescent="0.3">
      <c r="I474" s="17"/>
      <c r="J474" s="17"/>
      <c r="K474" s="17"/>
      <c r="L474" s="17"/>
      <c r="M474" s="17"/>
      <c r="N474" s="52">
        <v>844</v>
      </c>
      <c r="O474" s="53">
        <v>4.9577095573647041E-4</v>
      </c>
      <c r="P474" s="49">
        <f t="shared" si="17"/>
        <v>0.28102402564181672</v>
      </c>
      <c r="Q474" s="17"/>
    </row>
    <row r="475" spans="9:17" x14ac:dyDescent="0.3">
      <c r="I475" s="17"/>
      <c r="J475" s="17"/>
      <c r="K475" s="17"/>
      <c r="L475" s="17"/>
      <c r="M475" s="17"/>
      <c r="N475" s="52">
        <v>845</v>
      </c>
      <c r="O475" s="53">
        <v>4.9461353551314845E-4</v>
      </c>
      <c r="P475" s="49">
        <f t="shared" si="17"/>
        <v>0.28036795072102189</v>
      </c>
      <c r="Q475" s="17"/>
    </row>
    <row r="476" spans="9:17" x14ac:dyDescent="0.3">
      <c r="I476" s="17"/>
      <c r="J476" s="17"/>
      <c r="K476" s="17"/>
      <c r="L476" s="17"/>
      <c r="M476" s="17"/>
      <c r="N476" s="52">
        <v>846</v>
      </c>
      <c r="O476" s="53">
        <v>4.9338156945991584E-4</v>
      </c>
      <c r="P476" s="49">
        <f t="shared" si="17"/>
        <v>0.27966962005899432</v>
      </c>
      <c r="Q476" s="17"/>
    </row>
    <row r="477" spans="9:17" x14ac:dyDescent="0.3">
      <c r="I477" s="17"/>
      <c r="J477" s="17"/>
      <c r="K477" s="17"/>
      <c r="L477" s="17"/>
      <c r="M477" s="17"/>
      <c r="N477" s="52">
        <v>847</v>
      </c>
      <c r="O477" s="53">
        <v>4.9214757152087269E-4</v>
      </c>
      <c r="P477" s="49">
        <f t="shared" si="17"/>
        <v>0.27897013763782569</v>
      </c>
      <c r="Q477" s="17"/>
    </row>
    <row r="478" spans="9:17" x14ac:dyDescent="0.3">
      <c r="I478" s="17"/>
      <c r="J478" s="17"/>
      <c r="K478" s="17"/>
      <c r="L478" s="17"/>
      <c r="M478" s="17"/>
      <c r="N478" s="52">
        <v>848</v>
      </c>
      <c r="O478" s="53">
        <v>4.9106806897071976E-4</v>
      </c>
      <c r="P478" s="49">
        <f t="shared" si="17"/>
        <v>0.27835822976217389</v>
      </c>
      <c r="Q478" s="17"/>
    </row>
    <row r="479" spans="9:17" x14ac:dyDescent="0.3">
      <c r="I479" s="17"/>
      <c r="J479" s="17"/>
      <c r="K479" s="17"/>
      <c r="L479" s="17"/>
      <c r="M479" s="17"/>
      <c r="N479" s="52">
        <v>849</v>
      </c>
      <c r="O479" s="53">
        <v>4.8978734033481967E-4</v>
      </c>
      <c r="P479" s="49">
        <f t="shared" si="17"/>
        <v>0.27763225839807743</v>
      </c>
      <c r="Q479" s="17"/>
    </row>
    <row r="480" spans="9:17" x14ac:dyDescent="0.3">
      <c r="I480" s="17"/>
      <c r="J480" s="17"/>
      <c r="K480" s="17"/>
      <c r="L480" s="17"/>
      <c r="M480" s="17"/>
      <c r="N480" s="52">
        <v>850</v>
      </c>
      <c r="O480" s="53">
        <v>4.8850686908210336E-4</v>
      </c>
      <c r="P480" s="49">
        <f t="shared" si="17"/>
        <v>0.2769064329296968</v>
      </c>
      <c r="Q480" s="17"/>
    </row>
    <row r="481" spans="9:17" x14ac:dyDescent="0.3">
      <c r="I481" s="17"/>
      <c r="J481" s="17"/>
      <c r="K481" s="17"/>
      <c r="L481" s="17"/>
      <c r="M481" s="17"/>
      <c r="N481" s="52">
        <v>851</v>
      </c>
      <c r="O481" s="53">
        <v>4.8730597556232455E-4</v>
      </c>
      <c r="P481" s="49">
        <f t="shared" si="17"/>
        <v>0.27622571549881364</v>
      </c>
      <c r="Q481" s="17"/>
    </row>
    <row r="482" spans="9:17" x14ac:dyDescent="0.3">
      <c r="I482" s="17"/>
      <c r="J482" s="17"/>
      <c r="K482" s="17"/>
      <c r="L482" s="17"/>
      <c r="M482" s="17"/>
      <c r="N482" s="52">
        <v>852</v>
      </c>
      <c r="O482" s="53">
        <v>4.8610544258490972E-4</v>
      </c>
      <c r="P482" s="49">
        <f t="shared" si="17"/>
        <v>0.27554520243864922</v>
      </c>
      <c r="Q482" s="17"/>
    </row>
    <row r="483" spans="9:17" x14ac:dyDescent="0.3">
      <c r="I483" s="17"/>
      <c r="J483" s="17"/>
      <c r="K483" s="17"/>
      <c r="L483" s="17"/>
      <c r="M483" s="17"/>
      <c r="N483" s="52">
        <v>853</v>
      </c>
      <c r="O483" s="53">
        <v>4.8481581384440158E-4</v>
      </c>
      <c r="P483" s="49">
        <f t="shared" si="17"/>
        <v>0.27481418611740743</v>
      </c>
      <c r="Q483" s="17"/>
    </row>
    <row r="484" spans="9:17" x14ac:dyDescent="0.3">
      <c r="I484" s="17"/>
      <c r="J484" s="17"/>
      <c r="K484" s="17"/>
      <c r="L484" s="17"/>
      <c r="M484" s="17"/>
      <c r="N484" s="52">
        <v>854</v>
      </c>
      <c r="O484" s="53">
        <v>4.8354423178324606E-4</v>
      </c>
      <c r="P484" s="49">
        <f t="shared" si="17"/>
        <v>0.27409339942019356</v>
      </c>
      <c r="Q484" s="17"/>
    </row>
    <row r="485" spans="9:17" x14ac:dyDescent="0.3">
      <c r="I485" s="17"/>
      <c r="J485" s="17"/>
      <c r="K485" s="17"/>
      <c r="L485" s="17"/>
      <c r="M485" s="17"/>
      <c r="N485" s="52">
        <v>855</v>
      </c>
      <c r="O485" s="53">
        <v>4.8234838626838491E-4</v>
      </c>
      <c r="P485" s="49">
        <f t="shared" si="17"/>
        <v>0.27341554341281055</v>
      </c>
      <c r="Q485" s="17"/>
    </row>
    <row r="486" spans="9:17" x14ac:dyDescent="0.3">
      <c r="I486" s="17"/>
      <c r="J486" s="17"/>
      <c r="K486" s="17"/>
      <c r="L486" s="17"/>
      <c r="M486" s="17"/>
      <c r="N486" s="52">
        <v>856</v>
      </c>
      <c r="O486" s="53">
        <v>4.8097994061963207E-4</v>
      </c>
      <c r="P486" s="49">
        <f t="shared" si="17"/>
        <v>0.27263985032180793</v>
      </c>
      <c r="Q486" s="17"/>
    </row>
    <row r="487" spans="9:17" x14ac:dyDescent="0.3">
      <c r="I487" s="17"/>
      <c r="J487" s="17"/>
      <c r="K487" s="17"/>
      <c r="L487" s="17"/>
      <c r="M487" s="17"/>
      <c r="N487" s="52">
        <v>857</v>
      </c>
      <c r="O487" s="53">
        <v>4.7975844017848779E-4</v>
      </c>
      <c r="P487" s="49">
        <f t="shared" si="17"/>
        <v>0.27194745201302906</v>
      </c>
      <c r="Q487" s="17"/>
    </row>
    <row r="488" spans="9:17" x14ac:dyDescent="0.3">
      <c r="I488" s="17"/>
      <c r="J488" s="17"/>
      <c r="K488" s="17"/>
      <c r="L488" s="17"/>
      <c r="M488" s="17"/>
      <c r="N488" s="52">
        <v>858</v>
      </c>
      <c r="O488" s="53">
        <v>4.7836394426288071E-4</v>
      </c>
      <c r="P488" s="49">
        <f t="shared" si="17"/>
        <v>0.27115699252481068</v>
      </c>
      <c r="Q488" s="17"/>
    </row>
    <row r="489" spans="9:17" x14ac:dyDescent="0.3">
      <c r="I489" s="17"/>
      <c r="J489" s="17"/>
      <c r="K489" s="17"/>
      <c r="L489" s="17"/>
      <c r="M489" s="17"/>
      <c r="N489" s="52">
        <v>859</v>
      </c>
      <c r="O489" s="53">
        <v>4.7713009560608412E-4</v>
      </c>
      <c r="P489" s="49">
        <f t="shared" si="17"/>
        <v>0.27045759472315722</v>
      </c>
      <c r="Q489" s="17"/>
    </row>
    <row r="490" spans="9:17" x14ac:dyDescent="0.3">
      <c r="I490" s="17"/>
      <c r="J490" s="17"/>
      <c r="K490" s="17"/>
      <c r="L490" s="17"/>
      <c r="M490" s="17"/>
      <c r="N490" s="52">
        <v>860</v>
      </c>
      <c r="O490" s="53">
        <v>4.7580246475317247E-4</v>
      </c>
      <c r="P490" s="49">
        <f t="shared" si="17"/>
        <v>0.26970503719122746</v>
      </c>
      <c r="Q490" s="17"/>
    </row>
    <row r="491" spans="9:17" x14ac:dyDescent="0.3">
      <c r="I491" s="17"/>
      <c r="J491" s="17"/>
      <c r="K491" s="17"/>
      <c r="L491" s="17"/>
      <c r="M491" s="17"/>
      <c r="N491" s="52">
        <v>861</v>
      </c>
      <c r="O491" s="53">
        <v>4.7454647362693293E-4</v>
      </c>
      <c r="P491" s="49">
        <f t="shared" si="17"/>
        <v>0.26899308809783634</v>
      </c>
      <c r="Q491" s="17"/>
    </row>
    <row r="492" spans="9:17" x14ac:dyDescent="0.3">
      <c r="I492" s="17"/>
      <c r="J492" s="17"/>
      <c r="K492" s="17"/>
      <c r="L492" s="17"/>
      <c r="M492" s="17"/>
      <c r="N492" s="52">
        <v>862</v>
      </c>
      <c r="O492" s="53">
        <v>4.7308560816273609E-4</v>
      </c>
      <c r="P492" s="49">
        <f t="shared" si="17"/>
        <v>0.26816500753176153</v>
      </c>
      <c r="Q492" s="17"/>
    </row>
    <row r="493" spans="9:17" x14ac:dyDescent="0.3">
      <c r="I493" s="17"/>
      <c r="J493" s="17"/>
      <c r="K493" s="17"/>
      <c r="L493" s="17"/>
      <c r="M493" s="17"/>
      <c r="N493" s="52">
        <v>863</v>
      </c>
      <c r="O493" s="53">
        <v>4.7181167156021134E-4</v>
      </c>
      <c r="P493" s="49">
        <f t="shared" si="17"/>
        <v>0.26744288618053769</v>
      </c>
      <c r="Q493" s="17"/>
    </row>
    <row r="494" spans="9:17" x14ac:dyDescent="0.3">
      <c r="I494" s="17"/>
      <c r="J494" s="17"/>
      <c r="K494" s="17"/>
      <c r="L494" s="17"/>
      <c r="M494" s="17"/>
      <c r="N494" s="52">
        <v>864</v>
      </c>
      <c r="O494" s="53">
        <v>4.7042173544509789E-4</v>
      </c>
      <c r="P494" s="49">
        <f t="shared" si="17"/>
        <v>0.2666550113808252</v>
      </c>
      <c r="Q494" s="17"/>
    </row>
    <row r="495" spans="9:17" x14ac:dyDescent="0.3">
      <c r="I495" s="17"/>
      <c r="J495" s="17"/>
      <c r="K495" s="17"/>
      <c r="L495" s="17"/>
      <c r="M495" s="17"/>
      <c r="N495" s="52">
        <v>865</v>
      </c>
      <c r="O495" s="53">
        <v>4.6902040960931034E-4</v>
      </c>
      <c r="P495" s="49">
        <f t="shared" si="17"/>
        <v>0.26586068040388466</v>
      </c>
      <c r="Q495" s="17"/>
    </row>
    <row r="496" spans="9:17" x14ac:dyDescent="0.3">
      <c r="I496" s="17"/>
      <c r="J496" s="17"/>
      <c r="K496" s="17"/>
      <c r="L496" s="17"/>
      <c r="M496" s="17"/>
      <c r="N496" s="52">
        <v>866</v>
      </c>
      <c r="O496" s="53">
        <v>4.6771700263217696E-4</v>
      </c>
      <c r="P496" s="49">
        <f t="shared" si="17"/>
        <v>0.2651218539931694</v>
      </c>
      <c r="Q496" s="17"/>
    </row>
    <row r="497" spans="9:17" x14ac:dyDescent="0.3">
      <c r="I497" s="17"/>
      <c r="J497" s="17"/>
      <c r="K497" s="17"/>
      <c r="L497" s="17"/>
      <c r="M497" s="17"/>
      <c r="N497" s="52">
        <v>867</v>
      </c>
      <c r="O497" s="53">
        <v>4.6627616538899412E-4</v>
      </c>
      <c r="P497" s="49">
        <f t="shared" si="17"/>
        <v>0.26430512627306241</v>
      </c>
      <c r="Q497" s="17"/>
    </row>
    <row r="498" spans="9:17" x14ac:dyDescent="0.3">
      <c r="I498" s="17"/>
      <c r="J498" s="17"/>
      <c r="K498" s="17"/>
      <c r="L498" s="17"/>
      <c r="M498" s="17"/>
      <c r="N498" s="52">
        <v>868</v>
      </c>
      <c r="O498" s="53">
        <v>4.6483449381248045E-4</v>
      </c>
      <c r="P498" s="49">
        <f t="shared" si="17"/>
        <v>0.26348792561740197</v>
      </c>
      <c r="Q498" s="17"/>
    </row>
    <row r="499" spans="9:17" x14ac:dyDescent="0.3">
      <c r="I499" s="17"/>
      <c r="J499" s="17"/>
      <c r="K499" s="17"/>
      <c r="L499" s="17"/>
      <c r="M499" s="17"/>
      <c r="N499" s="52">
        <v>869</v>
      </c>
      <c r="O499" s="53">
        <v>4.6344496353917236E-4</v>
      </c>
      <c r="P499" s="49">
        <f t="shared" si="17"/>
        <v>0.26270028086605479</v>
      </c>
      <c r="Q499" s="17"/>
    </row>
    <row r="500" spans="9:17" x14ac:dyDescent="0.3">
      <c r="I500" s="17"/>
      <c r="J500" s="17"/>
      <c r="K500" s="17"/>
      <c r="L500" s="17"/>
      <c r="M500" s="17"/>
      <c r="N500" s="52">
        <v>870</v>
      </c>
      <c r="O500" s="53">
        <v>4.62023440330143E-4</v>
      </c>
      <c r="P500" s="49">
        <f t="shared" si="17"/>
        <v>0.2618945011604823</v>
      </c>
      <c r="Q500" s="17"/>
    </row>
    <row r="501" spans="9:17" x14ac:dyDescent="0.3">
      <c r="I501" s="17"/>
      <c r="J501" s="17"/>
      <c r="K501" s="17"/>
      <c r="L501" s="17"/>
      <c r="M501" s="17"/>
      <c r="N501" s="52">
        <v>871</v>
      </c>
      <c r="O501" s="53">
        <v>4.6060228610564683E-4</v>
      </c>
      <c r="P501" s="49">
        <f t="shared" si="17"/>
        <v>0.26108893061100852</v>
      </c>
      <c r="Q501" s="17"/>
    </row>
    <row r="502" spans="9:17" x14ac:dyDescent="0.3">
      <c r="I502" s="17"/>
      <c r="J502" s="17"/>
      <c r="K502" s="17"/>
      <c r="L502" s="17"/>
      <c r="M502" s="17"/>
      <c r="N502" s="52">
        <v>872</v>
      </c>
      <c r="O502" s="53">
        <v>4.5925170532076629E-4</v>
      </c>
      <c r="P502" s="49">
        <f t="shared" si="17"/>
        <v>0.26032336408330059</v>
      </c>
      <c r="Q502" s="17"/>
    </row>
    <row r="503" spans="9:17" x14ac:dyDescent="0.3">
      <c r="I503" s="17"/>
      <c r="J503" s="17"/>
      <c r="K503" s="17"/>
      <c r="L503" s="17"/>
      <c r="M503" s="17"/>
      <c r="N503" s="52">
        <v>873</v>
      </c>
      <c r="O503" s="53">
        <v>4.5782944723126893E-4</v>
      </c>
      <c r="P503" s="49">
        <f t="shared" si="17"/>
        <v>0.25951716781627954</v>
      </c>
      <c r="Q503" s="17"/>
    </row>
    <row r="504" spans="9:17" x14ac:dyDescent="0.3">
      <c r="I504" s="17"/>
      <c r="J504" s="17"/>
      <c r="K504" s="17"/>
      <c r="L504" s="17"/>
      <c r="M504" s="17"/>
      <c r="N504" s="52">
        <v>874</v>
      </c>
      <c r="O504" s="53">
        <v>4.5631740441536944E-4</v>
      </c>
      <c r="P504" s="49">
        <f t="shared" si="17"/>
        <v>0.25866007775452787</v>
      </c>
      <c r="Q504" s="17"/>
    </row>
    <row r="505" spans="9:17" x14ac:dyDescent="0.3">
      <c r="I505" s="17"/>
      <c r="J505" s="17"/>
      <c r="K505" s="17"/>
      <c r="L505" s="17"/>
      <c r="M505" s="17"/>
      <c r="N505" s="52">
        <v>875</v>
      </c>
      <c r="O505" s="53">
        <v>4.5493355304464077E-4</v>
      </c>
      <c r="P505" s="49">
        <f t="shared" si="17"/>
        <v>0.25787565204626017</v>
      </c>
      <c r="Q505" s="17"/>
    </row>
    <row r="506" spans="9:17" x14ac:dyDescent="0.3">
      <c r="I506" s="17"/>
      <c r="J506" s="17"/>
      <c r="K506" s="17"/>
      <c r="L506" s="17"/>
      <c r="M506" s="17"/>
      <c r="N506" s="52">
        <v>876</v>
      </c>
      <c r="O506" s="53">
        <v>4.5340729938246025E-4</v>
      </c>
      <c r="P506" s="49">
        <f t="shared" si="17"/>
        <v>0.25701050667351566</v>
      </c>
      <c r="Q506" s="17"/>
    </row>
    <row r="507" spans="9:17" x14ac:dyDescent="0.3">
      <c r="I507" s="17"/>
      <c r="J507" s="17"/>
      <c r="K507" s="17"/>
      <c r="L507" s="17"/>
      <c r="M507" s="17"/>
      <c r="N507" s="52">
        <v>877</v>
      </c>
      <c r="O507" s="53">
        <v>4.5196352426465783E-4</v>
      </c>
      <c r="P507" s="49">
        <f t="shared" si="17"/>
        <v>0.25619211364134703</v>
      </c>
      <c r="Q507" s="17"/>
    </row>
    <row r="508" spans="9:17" x14ac:dyDescent="0.3">
      <c r="I508" s="17"/>
      <c r="J508" s="17"/>
      <c r="K508" s="17"/>
      <c r="L508" s="17"/>
      <c r="M508" s="17"/>
      <c r="N508" s="52">
        <v>878</v>
      </c>
      <c r="O508" s="53">
        <v>4.5053573614301472E-4</v>
      </c>
      <c r="P508" s="49">
        <f t="shared" si="17"/>
        <v>0.25538278271732856</v>
      </c>
      <c r="Q508" s="17"/>
    </row>
    <row r="509" spans="9:17" x14ac:dyDescent="0.3">
      <c r="I509" s="17"/>
      <c r="J509" s="17"/>
      <c r="K509" s="17"/>
      <c r="L509" s="17"/>
      <c r="M509" s="17"/>
      <c r="N509" s="52">
        <v>879</v>
      </c>
      <c r="O509" s="53">
        <v>4.490586137185848E-4</v>
      </c>
      <c r="P509" s="49">
        <f t="shared" si="17"/>
        <v>0.25454548701600527</v>
      </c>
      <c r="Q509" s="17"/>
    </row>
    <row r="510" spans="9:17" x14ac:dyDescent="0.3">
      <c r="I510" s="17"/>
      <c r="J510" s="17"/>
      <c r="K510" s="17"/>
      <c r="L510" s="17"/>
      <c r="M510" s="17"/>
      <c r="N510" s="52">
        <v>880</v>
      </c>
      <c r="O510" s="53">
        <v>4.4759309622835171E-4</v>
      </c>
      <c r="P510" s="49">
        <f t="shared" si="17"/>
        <v>0.25371476948407157</v>
      </c>
      <c r="Q510" s="17"/>
    </row>
    <row r="511" spans="9:17" x14ac:dyDescent="0.3">
      <c r="I511" s="17"/>
      <c r="J511" s="17"/>
      <c r="K511" s="17"/>
      <c r="L511" s="17"/>
      <c r="M511" s="17"/>
      <c r="N511" s="52">
        <v>881</v>
      </c>
      <c r="O511" s="53">
        <v>4.4608929500733084E-4</v>
      </c>
      <c r="P511" s="49">
        <f t="shared" si="17"/>
        <v>0.25286235110819361</v>
      </c>
      <c r="Q511" s="17"/>
    </row>
    <row r="512" spans="9:17" x14ac:dyDescent="0.3">
      <c r="I512" s="17"/>
      <c r="J512" s="17"/>
      <c r="K512" s="17"/>
      <c r="L512" s="17"/>
      <c r="M512" s="17"/>
      <c r="N512" s="52">
        <v>882</v>
      </c>
      <c r="O512" s="53">
        <v>4.4460424376006771E-4</v>
      </c>
      <c r="P512" s="49">
        <f t="shared" si="17"/>
        <v>0.25202056101347065</v>
      </c>
      <c r="Q512" s="17"/>
    </row>
    <row r="513" spans="9:17" x14ac:dyDescent="0.3">
      <c r="I513" s="17"/>
      <c r="J513" s="17"/>
      <c r="K513" s="17"/>
      <c r="L513" s="17"/>
      <c r="M513" s="17"/>
      <c r="N513" s="52">
        <v>883</v>
      </c>
      <c r="O513" s="53">
        <v>4.430992581028135E-4</v>
      </c>
      <c r="P513" s="49">
        <f t="shared" si="17"/>
        <v>0.25116747124885042</v>
      </c>
      <c r="Q513" s="17"/>
    </row>
    <row r="514" spans="9:17" x14ac:dyDescent="0.3">
      <c r="I514" s="17"/>
      <c r="J514" s="17"/>
      <c r="K514" s="17"/>
      <c r="L514" s="17"/>
      <c r="M514" s="17"/>
      <c r="N514" s="52">
        <v>884</v>
      </c>
      <c r="O514" s="53">
        <v>4.4158916069197469E-4</v>
      </c>
      <c r="P514" s="49">
        <f t="shared" si="17"/>
        <v>0.25031148392527919</v>
      </c>
      <c r="Q514" s="17"/>
    </row>
    <row r="515" spans="9:17" x14ac:dyDescent="0.3">
      <c r="I515" s="17"/>
      <c r="J515" s="17"/>
      <c r="K515" s="17"/>
      <c r="L515" s="17"/>
      <c r="M515" s="17"/>
      <c r="N515" s="52">
        <v>885</v>
      </c>
      <c r="O515" s="53">
        <v>4.400862076206137E-4</v>
      </c>
      <c r="P515" s="49">
        <f t="shared" si="17"/>
        <v>0.24945954631663655</v>
      </c>
      <c r="Q515" s="17"/>
    </row>
    <row r="516" spans="9:17" x14ac:dyDescent="0.3">
      <c r="I516" s="17"/>
      <c r="J516" s="17"/>
      <c r="K516" s="17"/>
      <c r="L516" s="17"/>
      <c r="M516" s="17"/>
      <c r="N516" s="52">
        <v>886</v>
      </c>
      <c r="O516" s="53">
        <v>4.3856347784308698E-4</v>
      </c>
      <c r="P516" s="49">
        <f t="shared" si="17"/>
        <v>0.24859639843132017</v>
      </c>
      <c r="Q516" s="17"/>
    </row>
    <row r="517" spans="9:17" x14ac:dyDescent="0.3">
      <c r="I517" s="17"/>
      <c r="J517" s="17"/>
      <c r="K517" s="17"/>
      <c r="L517" s="17"/>
      <c r="M517" s="17"/>
      <c r="N517" s="52">
        <v>887</v>
      </c>
      <c r="O517" s="53">
        <v>4.3703800312537566E-4</v>
      </c>
      <c r="P517" s="49">
        <f t="shared" si="17"/>
        <v>0.24773169459737082</v>
      </c>
      <c r="Q517" s="17"/>
    </row>
    <row r="518" spans="9:17" x14ac:dyDescent="0.3">
      <c r="I518" s="17"/>
      <c r="J518" s="17"/>
      <c r="K518" s="17"/>
      <c r="L518" s="17"/>
      <c r="M518" s="17"/>
      <c r="N518" s="52">
        <v>888</v>
      </c>
      <c r="O518" s="53">
        <v>4.3550777258413742E-4</v>
      </c>
      <c r="P518" s="49">
        <f t="shared" si="17"/>
        <v>0.2468642949607382</v>
      </c>
      <c r="Q518" s="17"/>
    </row>
    <row r="519" spans="9:17" x14ac:dyDescent="0.3">
      <c r="I519" s="17"/>
      <c r="J519" s="17"/>
      <c r="K519" s="17"/>
      <c r="L519" s="17"/>
      <c r="M519" s="17"/>
      <c r="N519" s="52">
        <v>889</v>
      </c>
      <c r="O519" s="53">
        <v>4.3398593458786756E-4</v>
      </c>
      <c r="P519" s="49">
        <f t="shared" si="17"/>
        <v>0.2460016525748987</v>
      </c>
      <c r="Q519" s="17"/>
    </row>
    <row r="520" spans="9:17" x14ac:dyDescent="0.3">
      <c r="I520" s="17"/>
      <c r="J520" s="17"/>
      <c r="K520" s="17"/>
      <c r="L520" s="17"/>
      <c r="M520" s="17"/>
      <c r="N520" s="52">
        <v>890</v>
      </c>
      <c r="O520" s="53">
        <v>4.3244073093430974E-4</v>
      </c>
      <c r="P520" s="49">
        <f t="shared" si="17"/>
        <v>0.24512576554252063</v>
      </c>
      <c r="Q520" s="17"/>
    </row>
    <row r="521" spans="9:17" x14ac:dyDescent="0.3">
      <c r="I521" s="17"/>
      <c r="J521" s="17"/>
      <c r="K521" s="17"/>
      <c r="L521" s="17"/>
      <c r="M521" s="17"/>
      <c r="N521" s="52">
        <v>891</v>
      </c>
      <c r="O521" s="53">
        <v>4.3089916626716518E-4</v>
      </c>
      <c r="P521" s="49">
        <f t="shared" si="17"/>
        <v>0.24425194124213456</v>
      </c>
      <c r="Q521" s="17"/>
    </row>
    <row r="522" spans="9:17" x14ac:dyDescent="0.3">
      <c r="I522" s="17"/>
      <c r="J522" s="17"/>
      <c r="K522" s="17"/>
      <c r="L522" s="17"/>
      <c r="M522" s="17"/>
      <c r="N522" s="52">
        <v>892</v>
      </c>
      <c r="O522" s="53">
        <v>4.293477992129216E-4</v>
      </c>
      <c r="P522" s="49">
        <f t="shared" ref="P522:P585" si="18">O522/MAX($O$10:$O$630)</f>
        <v>0.24337256053258094</v>
      </c>
      <c r="Q522" s="17"/>
    </row>
    <row r="523" spans="9:17" x14ac:dyDescent="0.3">
      <c r="I523" s="17"/>
      <c r="J523" s="17"/>
      <c r="K523" s="17"/>
      <c r="L523" s="17"/>
      <c r="M523" s="17"/>
      <c r="N523" s="52">
        <v>893</v>
      </c>
      <c r="O523" s="53">
        <v>4.2780309138232991E-4</v>
      </c>
      <c r="P523" s="49">
        <f t="shared" si="18"/>
        <v>0.2424969545537102</v>
      </c>
      <c r="Q523" s="17"/>
    </row>
    <row r="524" spans="9:17" x14ac:dyDescent="0.3">
      <c r="I524" s="17"/>
      <c r="J524" s="17"/>
      <c r="K524" s="17"/>
      <c r="L524" s="17"/>
      <c r="M524" s="17"/>
      <c r="N524" s="52">
        <v>894</v>
      </c>
      <c r="O524" s="53">
        <v>4.2623765864592143E-4</v>
      </c>
      <c r="P524" s="49">
        <f t="shared" si="18"/>
        <v>0.2416096008183477</v>
      </c>
      <c r="Q524" s="17"/>
    </row>
    <row r="525" spans="9:17" x14ac:dyDescent="0.3">
      <c r="I525" s="17"/>
      <c r="J525" s="17"/>
      <c r="K525" s="17"/>
      <c r="L525" s="17"/>
      <c r="M525" s="17"/>
      <c r="N525" s="52">
        <v>895</v>
      </c>
      <c r="O525" s="53">
        <v>4.2467338866378652E-4</v>
      </c>
      <c r="P525" s="49">
        <f t="shared" si="18"/>
        <v>0.24072290618147213</v>
      </c>
      <c r="Q525" s="17"/>
    </row>
    <row r="526" spans="9:17" x14ac:dyDescent="0.3">
      <c r="I526" s="17"/>
      <c r="J526" s="17"/>
      <c r="K526" s="17"/>
      <c r="L526" s="17"/>
      <c r="M526" s="17"/>
      <c r="N526" s="52">
        <v>896</v>
      </c>
      <c r="O526" s="53">
        <v>4.2310774816767157E-4</v>
      </c>
      <c r="P526" s="49">
        <f t="shared" si="18"/>
        <v>0.23983543467908758</v>
      </c>
      <c r="Q526" s="17"/>
    </row>
    <row r="527" spans="9:17" x14ac:dyDescent="0.3">
      <c r="I527" s="17"/>
      <c r="J527" s="17"/>
      <c r="K527" s="17"/>
      <c r="L527" s="17"/>
      <c r="M527" s="17"/>
      <c r="N527" s="52">
        <v>897</v>
      </c>
      <c r="O527" s="53">
        <v>4.2154115597149418E-4</v>
      </c>
      <c r="P527" s="49">
        <f t="shared" si="18"/>
        <v>0.23894742371270322</v>
      </c>
      <c r="Q527" s="17"/>
    </row>
    <row r="528" spans="9:17" x14ac:dyDescent="0.3">
      <c r="I528" s="17"/>
      <c r="J528" s="17"/>
      <c r="K528" s="17"/>
      <c r="L528" s="17"/>
      <c r="M528" s="17"/>
      <c r="N528" s="52">
        <v>898</v>
      </c>
      <c r="O528" s="53">
        <v>4.1995740825950058E-4</v>
      </c>
      <c r="P528" s="49">
        <f t="shared" si="18"/>
        <v>0.23804968827161774</v>
      </c>
      <c r="Q528" s="17"/>
    </row>
    <row r="529" spans="9:17" x14ac:dyDescent="0.3">
      <c r="I529" s="17"/>
      <c r="J529" s="17"/>
      <c r="K529" s="17"/>
      <c r="L529" s="17"/>
      <c r="M529" s="17"/>
      <c r="N529" s="52">
        <v>899</v>
      </c>
      <c r="O529" s="53">
        <v>4.1837739803961266E-4</v>
      </c>
      <c r="P529" s="49">
        <f t="shared" si="18"/>
        <v>0.23715407139973277</v>
      </c>
      <c r="Q529" s="17"/>
    </row>
    <row r="530" spans="9:17" x14ac:dyDescent="0.3">
      <c r="I530" s="17"/>
      <c r="J530" s="17"/>
      <c r="K530" s="17"/>
      <c r="L530" s="17"/>
      <c r="M530" s="17"/>
      <c r="N530" s="52">
        <v>900</v>
      </c>
      <c r="O530" s="53">
        <v>4.1678632919677936E-4</v>
      </c>
      <c r="P530" s="49">
        <f t="shared" si="18"/>
        <v>0.23625218603086912</v>
      </c>
      <c r="Q530" s="17"/>
    </row>
    <row r="531" spans="9:17" x14ac:dyDescent="0.3">
      <c r="I531" s="17"/>
      <c r="J531" s="17"/>
      <c r="K531" s="17"/>
      <c r="L531" s="17"/>
      <c r="M531" s="17"/>
      <c r="N531" s="52">
        <v>901</v>
      </c>
      <c r="O531" s="53">
        <v>4.1518238794140529E-4</v>
      </c>
      <c r="P531" s="49">
        <f t="shared" si="18"/>
        <v>0.23534300403207972</v>
      </c>
      <c r="Q531" s="17"/>
    </row>
    <row r="532" spans="9:17" x14ac:dyDescent="0.3">
      <c r="I532" s="17"/>
      <c r="J532" s="17"/>
      <c r="K532" s="17"/>
      <c r="L532" s="17"/>
      <c r="M532" s="17"/>
      <c r="N532" s="52">
        <v>902</v>
      </c>
      <c r="O532" s="53">
        <v>4.1359083015288434E-4</v>
      </c>
      <c r="P532" s="49">
        <f t="shared" si="18"/>
        <v>0.23444084150804212</v>
      </c>
      <c r="Q532" s="17"/>
    </row>
    <row r="533" spans="9:17" x14ac:dyDescent="0.3">
      <c r="I533" s="17"/>
      <c r="J533" s="17"/>
      <c r="K533" s="17"/>
      <c r="L533" s="17"/>
      <c r="M533" s="17"/>
      <c r="N533" s="52">
        <v>903</v>
      </c>
      <c r="O533" s="53">
        <v>4.1198650525243086E-4</v>
      </c>
      <c r="P533" s="49">
        <f t="shared" si="18"/>
        <v>0.23353144204293408</v>
      </c>
      <c r="Q533" s="17"/>
    </row>
    <row r="534" spans="9:17" x14ac:dyDescent="0.3">
      <c r="I534" s="17"/>
      <c r="J534" s="17"/>
      <c r="K534" s="17"/>
      <c r="L534" s="17"/>
      <c r="M534" s="17"/>
      <c r="N534" s="52">
        <v>904</v>
      </c>
      <c r="O534" s="53">
        <v>4.1038054446563898E-4</v>
      </c>
      <c r="P534" s="49">
        <f t="shared" si="18"/>
        <v>0.23262111528799798</v>
      </c>
      <c r="Q534" s="17"/>
    </row>
    <row r="535" spans="9:17" x14ac:dyDescent="0.3">
      <c r="I535" s="17"/>
      <c r="J535" s="17"/>
      <c r="K535" s="17"/>
      <c r="L535" s="17"/>
      <c r="M535" s="17"/>
      <c r="N535" s="52">
        <v>905</v>
      </c>
      <c r="O535" s="53">
        <v>4.0876993574005555E-4</v>
      </c>
      <c r="P535" s="49">
        <f t="shared" si="18"/>
        <v>0.23170815388402682</v>
      </c>
      <c r="Q535" s="17"/>
    </row>
    <row r="536" spans="9:17" x14ac:dyDescent="0.3">
      <c r="I536" s="17"/>
      <c r="J536" s="17"/>
      <c r="K536" s="17"/>
      <c r="L536" s="17"/>
      <c r="M536" s="17"/>
      <c r="N536" s="52">
        <v>906</v>
      </c>
      <c r="O536" s="53">
        <v>4.0715279034639709E-4</v>
      </c>
      <c r="P536" s="49">
        <f t="shared" si="18"/>
        <v>0.23079148721907683</v>
      </c>
      <c r="Q536" s="17"/>
    </row>
    <row r="537" spans="9:17" x14ac:dyDescent="0.3">
      <c r="I537" s="17"/>
      <c r="J537" s="17"/>
      <c r="K537" s="17"/>
      <c r="L537" s="17"/>
      <c r="M537" s="17"/>
      <c r="N537" s="52">
        <v>907</v>
      </c>
      <c r="O537" s="53">
        <v>4.0552635826888295E-4</v>
      </c>
      <c r="P537" s="49">
        <f t="shared" si="18"/>
        <v>0.22986955646745175</v>
      </c>
      <c r="Q537" s="17"/>
    </row>
    <row r="538" spans="9:17" x14ac:dyDescent="0.3">
      <c r="I538" s="17"/>
      <c r="J538" s="17"/>
      <c r="K538" s="17"/>
      <c r="L538" s="17"/>
      <c r="M538" s="17"/>
      <c r="N538" s="52">
        <v>908</v>
      </c>
      <c r="O538" s="53">
        <v>4.0389912485456255E-4</v>
      </c>
      <c r="P538" s="49">
        <f t="shared" si="18"/>
        <v>0.22894717148410418</v>
      </c>
      <c r="Q538" s="17"/>
    </row>
    <row r="539" spans="9:17" x14ac:dyDescent="0.3">
      <c r="I539" s="17"/>
      <c r="J539" s="17"/>
      <c r="K539" s="17"/>
      <c r="L539" s="17"/>
      <c r="M539" s="17"/>
      <c r="N539" s="52">
        <v>909</v>
      </c>
      <c r="O539" s="53">
        <v>4.0227654896398356E-4</v>
      </c>
      <c r="P539" s="49">
        <f t="shared" si="18"/>
        <v>0.22802742658294817</v>
      </c>
      <c r="Q539" s="17"/>
    </row>
    <row r="540" spans="9:17" x14ac:dyDescent="0.3">
      <c r="I540" s="17"/>
      <c r="J540" s="17"/>
      <c r="K540" s="17"/>
      <c r="L540" s="17"/>
      <c r="M540" s="17"/>
      <c r="N540" s="52">
        <v>910</v>
      </c>
      <c r="O540" s="53">
        <v>4.0063910568380171E-4</v>
      </c>
      <c r="P540" s="49">
        <f t="shared" si="18"/>
        <v>0.22709925421417099</v>
      </c>
      <c r="Q540" s="17"/>
    </row>
    <row r="541" spans="9:17" x14ac:dyDescent="0.3">
      <c r="I541" s="17"/>
      <c r="J541" s="17"/>
      <c r="K541" s="17"/>
      <c r="L541" s="17"/>
      <c r="M541" s="17"/>
      <c r="N541" s="52">
        <v>911</v>
      </c>
      <c r="O541" s="53">
        <v>3.9899812272593414E-4</v>
      </c>
      <c r="P541" s="49">
        <f t="shared" si="18"/>
        <v>0.22616907540580472</v>
      </c>
      <c r="Q541" s="17"/>
    </row>
    <row r="542" spans="9:17" x14ac:dyDescent="0.3">
      <c r="I542" s="17"/>
      <c r="J542" s="17"/>
      <c r="K542" s="17"/>
      <c r="L542" s="17"/>
      <c r="M542" s="17"/>
      <c r="N542" s="52">
        <v>912</v>
      </c>
      <c r="O542" s="53">
        <v>3.9735049744934212E-4</v>
      </c>
      <c r="P542" s="49">
        <f t="shared" si="18"/>
        <v>0.22523513144918611</v>
      </c>
      <c r="Q542" s="17"/>
    </row>
    <row r="543" spans="9:17" x14ac:dyDescent="0.3">
      <c r="I543" s="17"/>
      <c r="J543" s="17"/>
      <c r="K543" s="17"/>
      <c r="L543" s="17"/>
      <c r="M543" s="17"/>
      <c r="N543" s="52">
        <v>913</v>
      </c>
      <c r="O543" s="53">
        <v>3.9570290017604053E-4</v>
      </c>
      <c r="P543" s="49">
        <f t="shared" si="18"/>
        <v>0.22430120336602141</v>
      </c>
      <c r="Q543" s="17"/>
    </row>
    <row r="544" spans="9:17" x14ac:dyDescent="0.3">
      <c r="I544" s="17"/>
      <c r="J544" s="17"/>
      <c r="K544" s="17"/>
      <c r="L544" s="17"/>
      <c r="M544" s="17"/>
      <c r="N544" s="52">
        <v>914</v>
      </c>
      <c r="O544" s="53">
        <v>3.9405085676265925E-4</v>
      </c>
      <c r="P544" s="49">
        <f t="shared" si="18"/>
        <v>0.2233647550218989</v>
      </c>
      <c r="Q544" s="17"/>
    </row>
    <row r="545" spans="9:17" x14ac:dyDescent="0.3">
      <c r="I545" s="17"/>
      <c r="J545" s="17"/>
      <c r="K545" s="17"/>
      <c r="L545" s="17"/>
      <c r="M545" s="17"/>
      <c r="N545" s="52">
        <v>915</v>
      </c>
      <c r="O545" s="53">
        <v>3.9237499881571614E-4</v>
      </c>
      <c r="P545" s="49">
        <f t="shared" si="18"/>
        <v>0.22241480758910873</v>
      </c>
      <c r="Q545" s="17"/>
    </row>
    <row r="546" spans="9:17" x14ac:dyDescent="0.3">
      <c r="I546" s="17"/>
      <c r="J546" s="17"/>
      <c r="K546" s="17"/>
      <c r="L546" s="17"/>
      <c r="M546" s="17"/>
      <c r="N546" s="52">
        <v>916</v>
      </c>
      <c r="O546" s="53">
        <v>3.9071222695053826E-4</v>
      </c>
      <c r="P546" s="49">
        <f t="shared" si="18"/>
        <v>0.22147227790303203</v>
      </c>
      <c r="Q546" s="17"/>
    </row>
    <row r="547" spans="9:17" x14ac:dyDescent="0.3">
      <c r="I547" s="17"/>
      <c r="J547" s="17"/>
      <c r="K547" s="17"/>
      <c r="L547" s="17"/>
      <c r="M547" s="17"/>
      <c r="N547" s="52">
        <v>917</v>
      </c>
      <c r="O547" s="53">
        <v>3.8904877126971624E-4</v>
      </c>
      <c r="P547" s="49">
        <f t="shared" si="18"/>
        <v>0.22052936060121689</v>
      </c>
      <c r="Q547" s="17"/>
    </row>
    <row r="548" spans="9:17" x14ac:dyDescent="0.3">
      <c r="I548" s="17"/>
      <c r="J548" s="17"/>
      <c r="K548" s="17"/>
      <c r="L548" s="17"/>
      <c r="M548" s="17"/>
      <c r="N548" s="52">
        <v>918</v>
      </c>
      <c r="O548" s="53">
        <v>3.8735295572770541E-4</v>
      </c>
      <c r="P548" s="49">
        <f t="shared" si="18"/>
        <v>0.21956810035624366</v>
      </c>
      <c r="Q548" s="17"/>
    </row>
    <row r="549" spans="9:17" x14ac:dyDescent="0.3">
      <c r="I549" s="17"/>
      <c r="J549" s="17"/>
      <c r="K549" s="17"/>
      <c r="L549" s="17"/>
      <c r="M549" s="17"/>
      <c r="N549" s="52">
        <v>919</v>
      </c>
      <c r="O549" s="53">
        <v>3.8569240260852977E-4</v>
      </c>
      <c r="P549" s="49">
        <f t="shared" si="18"/>
        <v>0.21862682834959779</v>
      </c>
      <c r="Q549" s="17"/>
    </row>
    <row r="550" spans="9:17" x14ac:dyDescent="0.3">
      <c r="I550" s="17"/>
      <c r="J550" s="17"/>
      <c r="K550" s="17"/>
      <c r="L550" s="17"/>
      <c r="M550" s="17"/>
      <c r="N550" s="52">
        <v>920</v>
      </c>
      <c r="O550" s="53">
        <v>3.839892307462505E-4</v>
      </c>
      <c r="P550" s="49">
        <f t="shared" si="18"/>
        <v>0.21766139822998423</v>
      </c>
      <c r="Q550" s="17"/>
    </row>
    <row r="551" spans="9:17" x14ac:dyDescent="0.3">
      <c r="I551" s="17"/>
      <c r="J551" s="17"/>
      <c r="K551" s="17"/>
      <c r="L551" s="17"/>
      <c r="M551" s="17"/>
      <c r="N551" s="52">
        <v>921</v>
      </c>
      <c r="O551" s="53">
        <v>3.8233210391202513E-4</v>
      </c>
      <c r="P551" s="49">
        <f t="shared" si="18"/>
        <v>0.21672206838711092</v>
      </c>
      <c r="Q551" s="17"/>
    </row>
    <row r="552" spans="9:17" x14ac:dyDescent="0.3">
      <c r="I552" s="17"/>
      <c r="J552" s="17"/>
      <c r="K552" s="17"/>
      <c r="L552" s="17"/>
      <c r="M552" s="17"/>
      <c r="N552" s="52">
        <v>922</v>
      </c>
      <c r="O552" s="53">
        <v>3.8063574889485996E-4</v>
      </c>
      <c r="P552" s="49">
        <f t="shared" si="18"/>
        <v>0.21576050234471683</v>
      </c>
      <c r="Q552" s="17"/>
    </row>
    <row r="553" spans="9:17" x14ac:dyDescent="0.3">
      <c r="I553" s="17"/>
      <c r="J553" s="17"/>
      <c r="K553" s="17"/>
      <c r="L553" s="17"/>
      <c r="M553" s="17"/>
      <c r="N553" s="52">
        <v>923</v>
      </c>
      <c r="O553" s="53">
        <v>3.7891278347296388E-4</v>
      </c>
      <c r="P553" s="49">
        <f t="shared" si="18"/>
        <v>0.21478385239517792</v>
      </c>
      <c r="Q553" s="17"/>
    </row>
    <row r="554" spans="9:17" x14ac:dyDescent="0.3">
      <c r="I554" s="17"/>
      <c r="J554" s="17"/>
      <c r="K554" s="17"/>
      <c r="L554" s="17"/>
      <c r="M554" s="17"/>
      <c r="N554" s="52">
        <v>924</v>
      </c>
      <c r="O554" s="53">
        <v>3.7721483038419756E-4</v>
      </c>
      <c r="P554" s="49">
        <f t="shared" si="18"/>
        <v>0.21382138049795424</v>
      </c>
      <c r="Q554" s="17"/>
    </row>
    <row r="555" spans="9:17" x14ac:dyDescent="0.3">
      <c r="I555" s="17"/>
      <c r="J555" s="17"/>
      <c r="K555" s="17"/>
      <c r="L555" s="17"/>
      <c r="M555" s="17"/>
      <c r="N555" s="52">
        <v>925</v>
      </c>
      <c r="O555" s="53">
        <v>3.7548771202285022E-4</v>
      </c>
      <c r="P555" s="49">
        <f t="shared" si="18"/>
        <v>0.21284237648602153</v>
      </c>
      <c r="Q555" s="17"/>
    </row>
    <row r="556" spans="9:17" x14ac:dyDescent="0.3">
      <c r="I556" s="17"/>
      <c r="J556" s="17"/>
      <c r="K556" s="17"/>
      <c r="L556" s="17"/>
      <c r="M556" s="17"/>
      <c r="N556" s="52">
        <v>926</v>
      </c>
      <c r="O556" s="53">
        <v>3.7377914466776331E-4</v>
      </c>
      <c r="P556" s="49">
        <f t="shared" si="18"/>
        <v>0.21187388797201923</v>
      </c>
      <c r="Q556" s="17"/>
    </row>
    <row r="557" spans="9:17" x14ac:dyDescent="0.3">
      <c r="I557" s="17"/>
      <c r="J557" s="17"/>
      <c r="K557" s="17"/>
      <c r="L557" s="17"/>
      <c r="M557" s="17"/>
      <c r="N557" s="52">
        <v>927</v>
      </c>
      <c r="O557" s="53">
        <v>3.720910918025924E-4</v>
      </c>
      <c r="P557" s="49">
        <f t="shared" si="18"/>
        <v>0.21091702794184292</v>
      </c>
      <c r="Q557" s="17"/>
    </row>
    <row r="558" spans="9:17" x14ac:dyDescent="0.3">
      <c r="I558" s="17"/>
      <c r="J558" s="17"/>
      <c r="K558" s="17"/>
      <c r="L558" s="17"/>
      <c r="M558" s="17"/>
      <c r="N558" s="52">
        <v>928</v>
      </c>
      <c r="O558" s="53">
        <v>3.7031725662248932E-4</v>
      </c>
      <c r="P558" s="49">
        <f t="shared" si="18"/>
        <v>0.2099115428536793</v>
      </c>
      <c r="Q558" s="17"/>
    </row>
    <row r="559" spans="9:17" x14ac:dyDescent="0.3">
      <c r="I559" s="17"/>
      <c r="J559" s="17"/>
      <c r="K559" s="17"/>
      <c r="L559" s="17"/>
      <c r="M559" s="17"/>
      <c r="N559" s="52">
        <v>929</v>
      </c>
      <c r="O559" s="53">
        <v>3.6860661776517219E-4</v>
      </c>
      <c r="P559" s="49">
        <f t="shared" si="18"/>
        <v>0.2089418801242674</v>
      </c>
      <c r="Q559" s="17"/>
    </row>
    <row r="560" spans="9:17" x14ac:dyDescent="0.3">
      <c r="I560" s="17"/>
      <c r="J560" s="17"/>
      <c r="K560" s="17"/>
      <c r="L560" s="17"/>
      <c r="M560" s="17"/>
      <c r="N560" s="52">
        <v>930</v>
      </c>
      <c r="O560" s="53">
        <v>3.6687859596825701E-4</v>
      </c>
      <c r="P560" s="49">
        <f t="shared" si="18"/>
        <v>0.20796236400669951</v>
      </c>
      <c r="Q560" s="17"/>
    </row>
    <row r="561" spans="9:17" x14ac:dyDescent="0.3">
      <c r="I561" s="17"/>
      <c r="J561" s="17"/>
      <c r="K561" s="17"/>
      <c r="L561" s="17"/>
      <c r="M561" s="17"/>
      <c r="N561" s="52">
        <v>931</v>
      </c>
      <c r="O561" s="53">
        <v>3.6514452916692097E-4</v>
      </c>
      <c r="P561" s="49">
        <f t="shared" si="18"/>
        <v>0.20697942132398553</v>
      </c>
      <c r="Q561" s="17"/>
    </row>
    <row r="562" spans="9:17" x14ac:dyDescent="0.3">
      <c r="I562" s="17"/>
      <c r="J562" s="17"/>
      <c r="K562" s="17"/>
      <c r="L562" s="17"/>
      <c r="M562" s="17"/>
      <c r="N562" s="52">
        <v>932</v>
      </c>
      <c r="O562" s="53">
        <v>3.6338655960106746E-4</v>
      </c>
      <c r="P562" s="49">
        <f t="shared" si="18"/>
        <v>0.20598292953955241</v>
      </c>
      <c r="Q562" s="17"/>
    </row>
    <row r="563" spans="9:17" x14ac:dyDescent="0.3">
      <c r="I563" s="17"/>
      <c r="J563" s="17"/>
      <c r="K563" s="17"/>
      <c r="L563" s="17"/>
      <c r="M563" s="17"/>
      <c r="N563" s="52">
        <v>933</v>
      </c>
      <c r="O563" s="53">
        <v>3.6163922078435399E-4</v>
      </c>
      <c r="P563" s="49">
        <f t="shared" si="18"/>
        <v>0.20499246371505975</v>
      </c>
      <c r="Q563" s="17"/>
    </row>
    <row r="564" spans="9:17" x14ac:dyDescent="0.3">
      <c r="I564" s="17"/>
      <c r="J564" s="17"/>
      <c r="K564" s="17"/>
      <c r="L564" s="17"/>
      <c r="M564" s="17"/>
      <c r="N564" s="52">
        <v>934</v>
      </c>
      <c r="O564" s="53">
        <v>3.5985862558934379E-4</v>
      </c>
      <c r="P564" s="49">
        <f t="shared" si="18"/>
        <v>0.2039831467634507</v>
      </c>
      <c r="Q564" s="17"/>
    </row>
    <row r="565" spans="9:17" x14ac:dyDescent="0.3">
      <c r="I565" s="17"/>
      <c r="J565" s="17"/>
      <c r="K565" s="17"/>
      <c r="L565" s="17"/>
      <c r="M565" s="17"/>
      <c r="N565" s="52">
        <v>935</v>
      </c>
      <c r="O565" s="53">
        <v>3.5808727065655824E-4</v>
      </c>
      <c r="P565" s="49">
        <f t="shared" si="18"/>
        <v>0.20297906758476544</v>
      </c>
      <c r="Q565" s="17"/>
    </row>
    <row r="566" spans="9:17" x14ac:dyDescent="0.3">
      <c r="I566" s="17"/>
      <c r="J566" s="17"/>
      <c r="K566" s="17"/>
      <c r="L566" s="17"/>
      <c r="M566" s="17"/>
      <c r="N566" s="52">
        <v>936</v>
      </c>
      <c r="O566" s="53">
        <v>3.5631483677346426E-4</v>
      </c>
      <c r="P566" s="49">
        <f t="shared" si="18"/>
        <v>0.20197437681123856</v>
      </c>
      <c r="Q566" s="17"/>
    </row>
    <row r="567" spans="9:17" x14ac:dyDescent="0.3">
      <c r="I567" s="17"/>
      <c r="J567" s="17"/>
      <c r="K567" s="17"/>
      <c r="L567" s="17"/>
      <c r="M567" s="17"/>
      <c r="N567" s="52">
        <v>937</v>
      </c>
      <c r="O567" s="53">
        <v>3.5456039150407728E-4</v>
      </c>
      <c r="P567" s="49">
        <f t="shared" si="18"/>
        <v>0.20097988274766651</v>
      </c>
      <c r="Q567" s="17"/>
    </row>
    <row r="568" spans="9:17" x14ac:dyDescent="0.3">
      <c r="I568" s="17"/>
      <c r="J568" s="17"/>
      <c r="K568" s="17"/>
      <c r="L568" s="17"/>
      <c r="M568" s="17"/>
      <c r="N568" s="52">
        <v>938</v>
      </c>
      <c r="O568" s="53">
        <v>3.5276233316886875E-4</v>
      </c>
      <c r="P568" s="49">
        <f t="shared" si="18"/>
        <v>0.19996066694679632</v>
      </c>
      <c r="Q568" s="17"/>
    </row>
    <row r="569" spans="9:17" x14ac:dyDescent="0.3">
      <c r="I569" s="17"/>
      <c r="J569" s="17"/>
      <c r="K569" s="17"/>
      <c r="L569" s="17"/>
      <c r="M569" s="17"/>
      <c r="N569" s="52">
        <v>939</v>
      </c>
      <c r="O569" s="53">
        <v>3.510201589001791E-4</v>
      </c>
      <c r="P569" s="49">
        <f t="shared" si="18"/>
        <v>0.1989731286073842</v>
      </c>
      <c r="Q569" s="17"/>
    </row>
    <row r="570" spans="9:17" x14ac:dyDescent="0.3">
      <c r="I570" s="17"/>
      <c r="J570" s="17"/>
      <c r="K570" s="17"/>
      <c r="L570" s="17"/>
      <c r="M570" s="17"/>
      <c r="N570" s="52">
        <v>940</v>
      </c>
      <c r="O570" s="53">
        <v>3.4922742592600814E-4</v>
      </c>
      <c r="P570" s="49">
        <f t="shared" si="18"/>
        <v>0.19795693144723803</v>
      </c>
      <c r="Q570" s="17"/>
    </row>
    <row r="571" spans="9:17" x14ac:dyDescent="0.3">
      <c r="I571" s="17"/>
      <c r="J571" s="17"/>
      <c r="K571" s="17"/>
      <c r="L571" s="17"/>
      <c r="M571" s="17"/>
      <c r="N571" s="52">
        <v>941</v>
      </c>
      <c r="O571" s="53">
        <v>3.474340807916714E-4</v>
      </c>
      <c r="P571" s="49">
        <f t="shared" si="18"/>
        <v>0.19694038728872068</v>
      </c>
      <c r="Q571" s="17"/>
    </row>
    <row r="572" spans="9:17" x14ac:dyDescent="0.3">
      <c r="I572" s="17"/>
      <c r="J572" s="17"/>
      <c r="K572" s="17"/>
      <c r="L572" s="17"/>
      <c r="M572" s="17"/>
      <c r="N572" s="52">
        <v>942</v>
      </c>
      <c r="O572" s="53">
        <v>3.4559943121572376E-4</v>
      </c>
      <c r="P572" s="49">
        <f t="shared" si="18"/>
        <v>0.19590043001912033</v>
      </c>
      <c r="Q572" s="17"/>
    </row>
    <row r="573" spans="9:17" x14ac:dyDescent="0.3">
      <c r="I573" s="17"/>
      <c r="J573" s="17"/>
      <c r="K573" s="17"/>
      <c r="L573" s="17"/>
      <c r="M573" s="17"/>
      <c r="N573" s="52">
        <v>943</v>
      </c>
      <c r="O573" s="53">
        <v>3.4380814782364723E-4</v>
      </c>
      <c r="P573" s="49">
        <f t="shared" si="18"/>
        <v>0.19488505454364721</v>
      </c>
      <c r="Q573" s="17"/>
    </row>
    <row r="574" spans="9:17" x14ac:dyDescent="0.3">
      <c r="I574" s="17"/>
      <c r="J574" s="17"/>
      <c r="K574" s="17"/>
      <c r="L574" s="17"/>
      <c r="M574" s="17"/>
      <c r="N574" s="52">
        <v>944</v>
      </c>
      <c r="O574" s="53">
        <v>3.4197911476059476E-4</v>
      </c>
      <c r="P574" s="49">
        <f t="shared" si="18"/>
        <v>0.19384828095200463</v>
      </c>
      <c r="Q574" s="17"/>
    </row>
    <row r="575" spans="9:17" x14ac:dyDescent="0.3">
      <c r="I575" s="17"/>
      <c r="J575" s="17"/>
      <c r="K575" s="17"/>
      <c r="L575" s="17"/>
      <c r="M575" s="17"/>
      <c r="N575" s="52">
        <v>945</v>
      </c>
      <c r="O575" s="53">
        <v>3.4019114399305391E-4</v>
      </c>
      <c r="P575" s="49">
        <f t="shared" si="18"/>
        <v>0.19283478321275563</v>
      </c>
      <c r="Q575" s="17"/>
    </row>
    <row r="576" spans="9:17" x14ac:dyDescent="0.3">
      <c r="I576" s="17"/>
      <c r="J576" s="17"/>
      <c r="K576" s="17"/>
      <c r="L576" s="17"/>
      <c r="M576" s="17"/>
      <c r="N576" s="52">
        <v>946</v>
      </c>
      <c r="O576" s="53">
        <v>3.3834228377673165E-4</v>
      </c>
      <c r="P576" s="49">
        <f t="shared" si="18"/>
        <v>0.19178677074887895</v>
      </c>
      <c r="Q576" s="17"/>
    </row>
    <row r="577" spans="9:17" x14ac:dyDescent="0.3">
      <c r="I577" s="17"/>
      <c r="J577" s="17"/>
      <c r="K577" s="17"/>
      <c r="L577" s="17"/>
      <c r="M577" s="17"/>
      <c r="N577" s="52">
        <v>947</v>
      </c>
      <c r="O577" s="53">
        <v>3.3655680509613517E-4</v>
      </c>
      <c r="P577" s="49">
        <f t="shared" si="18"/>
        <v>0.19077468563031144</v>
      </c>
      <c r="Q577" s="17"/>
    </row>
    <row r="578" spans="9:17" x14ac:dyDescent="0.3">
      <c r="I578" s="17"/>
      <c r="J578" s="17"/>
      <c r="K578" s="17"/>
      <c r="L578" s="17"/>
      <c r="M578" s="17"/>
      <c r="N578" s="52">
        <v>948</v>
      </c>
      <c r="O578" s="53">
        <v>3.3469227559745625E-4</v>
      </c>
      <c r="P578" s="49">
        <f t="shared" si="18"/>
        <v>0.18971779115195642</v>
      </c>
      <c r="Q578" s="17"/>
    </row>
    <row r="579" spans="9:17" x14ac:dyDescent="0.3">
      <c r="I579" s="17"/>
      <c r="J579" s="17"/>
      <c r="K579" s="17"/>
      <c r="L579" s="17"/>
      <c r="M579" s="17"/>
      <c r="N579" s="52">
        <v>949</v>
      </c>
      <c r="O579" s="53">
        <v>3.3288451741660943E-4</v>
      </c>
      <c r="P579" s="49">
        <f t="shared" si="18"/>
        <v>0.18869307706677202</v>
      </c>
      <c r="Q579" s="17"/>
    </row>
    <row r="580" spans="9:17" x14ac:dyDescent="0.3">
      <c r="I580" s="17"/>
      <c r="J580" s="17"/>
      <c r="K580" s="17"/>
      <c r="L580" s="17"/>
      <c r="M580" s="17"/>
      <c r="N580" s="52">
        <v>950</v>
      </c>
      <c r="O580" s="53">
        <v>3.3105630715612078E-4</v>
      </c>
      <c r="P580" s="49">
        <f t="shared" si="18"/>
        <v>0.18765676987455462</v>
      </c>
      <c r="Q580" s="17"/>
    </row>
    <row r="581" spans="9:17" x14ac:dyDescent="0.3">
      <c r="I581" s="17"/>
      <c r="J581" s="17"/>
      <c r="K581" s="17"/>
      <c r="L581" s="17"/>
      <c r="M581" s="17"/>
      <c r="N581" s="52">
        <v>951</v>
      </c>
      <c r="O581" s="53">
        <v>3.2921212966650123E-4</v>
      </c>
      <c r="P581" s="49">
        <f t="shared" si="18"/>
        <v>0.18661141177897794</v>
      </c>
      <c r="Q581" s="17"/>
    </row>
    <row r="582" spans="9:17" x14ac:dyDescent="0.3">
      <c r="I582" s="17"/>
      <c r="J582" s="17"/>
      <c r="K582" s="17"/>
      <c r="L582" s="17"/>
      <c r="M582" s="17"/>
      <c r="N582" s="52">
        <v>952</v>
      </c>
      <c r="O582" s="53">
        <v>3.2737804921625056E-4</v>
      </c>
      <c r="P582" s="49">
        <f t="shared" si="18"/>
        <v>0.18557177711398484</v>
      </c>
      <c r="Q582" s="17"/>
    </row>
    <row r="583" spans="9:17" x14ac:dyDescent="0.3">
      <c r="I583" s="17"/>
      <c r="J583" s="17"/>
      <c r="K583" s="17"/>
      <c r="L583" s="17"/>
      <c r="M583" s="17"/>
      <c r="N583" s="52">
        <v>953</v>
      </c>
      <c r="O583" s="53">
        <v>3.2550094881398847E-4</v>
      </c>
      <c r="P583" s="49">
        <f t="shared" si="18"/>
        <v>0.18450775691378182</v>
      </c>
      <c r="Q583" s="17"/>
    </row>
    <row r="584" spans="9:17" x14ac:dyDescent="0.3">
      <c r="I584" s="17"/>
      <c r="J584" s="17"/>
      <c r="K584" s="17"/>
      <c r="L584" s="17"/>
      <c r="M584" s="17"/>
      <c r="N584" s="52">
        <v>954</v>
      </c>
      <c r="O584" s="53">
        <v>3.2367971353484243E-4</v>
      </c>
      <c r="P584" s="49">
        <f t="shared" si="18"/>
        <v>0.18347540343711188</v>
      </c>
      <c r="Q584" s="17"/>
    </row>
    <row r="585" spans="9:17" x14ac:dyDescent="0.3">
      <c r="I585" s="17"/>
      <c r="J585" s="17"/>
      <c r="K585" s="17"/>
      <c r="L585" s="17"/>
      <c r="M585" s="17"/>
      <c r="N585" s="52">
        <v>955</v>
      </c>
      <c r="O585" s="53">
        <v>3.2181934602520804E-4</v>
      </c>
      <c r="P585" s="49">
        <f t="shared" si="18"/>
        <v>0.18242086815084432</v>
      </c>
      <c r="Q585" s="17"/>
    </row>
    <row r="586" spans="9:17" x14ac:dyDescent="0.3">
      <c r="I586" s="17"/>
      <c r="J586" s="17"/>
      <c r="K586" s="17"/>
      <c r="L586" s="17"/>
      <c r="M586" s="17"/>
      <c r="N586" s="52">
        <v>956</v>
      </c>
      <c r="O586" s="53">
        <v>3.1993812224137921E-4</v>
      </c>
      <c r="P586" s="49">
        <f t="shared" ref="P586:P630" si="19">O586/MAX($O$10:$O$630)</f>
        <v>0.1813545106429113</v>
      </c>
      <c r="Q586" s="17"/>
    </row>
    <row r="587" spans="9:17" x14ac:dyDescent="0.3">
      <c r="I587" s="17"/>
      <c r="J587" s="17"/>
      <c r="K587" s="17"/>
      <c r="L587" s="17"/>
      <c r="M587" s="17"/>
      <c r="N587" s="52">
        <v>957</v>
      </c>
      <c r="O587" s="53">
        <v>3.1810311418213198E-4</v>
      </c>
      <c r="P587" s="49">
        <f t="shared" si="19"/>
        <v>0.18031435016975736</v>
      </c>
      <c r="Q587" s="17"/>
    </row>
    <row r="588" spans="9:17" x14ac:dyDescent="0.3">
      <c r="I588" s="17"/>
      <c r="J588" s="17"/>
      <c r="K588" s="17"/>
      <c r="L588" s="17"/>
      <c r="M588" s="17"/>
      <c r="N588" s="52">
        <v>958</v>
      </c>
      <c r="O588" s="53">
        <v>3.1623579259066963E-4</v>
      </c>
      <c r="P588" s="49">
        <f t="shared" si="19"/>
        <v>0.17925587301467455</v>
      </c>
      <c r="Q588" s="17"/>
    </row>
    <row r="589" spans="9:17" x14ac:dyDescent="0.3">
      <c r="I589" s="17"/>
      <c r="J589" s="17"/>
      <c r="K589" s="17"/>
      <c r="L589" s="17"/>
      <c r="M589" s="17"/>
      <c r="N589" s="52">
        <v>959</v>
      </c>
      <c r="O589" s="53">
        <v>3.1438966784283072E-4</v>
      </c>
      <c r="P589" s="49">
        <f t="shared" si="19"/>
        <v>0.17820941113046837</v>
      </c>
      <c r="Q589" s="17"/>
    </row>
    <row r="590" spans="9:17" x14ac:dyDescent="0.3">
      <c r="I590" s="17"/>
      <c r="J590" s="17"/>
      <c r="K590" s="17"/>
      <c r="L590" s="17"/>
      <c r="M590" s="17"/>
      <c r="N590" s="52">
        <v>960</v>
      </c>
      <c r="O590" s="53">
        <v>3.1249546062165061E-4</v>
      </c>
      <c r="P590" s="49">
        <f t="shared" si="19"/>
        <v>0.17713569405903351</v>
      </c>
      <c r="Q590" s="17"/>
    </row>
    <row r="591" spans="9:17" x14ac:dyDescent="0.3">
      <c r="I591" s="17"/>
      <c r="J591" s="17"/>
      <c r="K591" s="17"/>
      <c r="L591" s="17"/>
      <c r="M591" s="17"/>
      <c r="N591" s="52">
        <v>961</v>
      </c>
      <c r="O591" s="53">
        <v>3.1063882949222655E-4</v>
      </c>
      <c r="P591" s="49">
        <f t="shared" si="19"/>
        <v>0.17608327671169699</v>
      </c>
      <c r="Q591" s="17"/>
    </row>
    <row r="592" spans="9:17" x14ac:dyDescent="0.3">
      <c r="I592" s="17"/>
      <c r="J592" s="17"/>
      <c r="K592" s="17"/>
      <c r="L592" s="17"/>
      <c r="M592" s="17"/>
      <c r="N592" s="52">
        <v>962</v>
      </c>
      <c r="O592" s="53">
        <v>3.0881873009654993E-4</v>
      </c>
      <c r="P592" s="49">
        <f t="shared" si="19"/>
        <v>0.1750515671020014</v>
      </c>
      <c r="Q592" s="17"/>
    </row>
    <row r="593" spans="9:17" x14ac:dyDescent="0.3">
      <c r="I593" s="17"/>
      <c r="J593" s="17"/>
      <c r="K593" s="17"/>
      <c r="L593" s="17"/>
      <c r="M593" s="17"/>
      <c r="N593" s="52">
        <v>963</v>
      </c>
      <c r="O593" s="53">
        <v>3.0694190838879986E-4</v>
      </c>
      <c r="P593" s="49">
        <f t="shared" si="19"/>
        <v>0.17398770487767976</v>
      </c>
      <c r="Q593" s="17"/>
    </row>
    <row r="594" spans="9:17" x14ac:dyDescent="0.3">
      <c r="I594" s="17"/>
      <c r="J594" s="17"/>
      <c r="K594" s="17"/>
      <c r="L594" s="17"/>
      <c r="M594" s="17"/>
      <c r="N594" s="52">
        <v>964</v>
      </c>
      <c r="O594" s="53">
        <v>3.0502858624509776E-4</v>
      </c>
      <c r="P594" s="49">
        <f t="shared" si="19"/>
        <v>0.17290315265663636</v>
      </c>
      <c r="Q594" s="17"/>
    </row>
    <row r="595" spans="9:17" x14ac:dyDescent="0.3">
      <c r="I595" s="17"/>
      <c r="J595" s="17"/>
      <c r="K595" s="17"/>
      <c r="L595" s="17"/>
      <c r="M595" s="17"/>
      <c r="N595" s="52">
        <v>965</v>
      </c>
      <c r="O595" s="53">
        <v>3.0319440057660109E-4</v>
      </c>
      <c r="P595" s="49">
        <f t="shared" si="19"/>
        <v>0.17186345834947439</v>
      </c>
      <c r="Q595" s="17"/>
    </row>
    <row r="596" spans="9:17" x14ac:dyDescent="0.3">
      <c r="I596" s="17"/>
      <c r="J596" s="17"/>
      <c r="K596" s="17"/>
      <c r="L596" s="17"/>
      <c r="M596" s="17"/>
      <c r="N596" s="52">
        <v>966</v>
      </c>
      <c r="O596" s="53">
        <v>3.0129797059424122E-4</v>
      </c>
      <c r="P596" s="49">
        <f t="shared" si="19"/>
        <v>0.1707884813226356</v>
      </c>
      <c r="Q596" s="17"/>
    </row>
    <row r="597" spans="9:17" x14ac:dyDescent="0.3">
      <c r="I597" s="17"/>
      <c r="J597" s="17"/>
      <c r="K597" s="17"/>
      <c r="L597" s="17"/>
      <c r="M597" s="17"/>
      <c r="N597" s="52">
        <v>967</v>
      </c>
      <c r="O597" s="53">
        <v>2.9943209590808754E-4</v>
      </c>
      <c r="P597" s="49">
        <f t="shared" si="19"/>
        <v>0.16973082433491002</v>
      </c>
      <c r="Q597" s="17"/>
    </row>
    <row r="598" spans="9:17" x14ac:dyDescent="0.3">
      <c r="I598" s="17"/>
      <c r="J598" s="17"/>
      <c r="K598" s="17"/>
      <c r="L598" s="17"/>
      <c r="M598" s="17"/>
      <c r="N598" s="52">
        <v>968</v>
      </c>
      <c r="O598" s="53">
        <v>2.9755481049879254E-4</v>
      </c>
      <c r="P598" s="49">
        <f t="shared" si="19"/>
        <v>0.16866669926486627</v>
      </c>
      <c r="Q598" s="17"/>
    </row>
    <row r="599" spans="9:17" x14ac:dyDescent="0.3">
      <c r="I599" s="17"/>
      <c r="J599" s="17"/>
      <c r="K599" s="17"/>
      <c r="L599" s="17"/>
      <c r="M599" s="17"/>
      <c r="N599" s="52">
        <v>969</v>
      </c>
      <c r="O599" s="53">
        <v>2.9569781656203168E-4</v>
      </c>
      <c r="P599" s="49">
        <f t="shared" si="19"/>
        <v>0.16761407626292829</v>
      </c>
      <c r="Q599" s="17"/>
    </row>
    <row r="600" spans="9:17" x14ac:dyDescent="0.3">
      <c r="I600" s="17"/>
      <c r="J600" s="17"/>
      <c r="K600" s="17"/>
      <c r="L600" s="17"/>
      <c r="M600" s="17"/>
      <c r="N600" s="52">
        <v>970</v>
      </c>
      <c r="O600" s="53">
        <v>2.9383201456088955E-4</v>
      </c>
      <c r="P600" s="49">
        <f t="shared" si="19"/>
        <v>0.16655646047615311</v>
      </c>
      <c r="Q600" s="17"/>
    </row>
    <row r="601" spans="9:17" x14ac:dyDescent="0.3">
      <c r="I601" s="17"/>
      <c r="J601" s="17"/>
      <c r="K601" s="17"/>
      <c r="L601" s="17"/>
      <c r="M601" s="17"/>
      <c r="N601" s="52">
        <v>971</v>
      </c>
      <c r="O601" s="53">
        <v>2.9197933827852308E-4</v>
      </c>
      <c r="P601" s="49">
        <f t="shared" si="19"/>
        <v>0.16550628490403166</v>
      </c>
      <c r="Q601" s="17"/>
    </row>
    <row r="602" spans="9:17" x14ac:dyDescent="0.3">
      <c r="I602" s="17"/>
      <c r="J602" s="17"/>
      <c r="K602" s="17"/>
      <c r="L602" s="17"/>
      <c r="M602" s="17"/>
      <c r="N602" s="52">
        <v>972</v>
      </c>
      <c r="O602" s="53">
        <v>2.9007679184216996E-4</v>
      </c>
      <c r="P602" s="49">
        <f t="shared" si="19"/>
        <v>0.16442784081139578</v>
      </c>
      <c r="Q602" s="17"/>
    </row>
    <row r="603" spans="9:17" x14ac:dyDescent="0.3">
      <c r="I603" s="17"/>
      <c r="J603" s="17"/>
      <c r="K603" s="17"/>
      <c r="L603" s="17"/>
      <c r="M603" s="17"/>
      <c r="N603" s="52">
        <v>973</v>
      </c>
      <c r="O603" s="53">
        <v>2.882234146539158E-4</v>
      </c>
      <c r="P603" s="49">
        <f t="shared" si="19"/>
        <v>0.16337726793606028</v>
      </c>
      <c r="Q603" s="17"/>
    </row>
    <row r="604" spans="9:17" x14ac:dyDescent="0.3">
      <c r="I604" s="17"/>
      <c r="J604" s="17"/>
      <c r="K604" s="17"/>
      <c r="L604" s="17"/>
      <c r="M604" s="17"/>
      <c r="N604" s="52">
        <v>974</v>
      </c>
      <c r="O604" s="53">
        <v>2.8635835021002668E-4</v>
      </c>
      <c r="P604" s="49">
        <f t="shared" si="19"/>
        <v>0.16232007022804903</v>
      </c>
      <c r="Q604" s="17"/>
    </row>
    <row r="605" spans="9:17" x14ac:dyDescent="0.3">
      <c r="I605" s="17"/>
      <c r="J605" s="17"/>
      <c r="K605" s="17"/>
      <c r="L605" s="17"/>
      <c r="M605" s="17"/>
      <c r="N605" s="52">
        <v>975</v>
      </c>
      <c r="O605" s="53">
        <v>2.8449381123964656E-4</v>
      </c>
      <c r="P605" s="49">
        <f t="shared" si="19"/>
        <v>0.16126317038073165</v>
      </c>
      <c r="Q605" s="17"/>
    </row>
    <row r="606" spans="9:17" x14ac:dyDescent="0.3">
      <c r="I606" s="17"/>
      <c r="J606" s="17"/>
      <c r="K606" s="17"/>
      <c r="L606" s="17"/>
      <c r="M606" s="17"/>
      <c r="N606" s="52">
        <v>976</v>
      </c>
      <c r="O606" s="53">
        <v>2.8261883424865529E-4</v>
      </c>
      <c r="P606" s="49">
        <f t="shared" si="19"/>
        <v>0.16020035382018624</v>
      </c>
      <c r="Q606" s="17"/>
    </row>
    <row r="607" spans="9:17" x14ac:dyDescent="0.3">
      <c r="I607" s="17"/>
      <c r="J607" s="17"/>
      <c r="K607" s="17"/>
      <c r="L607" s="17"/>
      <c r="M607" s="17"/>
      <c r="N607" s="52">
        <v>977</v>
      </c>
      <c r="O607" s="53">
        <v>2.8074761031630479E-4</v>
      </c>
      <c r="P607" s="49">
        <f t="shared" si="19"/>
        <v>0.15913966465261434</v>
      </c>
      <c r="Q607" s="17"/>
    </row>
    <row r="608" spans="9:17" x14ac:dyDescent="0.3">
      <c r="I608" s="17"/>
      <c r="J608" s="17"/>
      <c r="K608" s="17"/>
      <c r="L608" s="17"/>
      <c r="M608" s="17"/>
      <c r="N608" s="52">
        <v>978</v>
      </c>
      <c r="O608" s="53">
        <v>2.7891134869799665E-4</v>
      </c>
      <c r="P608" s="49">
        <f t="shared" si="19"/>
        <v>0.15809879360896487</v>
      </c>
      <c r="Q608" s="17"/>
    </row>
    <row r="609" spans="9:17" x14ac:dyDescent="0.3">
      <c r="I609" s="17"/>
      <c r="J609" s="17"/>
      <c r="K609" s="17"/>
      <c r="L609" s="17"/>
      <c r="M609" s="17"/>
      <c r="N609" s="52">
        <v>979</v>
      </c>
      <c r="O609" s="53">
        <v>2.7708294303219465E-4</v>
      </c>
      <c r="P609" s="49">
        <f t="shared" si="19"/>
        <v>0.15706237565271994</v>
      </c>
      <c r="Q609" s="17"/>
    </row>
    <row r="610" spans="9:17" x14ac:dyDescent="0.3">
      <c r="I610" s="17"/>
      <c r="J610" s="17"/>
      <c r="K610" s="17"/>
      <c r="L610" s="17"/>
      <c r="M610" s="17"/>
      <c r="N610" s="52">
        <v>980</v>
      </c>
      <c r="O610" s="53">
        <v>2.7521676731066867E-4</v>
      </c>
      <c r="P610" s="49">
        <f t="shared" si="19"/>
        <v>0.1560045480253649</v>
      </c>
      <c r="Q610" s="17"/>
    </row>
    <row r="611" spans="9:17" x14ac:dyDescent="0.3">
      <c r="I611" s="17"/>
      <c r="J611" s="17"/>
      <c r="K611" s="17"/>
      <c r="L611" s="17"/>
      <c r="M611" s="17"/>
      <c r="N611" s="52">
        <v>981</v>
      </c>
      <c r="O611" s="53">
        <v>2.7336155817186177E-4</v>
      </c>
      <c r="P611" s="49">
        <f t="shared" si="19"/>
        <v>0.15495293672268073</v>
      </c>
      <c r="Q611" s="17"/>
    </row>
    <row r="612" spans="9:17" x14ac:dyDescent="0.3">
      <c r="I612" s="17"/>
      <c r="J612" s="17"/>
      <c r="K612" s="17"/>
      <c r="L612" s="17"/>
      <c r="M612" s="17"/>
      <c r="N612" s="52">
        <v>982</v>
      </c>
      <c r="O612" s="53">
        <v>2.7145955409335501E-4</v>
      </c>
      <c r="P612" s="49">
        <f t="shared" si="19"/>
        <v>0.15387480006149792</v>
      </c>
      <c r="Q612" s="17"/>
    </row>
    <row r="613" spans="9:17" x14ac:dyDescent="0.3">
      <c r="I613" s="17"/>
      <c r="J613" s="17"/>
      <c r="K613" s="17"/>
      <c r="L613" s="17"/>
      <c r="M613" s="17"/>
      <c r="N613" s="52">
        <v>983</v>
      </c>
      <c r="O613" s="53">
        <v>2.6962996219993276E-4</v>
      </c>
      <c r="P613" s="49">
        <f t="shared" si="19"/>
        <v>0.15283770970107663</v>
      </c>
      <c r="Q613" s="17"/>
    </row>
    <row r="614" spans="9:17" x14ac:dyDescent="0.3">
      <c r="I614" s="17"/>
      <c r="J614" s="17"/>
      <c r="K614" s="17"/>
      <c r="L614" s="17"/>
      <c r="M614" s="17"/>
      <c r="N614" s="52">
        <v>984</v>
      </c>
      <c r="O614" s="53">
        <v>2.6781295860919753E-4</v>
      </c>
      <c r="P614" s="49">
        <f t="shared" si="19"/>
        <v>0.15180775492505405</v>
      </c>
      <c r="Q614" s="17"/>
    </row>
    <row r="615" spans="9:17" x14ac:dyDescent="0.3">
      <c r="I615" s="17"/>
      <c r="J615" s="17"/>
      <c r="K615" s="17"/>
      <c r="L615" s="17"/>
      <c r="M615" s="17"/>
      <c r="N615" s="52">
        <v>985</v>
      </c>
      <c r="O615" s="53">
        <v>2.6594893831741043E-4</v>
      </c>
      <c r="P615" s="49">
        <f t="shared" si="19"/>
        <v>0.15075114908678366</v>
      </c>
      <c r="Q615" s="17"/>
    </row>
    <row r="616" spans="9:17" x14ac:dyDescent="0.3">
      <c r="I616" s="17"/>
      <c r="J616" s="17"/>
      <c r="K616" s="17"/>
      <c r="L616" s="17"/>
      <c r="M616" s="17"/>
      <c r="N616" s="52">
        <v>986</v>
      </c>
      <c r="O616" s="53">
        <v>2.6414473840761057E-4</v>
      </c>
      <c r="P616" s="49">
        <f t="shared" si="19"/>
        <v>0.14972845198069487</v>
      </c>
      <c r="Q616" s="17"/>
    </row>
    <row r="617" spans="9:17" x14ac:dyDescent="0.3">
      <c r="I617" s="17"/>
      <c r="J617" s="17"/>
      <c r="K617" s="17"/>
      <c r="L617" s="17"/>
      <c r="M617" s="17"/>
      <c r="N617" s="52">
        <v>987</v>
      </c>
      <c r="O617" s="53">
        <v>2.6227651020961911E-4</v>
      </c>
      <c r="P617" s="49">
        <f t="shared" si="19"/>
        <v>0.14866946092254144</v>
      </c>
      <c r="Q617" s="17"/>
    </row>
    <row r="618" spans="9:17" x14ac:dyDescent="0.3">
      <c r="I618" s="17"/>
      <c r="J618" s="17"/>
      <c r="K618" s="17"/>
      <c r="L618" s="17"/>
      <c r="M618" s="17"/>
      <c r="N618" s="52">
        <v>988</v>
      </c>
      <c r="O618" s="53">
        <v>2.6045583489332932E-4</v>
      </c>
      <c r="P618" s="49">
        <f t="shared" si="19"/>
        <v>0.14763742485659162</v>
      </c>
      <c r="Q618" s="17"/>
    </row>
    <row r="619" spans="9:17" x14ac:dyDescent="0.3">
      <c r="I619" s="17"/>
      <c r="J619" s="17"/>
      <c r="K619" s="17"/>
      <c r="L619" s="17"/>
      <c r="M619" s="17"/>
      <c r="N619" s="52">
        <v>989</v>
      </c>
      <c r="O619" s="53">
        <v>2.5864600488080145E-4</v>
      </c>
      <c r="P619" s="49">
        <f t="shared" si="19"/>
        <v>0.14661153636925087</v>
      </c>
      <c r="Q619" s="17"/>
    </row>
    <row r="620" spans="9:17" x14ac:dyDescent="0.3">
      <c r="I620" s="17"/>
      <c r="J620" s="17"/>
      <c r="K620" s="17"/>
      <c r="L620" s="17"/>
      <c r="M620" s="17"/>
      <c r="N620" s="52">
        <v>990</v>
      </c>
      <c r="O620" s="53">
        <v>2.568111419856702E-4</v>
      </c>
      <c r="P620" s="49">
        <f t="shared" si="19"/>
        <v>0.14557145818128078</v>
      </c>
      <c r="Q620" s="17"/>
    </row>
    <row r="621" spans="9:17" x14ac:dyDescent="0.3">
      <c r="I621" s="17"/>
      <c r="J621" s="17"/>
      <c r="K621" s="17"/>
      <c r="L621" s="17"/>
      <c r="M621" s="17"/>
      <c r="N621" s="52">
        <v>991</v>
      </c>
      <c r="O621" s="53">
        <v>2.5497964298580556E-4</v>
      </c>
      <c r="P621" s="49">
        <f t="shared" si="19"/>
        <v>0.14453328679196184</v>
      </c>
      <c r="Q621" s="17"/>
    </row>
    <row r="622" spans="9:17" x14ac:dyDescent="0.3">
      <c r="I622" s="17"/>
      <c r="J622" s="17"/>
      <c r="K622" s="17"/>
      <c r="L622" s="17"/>
      <c r="M622" s="17"/>
      <c r="N622" s="52">
        <v>992</v>
      </c>
      <c r="O622" s="53">
        <v>2.5317134327073861E-4</v>
      </c>
      <c r="P622" s="49">
        <f t="shared" si="19"/>
        <v>0.14350826574219064</v>
      </c>
      <c r="Q622" s="17"/>
    </row>
    <row r="623" spans="9:17" x14ac:dyDescent="0.3">
      <c r="I623" s="17"/>
      <c r="J623" s="17"/>
      <c r="K623" s="17"/>
      <c r="L623" s="17"/>
      <c r="M623" s="17"/>
      <c r="N623" s="52">
        <v>993</v>
      </c>
      <c r="O623" s="53">
        <v>2.5136279935050634E-4</v>
      </c>
      <c r="P623" s="49">
        <f t="shared" si="19"/>
        <v>0.14248310626656402</v>
      </c>
      <c r="Q623" s="17"/>
    </row>
    <row r="624" spans="9:17" x14ac:dyDescent="0.3">
      <c r="I624" s="17"/>
      <c r="J624" s="17"/>
      <c r="K624" s="17"/>
      <c r="L624" s="17"/>
      <c r="M624" s="17"/>
      <c r="N624" s="52">
        <v>994</v>
      </c>
      <c r="O624" s="53">
        <v>2.4956396474761389E-4</v>
      </c>
      <c r="P624" s="49">
        <f t="shared" si="19"/>
        <v>0.14146345044421418</v>
      </c>
      <c r="Q624" s="17"/>
    </row>
    <row r="625" spans="9:17" x14ac:dyDescent="0.3">
      <c r="I625" s="17"/>
      <c r="J625" s="17"/>
      <c r="K625" s="17"/>
      <c r="L625" s="17"/>
      <c r="M625" s="17"/>
      <c r="N625" s="52">
        <v>995</v>
      </c>
      <c r="O625" s="53">
        <v>2.4776112526237295E-4</v>
      </c>
      <c r="P625" s="49">
        <f t="shared" si="19"/>
        <v>0.14044152448452216</v>
      </c>
      <c r="Q625" s="17"/>
    </row>
    <row r="626" spans="9:17" x14ac:dyDescent="0.3">
      <c r="I626" s="17"/>
      <c r="J626" s="17"/>
      <c r="K626" s="17"/>
      <c r="L626" s="17"/>
      <c r="M626" s="17"/>
      <c r="N626" s="52">
        <v>996</v>
      </c>
      <c r="O626" s="53">
        <v>2.4596018814772422E-4</v>
      </c>
      <c r="P626" s="49">
        <f t="shared" si="19"/>
        <v>0.13942067686924683</v>
      </c>
      <c r="Q626" s="17"/>
    </row>
    <row r="627" spans="9:17" x14ac:dyDescent="0.3">
      <c r="I627" s="17"/>
      <c r="J627" s="17"/>
      <c r="K627" s="17"/>
      <c r="L627" s="17"/>
      <c r="M627" s="17"/>
      <c r="N627" s="52">
        <v>997</v>
      </c>
      <c r="O627" s="53">
        <v>2.441618619280977E-4</v>
      </c>
      <c r="P627" s="49">
        <f t="shared" si="19"/>
        <v>0.13840130922011551</v>
      </c>
      <c r="Q627" s="17"/>
    </row>
    <row r="628" spans="9:17" x14ac:dyDescent="0.3">
      <c r="I628" s="17"/>
      <c r="J628" s="17"/>
      <c r="K628" s="17"/>
      <c r="L628" s="17"/>
      <c r="M628" s="17"/>
      <c r="N628" s="52">
        <v>998</v>
      </c>
      <c r="O628" s="53">
        <v>2.4236718931424945E-4</v>
      </c>
      <c r="P628" s="49">
        <f t="shared" si="19"/>
        <v>0.13738401258985294</v>
      </c>
      <c r="Q628" s="17"/>
    </row>
    <row r="629" spans="9:17" x14ac:dyDescent="0.3">
      <c r="I629" s="17"/>
      <c r="J629" s="17"/>
      <c r="K629" s="17"/>
      <c r="L629" s="17"/>
      <c r="M629" s="17"/>
      <c r="N629" s="52">
        <v>999</v>
      </c>
      <c r="O629" s="53">
        <v>2.406006906873864E-4</v>
      </c>
      <c r="P629" s="49">
        <f t="shared" si="19"/>
        <v>0.13638268617153879</v>
      </c>
      <c r="Q629" s="17"/>
    </row>
    <row r="630" spans="9:17" x14ac:dyDescent="0.3">
      <c r="I630" s="17"/>
      <c r="J630" s="17"/>
      <c r="K630" s="17"/>
      <c r="L630" s="17"/>
      <c r="M630" s="17"/>
      <c r="N630" s="52">
        <v>1000</v>
      </c>
      <c r="O630" s="53">
        <v>2.3881060896592055E-4</v>
      </c>
      <c r="P630" s="49">
        <f t="shared" si="19"/>
        <v>0.13536799185398465</v>
      </c>
      <c r="Q630" s="17"/>
    </row>
    <row r="631" spans="9:17" x14ac:dyDescent="0.3">
      <c r="N631" s="22"/>
    </row>
    <row r="632" spans="9:17" x14ac:dyDescent="0.3">
      <c r="N632" s="22"/>
    </row>
    <row r="633" spans="9:17" x14ac:dyDescent="0.3">
      <c r="N633" s="22"/>
    </row>
    <row r="634" spans="9:17" x14ac:dyDescent="0.3">
      <c r="N634" s="22"/>
    </row>
    <row r="635" spans="9:17" x14ac:dyDescent="0.3">
      <c r="N635" s="22"/>
    </row>
    <row r="636" spans="9:17" x14ac:dyDescent="0.3">
      <c r="N636" s="22"/>
    </row>
    <row r="637" spans="9:17" x14ac:dyDescent="0.3">
      <c r="N637" s="22"/>
    </row>
    <row r="638" spans="9:17" x14ac:dyDescent="0.3">
      <c r="N638" s="22"/>
    </row>
    <row r="639" spans="9:17" x14ac:dyDescent="0.3">
      <c r="N639" s="22"/>
    </row>
    <row r="640" spans="9:17" x14ac:dyDescent="0.3">
      <c r="N640" s="22"/>
    </row>
    <row r="641" spans="14:14" x14ac:dyDescent="0.3">
      <c r="N641" s="22"/>
    </row>
    <row r="642" spans="14:14" x14ac:dyDescent="0.3">
      <c r="N642" s="22"/>
    </row>
    <row r="643" spans="14:14" x14ac:dyDescent="0.3">
      <c r="N643" s="22"/>
    </row>
    <row r="644" spans="14:14" x14ac:dyDescent="0.3">
      <c r="N644" s="22"/>
    </row>
    <row r="645" spans="14:14" x14ac:dyDescent="0.3">
      <c r="N645" s="22"/>
    </row>
    <row r="646" spans="14:14" x14ac:dyDescent="0.3">
      <c r="N646" s="22"/>
    </row>
    <row r="647" spans="14:14" x14ac:dyDescent="0.3">
      <c r="N647" s="22"/>
    </row>
    <row r="648" spans="14:14" x14ac:dyDescent="0.3">
      <c r="N648" s="22"/>
    </row>
    <row r="649" spans="14:14" x14ac:dyDescent="0.3">
      <c r="N649" s="22"/>
    </row>
    <row r="650" spans="14:14" x14ac:dyDescent="0.3">
      <c r="N650" s="22"/>
    </row>
    <row r="651" spans="14:14" x14ac:dyDescent="0.3">
      <c r="N651" s="22"/>
    </row>
    <row r="652" spans="14:14" x14ac:dyDescent="0.3">
      <c r="N652" s="22"/>
    </row>
    <row r="653" spans="14:14" x14ac:dyDescent="0.3">
      <c r="N653" s="22"/>
    </row>
    <row r="654" spans="14:14" x14ac:dyDescent="0.3">
      <c r="N654" s="22"/>
    </row>
    <row r="655" spans="14:14" x14ac:dyDescent="0.3">
      <c r="N655" s="22"/>
    </row>
    <row r="656" spans="14:14" x14ac:dyDescent="0.3">
      <c r="N656" s="22"/>
    </row>
    <row r="657" spans="14:14" x14ac:dyDescent="0.3">
      <c r="N657" s="22"/>
    </row>
    <row r="658" spans="14:14" x14ac:dyDescent="0.3">
      <c r="N658" s="22"/>
    </row>
    <row r="659" spans="14:14" x14ac:dyDescent="0.3">
      <c r="N659" s="22"/>
    </row>
    <row r="660" spans="14:14" x14ac:dyDescent="0.3">
      <c r="N660" s="22"/>
    </row>
    <row r="661" spans="14:14" x14ac:dyDescent="0.3">
      <c r="N661" s="22"/>
    </row>
    <row r="662" spans="14:14" x14ac:dyDescent="0.3">
      <c r="N662" s="22"/>
    </row>
    <row r="663" spans="14:14" x14ac:dyDescent="0.3">
      <c r="N663" s="22"/>
    </row>
    <row r="664" spans="14:14" x14ac:dyDescent="0.3">
      <c r="N664" s="22"/>
    </row>
    <row r="665" spans="14:14" x14ac:dyDescent="0.3">
      <c r="N665" s="22"/>
    </row>
    <row r="666" spans="14:14" x14ac:dyDescent="0.3">
      <c r="N666" s="22"/>
    </row>
    <row r="667" spans="14:14" x14ac:dyDescent="0.3">
      <c r="N667" s="22"/>
    </row>
    <row r="668" spans="14:14" x14ac:dyDescent="0.3">
      <c r="N668" s="22"/>
    </row>
    <row r="669" spans="14:14" x14ac:dyDescent="0.3">
      <c r="N669" s="22"/>
    </row>
    <row r="670" spans="14:14" x14ac:dyDescent="0.3">
      <c r="N670" s="22"/>
    </row>
    <row r="671" spans="14:14" x14ac:dyDescent="0.3">
      <c r="N671" s="22"/>
    </row>
    <row r="672" spans="14:14" x14ac:dyDescent="0.3">
      <c r="N672" s="22"/>
    </row>
    <row r="673" spans="14:14" x14ac:dyDescent="0.3">
      <c r="N673" s="22"/>
    </row>
    <row r="674" spans="14:14" x14ac:dyDescent="0.3">
      <c r="N674" s="22"/>
    </row>
    <row r="675" spans="14:14" x14ac:dyDescent="0.3">
      <c r="N675" s="22"/>
    </row>
    <row r="676" spans="14:14" x14ac:dyDescent="0.3">
      <c r="N676" s="22"/>
    </row>
    <row r="677" spans="14:14" x14ac:dyDescent="0.3">
      <c r="N677" s="22"/>
    </row>
    <row r="678" spans="14:14" x14ac:dyDescent="0.3">
      <c r="N678" s="22"/>
    </row>
    <row r="679" spans="14:14" x14ac:dyDescent="0.3">
      <c r="N679" s="22"/>
    </row>
    <row r="680" spans="14:14" x14ac:dyDescent="0.3">
      <c r="N680" s="22"/>
    </row>
    <row r="681" spans="14:14" x14ac:dyDescent="0.3">
      <c r="N681" s="22"/>
    </row>
    <row r="682" spans="14:14" x14ac:dyDescent="0.3">
      <c r="N682" s="22"/>
    </row>
    <row r="683" spans="14:14" x14ac:dyDescent="0.3">
      <c r="N683" s="22"/>
    </row>
    <row r="684" spans="14:14" x14ac:dyDescent="0.3">
      <c r="N684" s="22"/>
    </row>
    <row r="685" spans="14:14" x14ac:dyDescent="0.3">
      <c r="N685" s="22"/>
    </row>
    <row r="686" spans="14:14" x14ac:dyDescent="0.3">
      <c r="N686" s="22"/>
    </row>
    <row r="687" spans="14:14" x14ac:dyDescent="0.3">
      <c r="N687" s="22"/>
    </row>
    <row r="688" spans="14:14" x14ac:dyDescent="0.3">
      <c r="N688" s="22"/>
    </row>
    <row r="689" spans="14:14" x14ac:dyDescent="0.3">
      <c r="N689" s="22"/>
    </row>
    <row r="690" spans="14:14" x14ac:dyDescent="0.3">
      <c r="N690" s="22"/>
    </row>
    <row r="691" spans="14:14" x14ac:dyDescent="0.3">
      <c r="N691" s="22"/>
    </row>
    <row r="692" spans="14:14" x14ac:dyDescent="0.3">
      <c r="N692" s="22"/>
    </row>
    <row r="693" spans="14:14" x14ac:dyDescent="0.3">
      <c r="N693" s="22"/>
    </row>
    <row r="694" spans="14:14" x14ac:dyDescent="0.3">
      <c r="N694" s="22"/>
    </row>
    <row r="695" spans="14:14" x14ac:dyDescent="0.3">
      <c r="N695" s="22"/>
    </row>
    <row r="696" spans="14:14" x14ac:dyDescent="0.3">
      <c r="N696" s="22"/>
    </row>
    <row r="697" spans="14:14" x14ac:dyDescent="0.3">
      <c r="N697" s="22"/>
    </row>
    <row r="698" spans="14:14" x14ac:dyDescent="0.3">
      <c r="N698" s="22"/>
    </row>
    <row r="699" spans="14:14" x14ac:dyDescent="0.3">
      <c r="N699" s="22"/>
    </row>
    <row r="700" spans="14:14" x14ac:dyDescent="0.3">
      <c r="N700" s="22"/>
    </row>
    <row r="701" spans="14:14" x14ac:dyDescent="0.3">
      <c r="N701" s="22"/>
    </row>
    <row r="702" spans="14:14" x14ac:dyDescent="0.3">
      <c r="N702" s="22"/>
    </row>
    <row r="703" spans="14:14" x14ac:dyDescent="0.3">
      <c r="N703" s="22"/>
    </row>
    <row r="704" spans="14:14" x14ac:dyDescent="0.3">
      <c r="N704" s="22"/>
    </row>
    <row r="705" spans="14:14" x14ac:dyDescent="0.3">
      <c r="N705" s="22"/>
    </row>
    <row r="706" spans="14:14" x14ac:dyDescent="0.3">
      <c r="N706" s="22"/>
    </row>
    <row r="707" spans="14:14" x14ac:dyDescent="0.3">
      <c r="N707" s="22"/>
    </row>
    <row r="708" spans="14:14" x14ac:dyDescent="0.3">
      <c r="N708" s="22"/>
    </row>
    <row r="709" spans="14:14" x14ac:dyDescent="0.3">
      <c r="N709" s="22"/>
    </row>
    <row r="710" spans="14:14" x14ac:dyDescent="0.3">
      <c r="N710" s="22"/>
    </row>
    <row r="711" spans="14:14" x14ac:dyDescent="0.3">
      <c r="N711" s="22"/>
    </row>
    <row r="712" spans="14:14" x14ac:dyDescent="0.3">
      <c r="N712" s="22"/>
    </row>
    <row r="713" spans="14:14" x14ac:dyDescent="0.3">
      <c r="N713" s="22"/>
    </row>
    <row r="714" spans="14:14" x14ac:dyDescent="0.3">
      <c r="N714" s="22"/>
    </row>
    <row r="715" spans="14:14" x14ac:dyDescent="0.3">
      <c r="N715" s="22"/>
    </row>
    <row r="716" spans="14:14" x14ac:dyDescent="0.3">
      <c r="N716" s="22"/>
    </row>
    <row r="717" spans="14:14" x14ac:dyDescent="0.3">
      <c r="N717" s="22"/>
    </row>
    <row r="718" spans="14:14" x14ac:dyDescent="0.3">
      <c r="N718" s="22"/>
    </row>
    <row r="719" spans="14:14" x14ac:dyDescent="0.3">
      <c r="N719" s="22"/>
    </row>
    <row r="720" spans="14:14" x14ac:dyDescent="0.3">
      <c r="N720" s="22"/>
    </row>
    <row r="721" spans="14:14" x14ac:dyDescent="0.3">
      <c r="N721" s="22"/>
    </row>
    <row r="722" spans="14:14" x14ac:dyDescent="0.3">
      <c r="N722" s="22"/>
    </row>
    <row r="723" spans="14:14" x14ac:dyDescent="0.3">
      <c r="N723" s="22"/>
    </row>
    <row r="724" spans="14:14" x14ac:dyDescent="0.3">
      <c r="N724" s="22"/>
    </row>
  </sheetData>
  <customSheetViews>
    <customSheetView guid="{90ADABFE-445D-4DCD-B9A1-AF8CF7BB6FDB}" scale="90" topLeftCell="A7">
      <selection activeCell="B10" sqref="B10"/>
      <pageMargins left="0.7" right="0.7" top="0.75" bottom="0.75" header="0.3" footer="0.3"/>
      <pageSetup orientation="portrait" horizontalDpi="1200" verticalDpi="1200" r:id="rId1"/>
    </customSheetView>
  </customSheetViews>
  <mergeCells count="32">
    <mergeCell ref="B6:G6"/>
    <mergeCell ref="N8:P8"/>
    <mergeCell ref="J8:L8"/>
    <mergeCell ref="R8:U8"/>
    <mergeCell ref="A2:H2"/>
    <mergeCell ref="J2:L2"/>
    <mergeCell ref="N2:Y2"/>
    <mergeCell ref="W8:Y8"/>
    <mergeCell ref="A4:H4"/>
    <mergeCell ref="J4:L4"/>
    <mergeCell ref="N4:P4"/>
    <mergeCell ref="R4:U4"/>
    <mergeCell ref="W4:Y4"/>
    <mergeCell ref="N6:P6"/>
    <mergeCell ref="R6:U6"/>
    <mergeCell ref="A8:H8"/>
    <mergeCell ref="W6:Y6"/>
    <mergeCell ref="J6:L6"/>
    <mergeCell ref="AA9:AT9"/>
    <mergeCell ref="AA10:AT10"/>
    <mergeCell ref="AA11:AT11"/>
    <mergeCell ref="AA21:AT21"/>
    <mergeCell ref="AA8:AT8"/>
    <mergeCell ref="AA20:AT20"/>
    <mergeCell ref="AA19:AT19"/>
    <mergeCell ref="AA18:AT18"/>
    <mergeCell ref="AA12:AT12"/>
    <mergeCell ref="AA13:AT13"/>
    <mergeCell ref="AA17:AT17"/>
    <mergeCell ref="AA16:AT16"/>
    <mergeCell ref="AA15:AT15"/>
    <mergeCell ref="AA14:AT14"/>
  </mergeCells>
  <conditionalFormatting sqref="G20">
    <cfRule type="containsText" dxfId="6" priority="8" operator="containsText" text="On">
      <formula>NOT(ISERROR(SEARCH("On",G20)))</formula>
    </cfRule>
  </conditionalFormatting>
  <conditionalFormatting sqref="K22">
    <cfRule type="cellIs" dxfId="5" priority="6" operator="between">
      <formula>2865</formula>
      <formula>6500</formula>
    </cfRule>
  </conditionalFormatting>
  <conditionalFormatting sqref="X22">
    <cfRule type="cellIs" dxfId="4" priority="5" operator="between">
      <formula>2865</formula>
      <formula>6500</formula>
    </cfRule>
  </conditionalFormatting>
  <conditionalFormatting sqref="K19">
    <cfRule type="cellIs" dxfId="3" priority="4" operator="between">
      <formula>0.1807</formula>
      <formula>0.3624</formula>
    </cfRule>
  </conditionalFormatting>
  <conditionalFormatting sqref="X19">
    <cfRule type="cellIs" dxfId="2" priority="3" operator="between">
      <formula>0.1807</formula>
      <formula>0.3624</formula>
    </cfRule>
  </conditionalFormatting>
  <conditionalFormatting sqref="K20">
    <cfRule type="cellIs" dxfId="1" priority="2" operator="between">
      <formula>0.3988</formula>
      <formula>0.5408</formula>
    </cfRule>
  </conditionalFormatting>
  <conditionalFormatting sqref="X20">
    <cfRule type="cellIs" dxfId="0" priority="1" operator="between">
      <formula>0.3988</formula>
      <formula>0.5408</formula>
    </cfRule>
  </conditionalFormatting>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NIR_On">
                <anchor moveWithCells="1" sizeWithCells="1">
                  <from>
                    <xdr:col>6</xdr:col>
                    <xdr:colOff>60960</xdr:colOff>
                    <xdr:row>8</xdr:row>
                    <xdr:rowOff>99060</xdr:rowOff>
                  </from>
                  <to>
                    <xdr:col>6</xdr:col>
                    <xdr:colOff>754380</xdr:colOff>
                    <xdr:row>8</xdr:row>
                    <xdr:rowOff>579120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P405"/>
  <sheetViews>
    <sheetView workbookViewId="0">
      <selection activeCell="B6" sqref="B6"/>
    </sheetView>
  </sheetViews>
  <sheetFormatPr defaultRowHeight="14.4" x14ac:dyDescent="0.3"/>
  <cols>
    <col min="1" max="1" width="8.88671875" style="3"/>
    <col min="6" max="6" width="9.5546875" style="148" bestFit="1" customWidth="1"/>
    <col min="7" max="8" width="9.109375" style="148"/>
  </cols>
  <sheetData>
    <row r="1" spans="1:16" x14ac:dyDescent="0.3">
      <c r="A1" s="76" t="s">
        <v>104</v>
      </c>
      <c r="B1" s="77"/>
      <c r="C1" s="77"/>
      <c r="D1" s="77"/>
      <c r="E1" s="77"/>
      <c r="F1" s="147"/>
      <c r="G1" s="147"/>
      <c r="H1" s="147"/>
      <c r="I1" s="77"/>
      <c r="J1" s="77"/>
      <c r="K1" s="77"/>
      <c r="L1" s="77"/>
      <c r="M1" s="77"/>
      <c r="N1" s="77"/>
      <c r="O1" s="77"/>
      <c r="P1" s="77"/>
    </row>
    <row r="2" spans="1:16" ht="15" thickBot="1" x14ac:dyDescent="0.35"/>
    <row r="3" spans="1:16" ht="15.45" customHeight="1" thickBot="1" x14ac:dyDescent="0.35">
      <c r="A3" s="267" t="s">
        <v>21</v>
      </c>
      <c r="B3" s="267"/>
      <c r="C3" s="267"/>
      <c r="D3" s="267"/>
      <c r="F3" s="268" t="s">
        <v>22</v>
      </c>
      <c r="G3" s="268"/>
      <c r="H3" s="268"/>
      <c r="J3" s="165" t="s">
        <v>110</v>
      </c>
      <c r="K3" s="74"/>
      <c r="L3" s="74"/>
      <c r="M3" s="74"/>
      <c r="N3" s="75"/>
    </row>
    <row r="4" spans="1:16" ht="30.6" customHeight="1" thickBot="1" x14ac:dyDescent="0.35">
      <c r="A4" s="70" t="s">
        <v>20</v>
      </c>
      <c r="B4" s="70" t="s">
        <v>19</v>
      </c>
      <c r="C4" s="70" t="s">
        <v>18</v>
      </c>
      <c r="D4" s="70" t="s">
        <v>17</v>
      </c>
      <c r="F4" s="149" t="s">
        <v>10</v>
      </c>
      <c r="G4" s="150" t="s">
        <v>16</v>
      </c>
      <c r="H4" s="150" t="s">
        <v>15</v>
      </c>
      <c r="J4" s="64" t="s">
        <v>37</v>
      </c>
      <c r="K4" s="64"/>
      <c r="L4" s="64"/>
      <c r="M4" s="64"/>
      <c r="N4" s="64">
        <v>2865</v>
      </c>
      <c r="O4" s="18"/>
    </row>
    <row r="5" spans="1:16" x14ac:dyDescent="0.3">
      <c r="A5" s="68">
        <v>380</v>
      </c>
      <c r="B5" s="64">
        <v>1.3680000000000001E-3</v>
      </c>
      <c r="C5" s="64">
        <v>3.8999999999999999E-5</v>
      </c>
      <c r="D5" s="64">
        <v>6.4500010000000003E-3</v>
      </c>
      <c r="F5" s="151">
        <v>1466</v>
      </c>
      <c r="G5" s="152">
        <v>0.36237028100000002</v>
      </c>
      <c r="H5" s="152">
        <v>0.54028434000000003</v>
      </c>
      <c r="J5" s="63" t="s">
        <v>38</v>
      </c>
      <c r="K5" s="63"/>
      <c r="L5" s="63"/>
      <c r="M5" s="63"/>
      <c r="N5" s="63">
        <v>6500</v>
      </c>
    </row>
    <row r="6" spans="1:16" x14ac:dyDescent="0.3">
      <c r="A6" s="69">
        <v>381</v>
      </c>
      <c r="B6" s="63">
        <v>1.50205E-3</v>
      </c>
      <c r="C6" s="63">
        <v>4.28264E-5</v>
      </c>
      <c r="D6" s="63">
        <v>7.0832159999999998E-3</v>
      </c>
      <c r="F6" s="66">
        <v>1496</v>
      </c>
      <c r="G6" s="67">
        <v>0.35829361900000001</v>
      </c>
      <c r="H6" s="67">
        <v>0.54046051799999995</v>
      </c>
      <c r="J6" s="71" t="s">
        <v>14</v>
      </c>
      <c r="K6" s="65"/>
      <c r="L6" s="65"/>
      <c r="M6" s="71"/>
      <c r="N6" s="72">
        <v>0.02</v>
      </c>
    </row>
    <row r="7" spans="1:16" x14ac:dyDescent="0.3">
      <c r="A7" s="69">
        <v>382</v>
      </c>
      <c r="B7" s="63">
        <v>1.642328E-3</v>
      </c>
      <c r="C7" s="63">
        <v>4.69146E-5</v>
      </c>
      <c r="D7" s="63">
        <v>7.745488E-3</v>
      </c>
      <c r="F7" s="66">
        <v>1527</v>
      </c>
      <c r="G7" s="67">
        <v>0.35425473400000002</v>
      </c>
      <c r="H7" s="67">
        <v>0.54060057800000005</v>
      </c>
      <c r="J7" s="71" t="s">
        <v>13</v>
      </c>
      <c r="K7" s="65"/>
      <c r="L7" s="65"/>
      <c r="M7" s="71"/>
      <c r="N7" s="72">
        <f>MIN(G5:G214)</f>
        <v>0.18065999999999999</v>
      </c>
    </row>
    <row r="8" spans="1:16" x14ac:dyDescent="0.3">
      <c r="A8" s="69">
        <v>383</v>
      </c>
      <c r="B8" s="63">
        <v>1.8023819999999999E-3</v>
      </c>
      <c r="C8" s="63">
        <v>5.1589599999999998E-5</v>
      </c>
      <c r="D8" s="63">
        <v>8.5011519999999997E-3</v>
      </c>
      <c r="F8" s="66">
        <v>1558</v>
      </c>
      <c r="G8" s="67">
        <v>0.35025630400000002</v>
      </c>
      <c r="H8" s="67">
        <v>0.54070345399999997</v>
      </c>
      <c r="J8" s="71" t="s">
        <v>39</v>
      </c>
      <c r="K8" s="65"/>
      <c r="L8" s="65"/>
      <c r="M8" s="71"/>
      <c r="N8" s="72">
        <f>MIN(H5:H214)</f>
        <v>0.398835</v>
      </c>
    </row>
    <row r="9" spans="1:16" x14ac:dyDescent="0.3">
      <c r="A9" s="69">
        <v>384</v>
      </c>
      <c r="B9" s="63">
        <v>1.9957569999999999E-3</v>
      </c>
      <c r="C9" s="63">
        <v>5.7176399999999997E-5</v>
      </c>
      <c r="D9" s="63">
        <v>9.4145440000000004E-3</v>
      </c>
      <c r="F9" s="66">
        <v>1590</v>
      </c>
      <c r="G9" s="67">
        <v>0.34630094700000003</v>
      </c>
      <c r="H9" s="67">
        <v>0.54076812799999996</v>
      </c>
      <c r="J9" s="71" t="s">
        <v>12</v>
      </c>
      <c r="K9" s="65"/>
      <c r="L9" s="65"/>
      <c r="M9" s="71"/>
      <c r="N9" s="72">
        <f>MAX(G5:G214)</f>
        <v>0.36237028100000002</v>
      </c>
    </row>
    <row r="10" spans="1:16" x14ac:dyDescent="0.3">
      <c r="A10" s="69">
        <v>385</v>
      </c>
      <c r="B10" s="63">
        <v>2.2360000000000001E-3</v>
      </c>
      <c r="C10" s="63">
        <v>6.3999999999999997E-5</v>
      </c>
      <c r="D10" s="63">
        <v>1.054999E-2</v>
      </c>
      <c r="F10" s="66">
        <v>1622</v>
      </c>
      <c r="G10" s="67">
        <v>0.342391206</v>
      </c>
      <c r="H10" s="67">
        <v>0.54079363400000002</v>
      </c>
      <c r="J10" s="71" t="s">
        <v>11</v>
      </c>
      <c r="K10" s="65"/>
      <c r="L10" s="65"/>
      <c r="M10" s="71"/>
      <c r="N10" s="72">
        <f>MAX(H5:H214)</f>
        <v>0.54079363400000002</v>
      </c>
    </row>
    <row r="11" spans="1:16" x14ac:dyDescent="0.3">
      <c r="A11" s="69">
        <v>386</v>
      </c>
      <c r="B11" s="63">
        <v>2.5353849999999998E-3</v>
      </c>
      <c r="C11" s="63">
        <v>7.2344209999999998E-5</v>
      </c>
      <c r="D11" s="63">
        <v>1.19658E-2</v>
      </c>
      <c r="F11" s="66">
        <v>1655</v>
      </c>
      <c r="G11" s="67">
        <v>0.338529525</v>
      </c>
      <c r="H11" s="67">
        <v>0.54077907300000005</v>
      </c>
      <c r="J11" s="63"/>
      <c r="K11" s="63"/>
      <c r="L11" s="63"/>
      <c r="M11" s="63"/>
      <c r="N11" s="63"/>
    </row>
    <row r="12" spans="1:16" x14ac:dyDescent="0.3">
      <c r="A12" s="69">
        <v>387</v>
      </c>
      <c r="B12" s="63">
        <v>2.8926030000000001E-3</v>
      </c>
      <c r="C12" s="63">
        <v>8.2212239999999995E-5</v>
      </c>
      <c r="D12" s="63">
        <v>1.3655870000000001E-2</v>
      </c>
      <c r="F12" s="66">
        <v>1689</v>
      </c>
      <c r="G12" s="67">
        <v>0.33471823099999998</v>
      </c>
      <c r="H12" s="67">
        <v>0.54072362100000004</v>
      </c>
      <c r="J12" s="71" t="s">
        <v>32</v>
      </c>
      <c r="K12" s="63"/>
      <c r="L12" s="63"/>
      <c r="M12" s="63"/>
      <c r="N12" s="73">
        <v>1</v>
      </c>
    </row>
    <row r="13" spans="1:16" x14ac:dyDescent="0.3">
      <c r="A13" s="69">
        <v>388</v>
      </c>
      <c r="B13" s="63">
        <v>3.3008289999999999E-3</v>
      </c>
      <c r="C13" s="63">
        <v>9.3508159999999998E-5</v>
      </c>
      <c r="D13" s="63">
        <v>1.5588050000000001E-2</v>
      </c>
      <c r="F13" s="66">
        <v>1724</v>
      </c>
      <c r="G13" s="67">
        <v>0.33095950899999999</v>
      </c>
      <c r="H13" s="67">
        <v>0.54062654399999999</v>
      </c>
      <c r="J13" s="71" t="s">
        <v>31</v>
      </c>
      <c r="K13" s="63"/>
      <c r="L13" s="63"/>
      <c r="M13" s="63"/>
      <c r="N13" s="63">
        <f>683</f>
        <v>683</v>
      </c>
    </row>
    <row r="14" spans="1:16" x14ac:dyDescent="0.3">
      <c r="A14" s="69">
        <v>389</v>
      </c>
      <c r="B14" s="63">
        <v>3.7532360000000001E-3</v>
      </c>
      <c r="C14" s="63">
        <v>1.061361E-4</v>
      </c>
      <c r="D14" s="63">
        <v>1.773015E-2</v>
      </c>
      <c r="F14" s="66">
        <v>1759</v>
      </c>
      <c r="G14" s="67">
        <v>0.32725537300000002</v>
      </c>
      <c r="H14" s="67">
        <v>0.54048720299999997</v>
      </c>
    </row>
    <row r="15" spans="1:16" x14ac:dyDescent="0.3">
      <c r="A15" s="69">
        <v>390</v>
      </c>
      <c r="B15" s="63">
        <v>4.2430000000000002E-3</v>
      </c>
      <c r="C15" s="63">
        <v>1.2E-4</v>
      </c>
      <c r="D15" s="63">
        <v>2.005001E-2</v>
      </c>
      <c r="F15" s="66">
        <v>1795</v>
      </c>
      <c r="G15" s="67">
        <v>0.32360764400000003</v>
      </c>
      <c r="H15" s="67">
        <v>0.54030507500000002</v>
      </c>
      <c r="J15" s="4" t="s">
        <v>127</v>
      </c>
    </row>
    <row r="16" spans="1:16" x14ac:dyDescent="0.3">
      <c r="A16" s="69">
        <v>391</v>
      </c>
      <c r="B16" s="63">
        <v>4.7623889999999997E-3</v>
      </c>
      <c r="C16" s="63">
        <v>1.3498399999999999E-4</v>
      </c>
      <c r="D16" s="63">
        <v>2.2511360000000001E-2</v>
      </c>
      <c r="F16" s="66">
        <v>1831</v>
      </c>
      <c r="G16" s="67">
        <v>0.32001790499999999</v>
      </c>
      <c r="H16" s="67">
        <v>0.54007977500000004</v>
      </c>
      <c r="J16" s="166" t="s">
        <v>122</v>
      </c>
      <c r="K16" s="167">
        <v>100</v>
      </c>
    </row>
    <row r="17" spans="1:11" x14ac:dyDescent="0.3">
      <c r="A17" s="69">
        <v>392</v>
      </c>
      <c r="B17" s="63">
        <v>5.3300480000000004E-3</v>
      </c>
      <c r="C17" s="63">
        <v>1.5149200000000001E-4</v>
      </c>
      <c r="D17" s="63">
        <v>2.520288E-2</v>
      </c>
      <c r="F17" s="66">
        <v>1869</v>
      </c>
      <c r="G17" s="67">
        <v>0.316487138</v>
      </c>
      <c r="H17" s="67">
        <v>0.53981169600000001</v>
      </c>
      <c r="J17" s="166" t="s">
        <v>123</v>
      </c>
      <c r="K17" s="167">
        <v>100</v>
      </c>
    </row>
    <row r="18" spans="1:11" x14ac:dyDescent="0.3">
      <c r="A18" s="69">
        <v>393</v>
      </c>
      <c r="B18" s="63">
        <v>5.9787119999999997E-3</v>
      </c>
      <c r="C18" s="63">
        <v>1.7020800000000001E-4</v>
      </c>
      <c r="D18" s="63">
        <v>2.8279720000000001E-2</v>
      </c>
      <c r="F18" s="66">
        <v>1907</v>
      </c>
      <c r="G18" s="67">
        <v>0.31301547000000002</v>
      </c>
      <c r="H18" s="67">
        <v>0.53950241399999999</v>
      </c>
      <c r="J18" s="166" t="s">
        <v>124</v>
      </c>
      <c r="K18" s="167">
        <v>100</v>
      </c>
    </row>
    <row r="19" spans="1:11" x14ac:dyDescent="0.3">
      <c r="A19" s="69">
        <v>394</v>
      </c>
      <c r="B19" s="63">
        <v>6.7411169999999996E-3</v>
      </c>
      <c r="C19" s="63">
        <v>1.9181600000000001E-4</v>
      </c>
      <c r="D19" s="63">
        <v>3.1897040000000002E-2</v>
      </c>
      <c r="F19" s="66">
        <v>1946</v>
      </c>
      <c r="G19" s="67">
        <v>0.30960263599999999</v>
      </c>
      <c r="H19" s="67">
        <v>0.53915268199999999</v>
      </c>
      <c r="J19" s="166"/>
    </row>
    <row r="20" spans="1:11" x14ac:dyDescent="0.3">
      <c r="A20" s="69">
        <v>395</v>
      </c>
      <c r="B20" s="63">
        <v>7.6499999999999997E-3</v>
      </c>
      <c r="C20" s="63">
        <v>2.1699999999999999E-4</v>
      </c>
      <c r="D20" s="63">
        <v>3.6209999999999999E-2</v>
      </c>
      <c r="F20" s="66">
        <v>1985</v>
      </c>
      <c r="G20" s="67">
        <v>0.30624822000000002</v>
      </c>
      <c r="H20" s="67">
        <v>0.53875901000000004</v>
      </c>
      <c r="J20" s="166" t="s">
        <v>128</v>
      </c>
    </row>
    <row r="21" spans="1:11" x14ac:dyDescent="0.3">
      <c r="A21" s="69">
        <v>396</v>
      </c>
      <c r="B21" s="63">
        <v>8.7513729999999998E-3</v>
      </c>
      <c r="C21" s="63">
        <v>2.4690669999999999E-4</v>
      </c>
      <c r="D21" s="63">
        <v>4.1437710000000003E-2</v>
      </c>
      <c r="F21" s="66">
        <v>2026</v>
      </c>
      <c r="G21" s="67">
        <v>0.302951531</v>
      </c>
      <c r="H21" s="67">
        <v>0.53831698699999997</v>
      </c>
      <c r="J21" s="166" t="s">
        <v>125</v>
      </c>
      <c r="K21" s="168">
        <v>8.8559999999999993E-3</v>
      </c>
    </row>
    <row r="22" spans="1:11" x14ac:dyDescent="0.3">
      <c r="A22" s="69">
        <v>397</v>
      </c>
      <c r="B22" s="63">
        <v>1.002888E-2</v>
      </c>
      <c r="C22" s="63">
        <v>2.8123999999999998E-4</v>
      </c>
      <c r="D22" s="63">
        <v>4.7503719999999999E-2</v>
      </c>
      <c r="F22" s="66">
        <v>2067</v>
      </c>
      <c r="G22" s="67">
        <v>0.29971349899999999</v>
      </c>
      <c r="H22" s="67">
        <v>0.53782621399999997</v>
      </c>
      <c r="J22" s="166" t="s">
        <v>126</v>
      </c>
      <c r="K22" s="168">
        <v>903.3</v>
      </c>
    </row>
    <row r="23" spans="1:11" x14ac:dyDescent="0.3">
      <c r="A23" s="69">
        <v>398</v>
      </c>
      <c r="B23" s="63">
        <v>1.14217E-2</v>
      </c>
      <c r="C23" s="63">
        <v>3.1851999999999998E-4</v>
      </c>
      <c r="D23" s="63">
        <v>5.4119880000000002E-2</v>
      </c>
      <c r="F23" s="66">
        <v>2110</v>
      </c>
      <c r="G23" s="67">
        <v>0.29653626500000002</v>
      </c>
      <c r="H23" s="67">
        <v>0.53728957799999999</v>
      </c>
    </row>
    <row r="24" spans="1:11" x14ac:dyDescent="0.3">
      <c r="A24" s="69">
        <v>399</v>
      </c>
      <c r="B24" s="63">
        <v>1.286901E-2</v>
      </c>
      <c r="C24" s="63">
        <v>3.5726669999999999E-4</v>
      </c>
      <c r="D24" s="63">
        <v>6.0998030000000002E-2</v>
      </c>
      <c r="F24" s="66">
        <v>2153</v>
      </c>
      <c r="G24" s="67">
        <v>0.29342094299999999</v>
      </c>
      <c r="H24" s="67">
        <v>0.53670980300000004</v>
      </c>
    </row>
    <row r="25" spans="1:11" x14ac:dyDescent="0.3">
      <c r="A25" s="69">
        <v>400</v>
      </c>
      <c r="B25" s="63">
        <v>1.431E-2</v>
      </c>
      <c r="C25" s="63">
        <v>3.9599999999999998E-4</v>
      </c>
      <c r="D25" s="63">
        <v>6.7850010000000002E-2</v>
      </c>
      <c r="F25" s="66">
        <v>2196</v>
      </c>
      <c r="G25" s="67">
        <v>0.29036563599999998</v>
      </c>
      <c r="H25" s="67">
        <v>0.53608770900000002</v>
      </c>
    </row>
    <row r="26" spans="1:11" x14ac:dyDescent="0.3">
      <c r="A26" s="69">
        <v>401</v>
      </c>
      <c r="B26" s="63">
        <v>1.5704429999999998E-2</v>
      </c>
      <c r="C26" s="63">
        <v>4.337147E-4</v>
      </c>
      <c r="D26" s="63">
        <v>7.4486319999999995E-2</v>
      </c>
      <c r="F26" s="66">
        <v>2241</v>
      </c>
      <c r="G26" s="67">
        <v>0.28736732999999998</v>
      </c>
      <c r="H26" s="67">
        <v>0.53542390500000003</v>
      </c>
    </row>
    <row r="27" spans="1:11" x14ac:dyDescent="0.3">
      <c r="A27" s="69">
        <v>402</v>
      </c>
      <c r="B27" s="63">
        <v>1.714744E-2</v>
      </c>
      <c r="C27" s="63">
        <v>4.73024E-4</v>
      </c>
      <c r="D27" s="63">
        <v>8.1361559999999999E-2</v>
      </c>
      <c r="F27" s="66">
        <v>2287</v>
      </c>
      <c r="G27" s="67">
        <v>0.28442535299999999</v>
      </c>
      <c r="H27" s="67">
        <v>0.53471847800000005</v>
      </c>
    </row>
    <row r="28" spans="1:11" x14ac:dyDescent="0.3">
      <c r="A28" s="69">
        <v>403</v>
      </c>
      <c r="B28" s="63">
        <v>1.8781220000000001E-2</v>
      </c>
      <c r="C28" s="63">
        <v>5.1787600000000001E-4</v>
      </c>
      <c r="D28" s="63">
        <v>8.9153640000000006E-2</v>
      </c>
      <c r="F28" s="66">
        <v>2334</v>
      </c>
      <c r="G28" s="67">
        <v>0.281542493</v>
      </c>
      <c r="H28" s="67">
        <v>0.53397072199999995</v>
      </c>
    </row>
    <row r="29" spans="1:11" x14ac:dyDescent="0.3">
      <c r="A29" s="69">
        <v>404</v>
      </c>
      <c r="B29" s="63">
        <v>2.0748010000000001E-2</v>
      </c>
      <c r="C29" s="63">
        <v>5.7221870000000001E-4</v>
      </c>
      <c r="D29" s="63">
        <v>9.854048E-2</v>
      </c>
      <c r="F29" s="66">
        <v>2381</v>
      </c>
      <c r="G29" s="67">
        <v>0.27872153799999999</v>
      </c>
      <c r="H29" s="67">
        <v>0.53318000300000001</v>
      </c>
    </row>
    <row r="30" spans="1:11" x14ac:dyDescent="0.3">
      <c r="A30" s="69">
        <v>405</v>
      </c>
      <c r="B30" s="63">
        <v>2.3189999999999999E-2</v>
      </c>
      <c r="C30" s="63">
        <v>6.4000000000000005E-4</v>
      </c>
      <c r="D30" s="63">
        <v>0.11020000000000001</v>
      </c>
      <c r="F30" s="66">
        <v>2430</v>
      </c>
      <c r="G30" s="67">
        <v>0.27596236099999999</v>
      </c>
      <c r="H30" s="67">
        <v>0.53234669099999998</v>
      </c>
    </row>
    <row r="31" spans="1:11" x14ac:dyDescent="0.3">
      <c r="A31" s="69">
        <v>406</v>
      </c>
      <c r="B31" s="63">
        <v>2.6207359999999999E-2</v>
      </c>
      <c r="C31" s="63">
        <v>7.2455999999999996E-4</v>
      </c>
      <c r="D31" s="63">
        <v>0.1246133</v>
      </c>
      <c r="F31" s="66">
        <v>2480</v>
      </c>
      <c r="G31" s="67">
        <v>0.27326210400000001</v>
      </c>
      <c r="H31" s="67">
        <v>0.53147210700000003</v>
      </c>
    </row>
    <row r="32" spans="1:11" x14ac:dyDescent="0.3">
      <c r="A32" s="69">
        <v>407</v>
      </c>
      <c r="B32" s="63">
        <v>2.978248E-2</v>
      </c>
      <c r="C32" s="63">
        <v>8.2549999999999995E-4</v>
      </c>
      <c r="D32" s="63">
        <v>0.14170170000000001</v>
      </c>
      <c r="F32" s="66">
        <v>2530</v>
      </c>
      <c r="G32" s="67">
        <v>0.27061729299999998</v>
      </c>
      <c r="H32" s="67">
        <v>0.53055786000000005</v>
      </c>
    </row>
    <row r="33" spans="1:8" x14ac:dyDescent="0.3">
      <c r="A33" s="69">
        <v>408</v>
      </c>
      <c r="B33" s="63">
        <v>3.3880920000000002E-2</v>
      </c>
      <c r="C33" s="63">
        <v>9.4116000000000002E-4</v>
      </c>
      <c r="D33" s="63">
        <v>0.16130349999999999</v>
      </c>
      <c r="F33" s="66">
        <v>2582</v>
      </c>
      <c r="G33" s="67">
        <v>0.268027407</v>
      </c>
      <c r="H33" s="67">
        <v>0.52960495799999996</v>
      </c>
    </row>
    <row r="34" spans="1:8" x14ac:dyDescent="0.3">
      <c r="A34" s="69">
        <v>409</v>
      </c>
      <c r="B34" s="63">
        <v>3.8468240000000001E-2</v>
      </c>
      <c r="C34" s="63">
        <v>1.06988E-3</v>
      </c>
      <c r="D34" s="63">
        <v>0.1832568</v>
      </c>
      <c r="F34" s="66">
        <v>2634</v>
      </c>
      <c r="G34" s="67">
        <v>0.26549453200000001</v>
      </c>
      <c r="H34" s="67">
        <v>0.52861391700000004</v>
      </c>
    </row>
    <row r="35" spans="1:8" x14ac:dyDescent="0.3">
      <c r="A35" s="69">
        <v>410</v>
      </c>
      <c r="B35" s="63">
        <v>4.351E-2</v>
      </c>
      <c r="C35" s="63">
        <v>1.2099999999999999E-3</v>
      </c>
      <c r="D35" s="63">
        <v>0.2074</v>
      </c>
      <c r="F35" s="66">
        <v>2688</v>
      </c>
      <c r="G35" s="67">
        <v>0.26302066600000001</v>
      </c>
      <c r="H35" s="67">
        <v>0.527585427</v>
      </c>
    </row>
    <row r="36" spans="1:8" x14ac:dyDescent="0.3">
      <c r="A36" s="69">
        <v>411</v>
      </c>
      <c r="B36" s="63">
        <v>4.89956E-2</v>
      </c>
      <c r="C36" s="63">
        <v>1.362091E-3</v>
      </c>
      <c r="D36" s="63">
        <v>0.23369210000000001</v>
      </c>
      <c r="F36" s="66">
        <v>2743</v>
      </c>
      <c r="G36" s="67">
        <v>0.26060619800000001</v>
      </c>
      <c r="H36" s="67">
        <v>0.52652028200000001</v>
      </c>
    </row>
    <row r="37" spans="1:8" x14ac:dyDescent="0.3">
      <c r="A37" s="69">
        <v>412</v>
      </c>
      <c r="B37" s="63">
        <v>5.5022599999999998E-2</v>
      </c>
      <c r="C37" s="63">
        <v>1.530752E-3</v>
      </c>
      <c r="D37" s="63">
        <v>0.26261139999999999</v>
      </c>
      <c r="F37" s="66">
        <v>2799</v>
      </c>
      <c r="G37" s="67">
        <v>0.25824920800000001</v>
      </c>
      <c r="H37" s="67">
        <v>0.52541935500000003</v>
      </c>
    </row>
    <row r="38" spans="1:8" x14ac:dyDescent="0.3">
      <c r="A38" s="69">
        <v>413</v>
      </c>
      <c r="B38" s="63">
        <v>6.1718799999999997E-2</v>
      </c>
      <c r="C38" s="63">
        <v>1.7203679999999999E-3</v>
      </c>
      <c r="D38" s="63">
        <v>0.2947746</v>
      </c>
      <c r="F38" s="66">
        <v>2856</v>
      </c>
      <c r="G38" s="67">
        <v>0.25594699199999998</v>
      </c>
      <c r="H38" s="67">
        <v>0.52428374099999997</v>
      </c>
    </row>
    <row r="39" spans="1:8" x14ac:dyDescent="0.3">
      <c r="A39" s="69">
        <v>414</v>
      </c>
      <c r="B39" s="63">
        <v>6.9211999999999996E-2</v>
      </c>
      <c r="C39" s="63">
        <v>1.9353230000000001E-3</v>
      </c>
      <c r="D39" s="63">
        <v>0.3307985</v>
      </c>
      <c r="F39" s="66">
        <v>2914</v>
      </c>
      <c r="G39" s="67">
        <v>0.25369697000000002</v>
      </c>
      <c r="H39" s="67">
        <v>0.52311477200000001</v>
      </c>
    </row>
    <row r="40" spans="1:8" x14ac:dyDescent="0.3">
      <c r="A40" s="69">
        <v>415</v>
      </c>
      <c r="B40" s="63">
        <v>7.7630000000000005E-2</v>
      </c>
      <c r="C40" s="63">
        <v>2.1800000000000001E-3</v>
      </c>
      <c r="D40" s="63">
        <v>0.37130000000000002</v>
      </c>
      <c r="F40" s="66">
        <v>2974</v>
      </c>
      <c r="G40" s="67">
        <v>0.25149956099999998</v>
      </c>
      <c r="H40" s="67">
        <v>0.52191403999999997</v>
      </c>
    </row>
    <row r="41" spans="1:8" x14ac:dyDescent="0.3">
      <c r="A41" s="69">
        <v>416</v>
      </c>
      <c r="B41" s="63">
        <v>8.6958110000000005E-2</v>
      </c>
      <c r="C41" s="63">
        <v>2.4548E-3</v>
      </c>
      <c r="D41" s="63">
        <v>0.4162091</v>
      </c>
      <c r="F41" s="66">
        <v>3035</v>
      </c>
      <c r="G41" s="67">
        <v>0.24935587200000001</v>
      </c>
      <c r="H41" s="67">
        <v>0.520683428</v>
      </c>
    </row>
    <row r="42" spans="1:8" x14ac:dyDescent="0.3">
      <c r="A42" s="69">
        <v>417</v>
      </c>
      <c r="B42" s="63">
        <v>9.7176719999999994E-2</v>
      </c>
      <c r="C42" s="63">
        <v>2.764E-3</v>
      </c>
      <c r="D42" s="63">
        <v>0.46546419999999999</v>
      </c>
      <c r="F42" s="66">
        <v>3097</v>
      </c>
      <c r="G42" s="67">
        <v>0.247266773</v>
      </c>
      <c r="H42" s="67">
        <v>0.51942512699999999</v>
      </c>
    </row>
    <row r="43" spans="1:8" x14ac:dyDescent="0.3">
      <c r="A43" s="69">
        <v>418</v>
      </c>
      <c r="B43" s="63">
        <v>0.1084063</v>
      </c>
      <c r="C43" s="63">
        <v>3.1178E-3</v>
      </c>
      <c r="D43" s="63">
        <v>0.51969480000000001</v>
      </c>
      <c r="F43" s="66">
        <v>3160</v>
      </c>
      <c r="G43" s="67">
        <v>0.24523229399999999</v>
      </c>
      <c r="H43" s="67">
        <v>0.51814081099999998</v>
      </c>
    </row>
    <row r="44" spans="1:8" x14ac:dyDescent="0.3">
      <c r="A44" s="69">
        <v>419</v>
      </c>
      <c r="B44" s="63">
        <v>0.12076720000000001</v>
      </c>
      <c r="C44" s="63">
        <v>3.5263999999999998E-3</v>
      </c>
      <c r="D44" s="63">
        <v>0.57953030000000005</v>
      </c>
      <c r="F44" s="66">
        <v>3224</v>
      </c>
      <c r="G44" s="67">
        <v>0.24325112500000001</v>
      </c>
      <c r="H44" s="67">
        <v>0.51683096100000003</v>
      </c>
    </row>
    <row r="45" spans="1:8" x14ac:dyDescent="0.3">
      <c r="A45" s="69">
        <v>420</v>
      </c>
      <c r="B45" s="63">
        <v>0.13438</v>
      </c>
      <c r="C45" s="63">
        <v>4.0000000000000001E-3</v>
      </c>
      <c r="D45" s="63">
        <v>0.64559999999999995</v>
      </c>
      <c r="F45" s="66">
        <v>3290</v>
      </c>
      <c r="G45" s="67">
        <v>0.241321338</v>
      </c>
      <c r="H45" s="67">
        <v>0.51549604400000004</v>
      </c>
    </row>
    <row r="46" spans="1:8" x14ac:dyDescent="0.3">
      <c r="A46" s="69">
        <v>421</v>
      </c>
      <c r="B46" s="63">
        <v>0.1493582</v>
      </c>
      <c r="C46" s="63">
        <v>4.54624E-3</v>
      </c>
      <c r="D46" s="63">
        <v>0.71848380000000001</v>
      </c>
      <c r="F46" s="66">
        <v>3357</v>
      </c>
      <c r="G46" s="67">
        <v>0.23944043400000001</v>
      </c>
      <c r="H46" s="67">
        <v>0.51413663899999995</v>
      </c>
    </row>
    <row r="47" spans="1:8" x14ac:dyDescent="0.3">
      <c r="A47" s="69">
        <v>422</v>
      </c>
      <c r="B47" s="63">
        <v>0.16539570000000001</v>
      </c>
      <c r="C47" s="63">
        <v>5.1593200000000002E-3</v>
      </c>
      <c r="D47" s="63">
        <v>0.79671329999999996</v>
      </c>
      <c r="F47" s="66">
        <v>3426</v>
      </c>
      <c r="G47" s="67">
        <v>0.23760684200000001</v>
      </c>
      <c r="H47" s="67">
        <v>0.51275403500000005</v>
      </c>
    </row>
    <row r="48" spans="1:8" x14ac:dyDescent="0.3">
      <c r="A48" s="69">
        <v>423</v>
      </c>
      <c r="B48" s="63">
        <v>0.18198310000000001</v>
      </c>
      <c r="C48" s="63">
        <v>5.8292800000000001E-3</v>
      </c>
      <c r="D48" s="63">
        <v>0.87784589999999996</v>
      </c>
      <c r="F48" s="66">
        <v>3496</v>
      </c>
      <c r="G48" s="67">
        <v>0.235820856</v>
      </c>
      <c r="H48" s="67">
        <v>0.51135060600000004</v>
      </c>
    </row>
    <row r="49" spans="1:8" x14ac:dyDescent="0.3">
      <c r="A49" s="69">
        <v>424</v>
      </c>
      <c r="B49" s="63">
        <v>0.19861100000000001</v>
      </c>
      <c r="C49" s="63">
        <v>6.5461599999999997E-3</v>
      </c>
      <c r="D49" s="63">
        <v>0.95943900000000004</v>
      </c>
      <c r="F49" s="66">
        <v>3567</v>
      </c>
      <c r="G49" s="67">
        <v>0.23408268199999999</v>
      </c>
      <c r="H49" s="67">
        <v>0.50992912700000004</v>
      </c>
    </row>
    <row r="50" spans="1:8" x14ac:dyDescent="0.3">
      <c r="A50" s="69">
        <v>425</v>
      </c>
      <c r="B50" s="63">
        <v>0.21476999999999999</v>
      </c>
      <c r="C50" s="63">
        <v>7.3000000000000001E-3</v>
      </c>
      <c r="D50" s="63">
        <v>1.0390501000000001</v>
      </c>
      <c r="F50" s="66">
        <v>3640</v>
      </c>
      <c r="G50" s="67">
        <v>0.232392234</v>
      </c>
      <c r="H50" s="67">
        <v>0.50849274300000002</v>
      </c>
    </row>
    <row r="51" spans="1:8" x14ac:dyDescent="0.3">
      <c r="A51" s="69">
        <v>426</v>
      </c>
      <c r="B51" s="63">
        <v>0.2301868</v>
      </c>
      <c r="C51" s="63">
        <v>8.0865069999999997E-3</v>
      </c>
      <c r="D51" s="63">
        <v>1.1153673</v>
      </c>
      <c r="F51" s="66">
        <v>3714</v>
      </c>
      <c r="G51" s="67">
        <v>0.23074914099999999</v>
      </c>
      <c r="H51" s="67">
        <v>0.50704385699999999</v>
      </c>
    </row>
    <row r="52" spans="1:8" x14ac:dyDescent="0.3">
      <c r="A52" s="69">
        <v>427</v>
      </c>
      <c r="B52" s="63">
        <v>0.24487970000000001</v>
      </c>
      <c r="C52" s="63">
        <v>8.9087200000000002E-3</v>
      </c>
      <c r="D52" s="63">
        <v>1.1884971</v>
      </c>
      <c r="F52" s="66">
        <v>3790</v>
      </c>
      <c r="G52" s="67">
        <v>0.229152831</v>
      </c>
      <c r="H52" s="67">
        <v>0.50558104199999998</v>
      </c>
    </row>
    <row r="53" spans="1:8" x14ac:dyDescent="0.3">
      <c r="A53" s="69">
        <v>428</v>
      </c>
      <c r="B53" s="63">
        <v>0.25877729999999999</v>
      </c>
      <c r="C53" s="63">
        <v>9.7676800000000008E-3</v>
      </c>
      <c r="D53" s="63">
        <v>1.2581233000000001</v>
      </c>
      <c r="F53" s="66">
        <v>3867</v>
      </c>
      <c r="G53" s="67">
        <v>0.22760238799999999</v>
      </c>
      <c r="H53" s="67">
        <v>0.50410175300000004</v>
      </c>
    </row>
    <row r="54" spans="1:8" x14ac:dyDescent="0.3">
      <c r="A54" s="69">
        <v>429</v>
      </c>
      <c r="B54" s="63">
        <v>0.27180789999999999</v>
      </c>
      <c r="C54" s="63">
        <v>1.0664430000000001E-2</v>
      </c>
      <c r="D54" s="63">
        <v>1.3239296</v>
      </c>
      <c r="F54" s="66">
        <v>3946</v>
      </c>
      <c r="G54" s="67">
        <v>0.22609647599999999</v>
      </c>
      <c r="H54" s="67">
        <v>0.50260312100000004</v>
      </c>
    </row>
    <row r="55" spans="1:8" x14ac:dyDescent="0.3">
      <c r="A55" s="69">
        <v>430</v>
      </c>
      <c r="B55" s="63">
        <v>0.28389999999999999</v>
      </c>
      <c r="C55" s="63">
        <v>1.1599999999999999E-2</v>
      </c>
      <c r="D55" s="63">
        <v>1.3855999999999999</v>
      </c>
      <c r="F55" s="66">
        <v>4027</v>
      </c>
      <c r="G55" s="67">
        <v>0.224633309</v>
      </c>
      <c r="H55" s="67">
        <v>0.50108201699999999</v>
      </c>
    </row>
    <row r="56" spans="1:8" x14ac:dyDescent="0.3">
      <c r="A56" s="69">
        <v>431</v>
      </c>
      <c r="B56" s="63">
        <v>0.29494379999999998</v>
      </c>
      <c r="C56" s="63">
        <v>1.257317E-2</v>
      </c>
      <c r="D56" s="63">
        <v>1.4426352</v>
      </c>
      <c r="F56" s="66">
        <v>4109</v>
      </c>
      <c r="G56" s="67">
        <v>0.223211517</v>
      </c>
      <c r="H56" s="67">
        <v>0.49954106300000001</v>
      </c>
    </row>
    <row r="57" spans="1:8" x14ac:dyDescent="0.3">
      <c r="A57" s="69">
        <v>432</v>
      </c>
      <c r="B57" s="63">
        <v>0.30489650000000001</v>
      </c>
      <c r="C57" s="63">
        <v>1.358272E-2</v>
      </c>
      <c r="D57" s="63">
        <v>1.4948035</v>
      </c>
      <c r="F57" s="66">
        <v>4193</v>
      </c>
      <c r="G57" s="67">
        <v>0.221830784</v>
      </c>
      <c r="H57" s="67">
        <v>0.497993136</v>
      </c>
    </row>
    <row r="58" spans="1:8" x14ac:dyDescent="0.3">
      <c r="A58" s="69">
        <v>433</v>
      </c>
      <c r="B58" s="63">
        <v>0.31378729999999999</v>
      </c>
      <c r="C58" s="63">
        <v>1.4629680000000001E-2</v>
      </c>
      <c r="D58" s="63">
        <v>1.5421902999999999</v>
      </c>
      <c r="F58" s="66">
        <v>4278</v>
      </c>
      <c r="G58" s="67">
        <v>0.220490618</v>
      </c>
      <c r="H58" s="67">
        <v>0.49645361999999998</v>
      </c>
    </row>
    <row r="59" spans="1:8" x14ac:dyDescent="0.3">
      <c r="A59" s="69">
        <v>434</v>
      </c>
      <c r="B59" s="63">
        <v>0.32164540000000003</v>
      </c>
      <c r="C59" s="63">
        <v>1.5715090000000001E-2</v>
      </c>
      <c r="D59" s="63">
        <v>1.5848807</v>
      </c>
      <c r="F59" s="66">
        <v>4366</v>
      </c>
      <c r="G59" s="67">
        <v>0.219190198</v>
      </c>
      <c r="H59" s="67">
        <v>0.49493975600000001</v>
      </c>
    </row>
    <row r="60" spans="1:8" x14ac:dyDescent="0.3">
      <c r="A60" s="69">
        <v>435</v>
      </c>
      <c r="B60" s="63">
        <v>0.32850000000000001</v>
      </c>
      <c r="C60" s="63">
        <v>1.6840000000000001E-2</v>
      </c>
      <c r="D60" s="63">
        <v>1.62296</v>
      </c>
      <c r="F60" s="66">
        <v>4455</v>
      </c>
      <c r="G60" s="67">
        <v>0.217928341</v>
      </c>
      <c r="H60" s="67">
        <v>0.49347079799999999</v>
      </c>
    </row>
    <row r="61" spans="1:8" x14ac:dyDescent="0.3">
      <c r="A61" s="69">
        <v>436</v>
      </c>
      <c r="B61" s="63">
        <v>0.33435130000000002</v>
      </c>
      <c r="C61" s="63">
        <v>1.800736E-2</v>
      </c>
      <c r="D61" s="63">
        <v>1.6564048</v>
      </c>
      <c r="F61" s="66">
        <v>4546</v>
      </c>
      <c r="G61" s="67">
        <v>0.21670388500000001</v>
      </c>
      <c r="H61" s="67">
        <v>0.49205862</v>
      </c>
    </row>
    <row r="62" spans="1:8" x14ac:dyDescent="0.3">
      <c r="A62" s="69">
        <v>437</v>
      </c>
      <c r="B62" s="63">
        <v>0.33921010000000001</v>
      </c>
      <c r="C62" s="63">
        <v>1.9214479999999999E-2</v>
      </c>
      <c r="D62" s="63">
        <v>1.6852959000000001</v>
      </c>
      <c r="F62" s="66">
        <v>4638</v>
      </c>
      <c r="G62" s="67">
        <v>0.21551653100000001</v>
      </c>
      <c r="H62" s="67">
        <v>0.49068814100000002</v>
      </c>
    </row>
    <row r="63" spans="1:8" x14ac:dyDescent="0.3">
      <c r="A63" s="69">
        <v>438</v>
      </c>
      <c r="B63" s="63">
        <v>0.34312130000000002</v>
      </c>
      <c r="C63" s="63">
        <v>2.045392E-2</v>
      </c>
      <c r="D63" s="63">
        <v>1.7098745</v>
      </c>
      <c r="F63" s="66">
        <v>4733</v>
      </c>
      <c r="G63" s="67">
        <v>0.21436593100000001</v>
      </c>
      <c r="H63" s="67">
        <v>0.48933691699999998</v>
      </c>
    </row>
    <row r="64" spans="1:8" x14ac:dyDescent="0.3">
      <c r="A64" s="69">
        <v>439</v>
      </c>
      <c r="B64" s="63">
        <v>0.34612959999999998</v>
      </c>
      <c r="C64" s="63">
        <v>2.171824E-2</v>
      </c>
      <c r="D64" s="63">
        <v>1.7303820999999999</v>
      </c>
      <c r="F64" s="66">
        <v>4830</v>
      </c>
      <c r="G64" s="67">
        <v>0.213251458</v>
      </c>
      <c r="H64" s="67">
        <v>0.48797945300000001</v>
      </c>
    </row>
    <row r="65" spans="1:8" x14ac:dyDescent="0.3">
      <c r="A65" s="69">
        <v>440</v>
      </c>
      <c r="B65" s="63">
        <v>0.34827999999999998</v>
      </c>
      <c r="C65" s="63">
        <v>2.3E-2</v>
      </c>
      <c r="D65" s="63">
        <v>1.7470600000000001</v>
      </c>
      <c r="F65" s="66">
        <v>4928</v>
      </c>
      <c r="G65" s="67">
        <v>0.21217216699999999</v>
      </c>
      <c r="H65" s="67">
        <v>0.48658692199999998</v>
      </c>
    </row>
    <row r="66" spans="1:8" x14ac:dyDescent="0.3">
      <c r="A66" s="69">
        <v>441</v>
      </c>
      <c r="B66" s="63">
        <v>0.34959990000000002</v>
      </c>
      <c r="C66" s="63">
        <v>2.4294610000000001E-2</v>
      </c>
      <c r="D66" s="63">
        <v>1.7600446000000001</v>
      </c>
      <c r="F66" s="66">
        <v>5029</v>
      </c>
      <c r="G66" s="67">
        <v>0.21112677699999999</v>
      </c>
      <c r="H66" s="67">
        <v>0.48512708700000001</v>
      </c>
    </row>
    <row r="67" spans="1:8" x14ac:dyDescent="0.3">
      <c r="A67" s="69">
        <v>442</v>
      </c>
      <c r="B67" s="63">
        <v>0.3501474</v>
      </c>
      <c r="C67" s="63">
        <v>2.5610239999999999E-2</v>
      </c>
      <c r="D67" s="63">
        <v>1.7696232999999999</v>
      </c>
      <c r="F67" s="66">
        <v>5131</v>
      </c>
      <c r="G67" s="67">
        <v>0.210114206</v>
      </c>
      <c r="H67" s="67">
        <v>0.48358231699999998</v>
      </c>
    </row>
    <row r="68" spans="1:8" x14ac:dyDescent="0.3">
      <c r="A68" s="69">
        <v>443</v>
      </c>
      <c r="B68" s="63">
        <v>0.35001300000000002</v>
      </c>
      <c r="C68" s="63">
        <v>2.6958570000000001E-2</v>
      </c>
      <c r="D68" s="63">
        <v>1.7762636999999999</v>
      </c>
      <c r="F68" s="66">
        <v>5236</v>
      </c>
      <c r="G68" s="67">
        <v>0.209134087</v>
      </c>
      <c r="H68" s="67">
        <v>0.481966854</v>
      </c>
    </row>
    <row r="69" spans="1:8" x14ac:dyDescent="0.3">
      <c r="A69" s="69">
        <v>444</v>
      </c>
      <c r="B69" s="63">
        <v>0.34928700000000001</v>
      </c>
      <c r="C69" s="63">
        <v>2.8351250000000001E-2</v>
      </c>
      <c r="D69" s="63">
        <v>1.7804333999999999</v>
      </c>
      <c r="F69" s="66">
        <v>5343</v>
      </c>
      <c r="G69" s="67">
        <v>0.208185912</v>
      </c>
      <c r="H69" s="67">
        <v>0.48030060499999999</v>
      </c>
    </row>
    <row r="70" spans="1:8" x14ac:dyDescent="0.3">
      <c r="A70" s="69">
        <v>445</v>
      </c>
      <c r="B70" s="63">
        <v>0.34805999999999998</v>
      </c>
      <c r="C70" s="63">
        <v>2.98E-2</v>
      </c>
      <c r="D70" s="63">
        <v>1.7826</v>
      </c>
      <c r="F70" s="66">
        <v>5452</v>
      </c>
      <c r="G70" s="67">
        <v>0.207268904</v>
      </c>
      <c r="H70" s="67">
        <v>0.47860619599999998</v>
      </c>
    </row>
    <row r="71" spans="1:8" x14ac:dyDescent="0.3">
      <c r="A71" s="69">
        <v>446</v>
      </c>
      <c r="B71" s="63">
        <v>0.3463733</v>
      </c>
      <c r="C71" s="63">
        <v>3.1310829999999998E-2</v>
      </c>
      <c r="D71" s="63">
        <v>1.7829682</v>
      </c>
      <c r="F71" s="66">
        <v>5563</v>
      </c>
      <c r="G71" s="67">
        <v>0.20638198899999999</v>
      </c>
      <c r="H71" s="67">
        <v>0.476909217</v>
      </c>
    </row>
    <row r="72" spans="1:8" x14ac:dyDescent="0.3">
      <c r="A72" s="69">
        <v>447</v>
      </c>
      <c r="B72" s="63">
        <v>0.34426240000000002</v>
      </c>
      <c r="C72" s="63">
        <v>3.2883679999999998E-2</v>
      </c>
      <c r="D72" s="63">
        <v>1.7816997999999999</v>
      </c>
      <c r="F72" s="66">
        <v>5677</v>
      </c>
      <c r="G72" s="67">
        <v>0.205523762</v>
      </c>
      <c r="H72" s="67">
        <v>0.47523847699999999</v>
      </c>
    </row>
    <row r="73" spans="1:8" x14ac:dyDescent="0.3">
      <c r="A73" s="69">
        <v>448</v>
      </c>
      <c r="B73" s="63">
        <v>0.34180880000000002</v>
      </c>
      <c r="C73" s="63">
        <v>3.4521120000000002E-2</v>
      </c>
      <c r="D73" s="63">
        <v>1.7791982</v>
      </c>
      <c r="F73" s="66">
        <v>5793</v>
      </c>
      <c r="G73" s="67">
        <v>0.20469256999999999</v>
      </c>
      <c r="H73" s="67">
        <v>0.473624196</v>
      </c>
    </row>
    <row r="74" spans="1:8" x14ac:dyDescent="0.3">
      <c r="A74" s="69">
        <v>449</v>
      </c>
      <c r="B74" s="63">
        <v>0.33909410000000001</v>
      </c>
      <c r="C74" s="63">
        <v>3.6225710000000001E-2</v>
      </c>
      <c r="D74" s="63">
        <v>1.7758670999999999</v>
      </c>
      <c r="F74" s="66">
        <v>5911</v>
      </c>
      <c r="G74" s="67">
        <v>0.20388769700000001</v>
      </c>
      <c r="H74" s="67">
        <v>0.47207576899999998</v>
      </c>
    </row>
    <row r="75" spans="1:8" x14ac:dyDescent="0.3">
      <c r="A75" s="69">
        <v>450</v>
      </c>
      <c r="B75" s="63">
        <v>0.3362</v>
      </c>
      <c r="C75" s="63">
        <v>3.7999999999999999E-2</v>
      </c>
      <c r="D75" s="63">
        <v>1.7721100000000001</v>
      </c>
      <c r="F75" s="66">
        <v>6031</v>
      </c>
      <c r="G75" s="67">
        <v>0.20310903299999999</v>
      </c>
      <c r="H75" s="67">
        <v>0.47058751999999998</v>
      </c>
    </row>
    <row r="76" spans="1:8" x14ac:dyDescent="0.3">
      <c r="A76" s="69">
        <v>451</v>
      </c>
      <c r="B76" s="63">
        <v>0.33319769999999999</v>
      </c>
      <c r="C76" s="63">
        <v>3.9846670000000001E-2</v>
      </c>
      <c r="D76" s="63">
        <v>1.7682589</v>
      </c>
      <c r="F76" s="66">
        <v>6155</v>
      </c>
      <c r="G76" s="67">
        <v>0.20235629899999999</v>
      </c>
      <c r="H76" s="67">
        <v>0.46915242000000001</v>
      </c>
    </row>
    <row r="77" spans="1:8" x14ac:dyDescent="0.3">
      <c r="A77" s="69">
        <v>452</v>
      </c>
      <c r="B77" s="63">
        <v>0.33004109999999998</v>
      </c>
      <c r="C77" s="63">
        <v>4.1768E-2</v>
      </c>
      <c r="D77" s="63">
        <v>1.7640389999999999</v>
      </c>
      <c r="F77" s="66">
        <v>6280</v>
      </c>
      <c r="G77" s="67">
        <v>0.20162901799999999</v>
      </c>
      <c r="H77" s="67">
        <v>0.46776220400000001</v>
      </c>
    </row>
    <row r="78" spans="1:8" x14ac:dyDescent="0.3">
      <c r="A78" s="69">
        <v>453</v>
      </c>
      <c r="B78" s="63">
        <v>0.32663569999999997</v>
      </c>
      <c r="C78" s="63">
        <v>4.3765999999999999E-2</v>
      </c>
      <c r="D78" s="63">
        <v>1.7589437999999999</v>
      </c>
      <c r="F78" s="66">
        <v>6408</v>
      </c>
      <c r="G78" s="67">
        <v>0.20092648900000001</v>
      </c>
      <c r="H78" s="67">
        <v>0.466407246</v>
      </c>
    </row>
    <row r="79" spans="1:8" x14ac:dyDescent="0.3">
      <c r="A79" s="69">
        <v>454</v>
      </c>
      <c r="B79" s="63">
        <v>0.32288679999999997</v>
      </c>
      <c r="C79" s="63">
        <v>4.5842670000000002E-2</v>
      </c>
      <c r="D79" s="63">
        <v>1.7524663</v>
      </c>
      <c r="F79" s="66">
        <v>6539</v>
      </c>
      <c r="G79" s="67">
        <v>0.20024776699999999</v>
      </c>
      <c r="H79" s="67">
        <v>0.465076449</v>
      </c>
    </row>
    <row r="80" spans="1:8" x14ac:dyDescent="0.3">
      <c r="A80" s="69">
        <v>455</v>
      </c>
      <c r="B80" s="63">
        <v>0.31869999999999998</v>
      </c>
      <c r="C80" s="63">
        <v>4.8000000000000001E-2</v>
      </c>
      <c r="D80" s="63">
        <v>1.7441</v>
      </c>
      <c r="F80" s="66">
        <v>6673</v>
      </c>
      <c r="G80" s="67">
        <v>0.19959163399999999</v>
      </c>
      <c r="H80" s="67">
        <v>0.46375709599999998</v>
      </c>
    </row>
    <row r="81" spans="1:8" x14ac:dyDescent="0.3">
      <c r="A81" s="69">
        <v>456</v>
      </c>
      <c r="B81" s="63">
        <v>0.3140251</v>
      </c>
      <c r="C81" s="63">
        <v>5.0243679999999999E-2</v>
      </c>
      <c r="D81" s="63">
        <v>1.7335594999999999</v>
      </c>
      <c r="F81" s="66">
        <v>6809</v>
      </c>
      <c r="G81" s="67">
        <v>0.19895691300000001</v>
      </c>
      <c r="H81" s="67">
        <v>0.46243806799999998</v>
      </c>
    </row>
    <row r="82" spans="1:8" x14ac:dyDescent="0.3">
      <c r="A82" s="69">
        <v>457</v>
      </c>
      <c r="B82" s="63">
        <v>0.30888399999999999</v>
      </c>
      <c r="C82" s="63">
        <v>5.2573040000000001E-2</v>
      </c>
      <c r="D82" s="63">
        <v>1.7208581000000001</v>
      </c>
      <c r="F82" s="66">
        <v>6948</v>
      </c>
      <c r="G82" s="67">
        <v>0.19834337199999999</v>
      </c>
      <c r="H82" s="67">
        <v>0.46111891999999999</v>
      </c>
    </row>
    <row r="83" spans="1:8" x14ac:dyDescent="0.3">
      <c r="A83" s="69">
        <v>458</v>
      </c>
      <c r="B83" s="63">
        <v>0.30329040000000002</v>
      </c>
      <c r="C83" s="63">
        <v>5.4980559999999998E-2</v>
      </c>
      <c r="D83" s="63">
        <v>1.7059369</v>
      </c>
      <c r="F83" s="66">
        <v>7090</v>
      </c>
      <c r="G83" s="67">
        <v>0.19775089400000001</v>
      </c>
      <c r="H83" s="67">
        <v>0.459801821</v>
      </c>
    </row>
    <row r="84" spans="1:8" x14ac:dyDescent="0.3">
      <c r="A84" s="69">
        <v>459</v>
      </c>
      <c r="B84" s="63">
        <v>0.29725790000000002</v>
      </c>
      <c r="C84" s="63">
        <v>5.7458719999999998E-2</v>
      </c>
      <c r="D84" s="63">
        <v>1.6887372</v>
      </c>
      <c r="F84" s="66">
        <v>7234</v>
      </c>
      <c r="G84" s="67">
        <v>0.19717921199999999</v>
      </c>
      <c r="H84" s="67">
        <v>0.45848914400000002</v>
      </c>
    </row>
    <row r="85" spans="1:8" x14ac:dyDescent="0.3">
      <c r="A85" s="69">
        <v>460</v>
      </c>
      <c r="B85" s="63">
        <v>0.2908</v>
      </c>
      <c r="C85" s="63">
        <v>0.06</v>
      </c>
      <c r="D85" s="63">
        <v>1.6692</v>
      </c>
      <c r="F85" s="66">
        <v>7382</v>
      </c>
      <c r="G85" s="67">
        <v>0.196627896</v>
      </c>
      <c r="H85" s="67">
        <v>0.45718347599999998</v>
      </c>
    </row>
    <row r="86" spans="1:8" x14ac:dyDescent="0.3">
      <c r="A86" s="69">
        <v>461</v>
      </c>
      <c r="B86" s="63">
        <v>0.2839701</v>
      </c>
      <c r="C86" s="63">
        <v>6.2601970000000007E-2</v>
      </c>
      <c r="D86" s="63">
        <v>1.6475287000000001</v>
      </c>
      <c r="F86" s="66">
        <v>7532</v>
      </c>
      <c r="G86" s="67">
        <v>0.19609633500000001</v>
      </c>
      <c r="H86" s="67">
        <v>0.45588763999999998</v>
      </c>
    </row>
    <row r="87" spans="1:8" x14ac:dyDescent="0.3">
      <c r="A87" s="69">
        <v>462</v>
      </c>
      <c r="B87" s="63">
        <v>0.27672140000000001</v>
      </c>
      <c r="C87" s="63">
        <v>6.5277520000000006E-2</v>
      </c>
      <c r="D87" s="63">
        <v>1.6234127</v>
      </c>
      <c r="F87" s="66">
        <v>7686</v>
      </c>
      <c r="G87" s="67">
        <v>0.19558371599999999</v>
      </c>
      <c r="H87" s="67">
        <v>0.45460469999999997</v>
      </c>
    </row>
    <row r="88" spans="1:8" x14ac:dyDescent="0.3">
      <c r="A88" s="69">
        <v>463</v>
      </c>
      <c r="B88" s="63">
        <v>0.26891779999999998</v>
      </c>
      <c r="C88" s="63">
        <v>6.8042080000000005E-2</v>
      </c>
      <c r="D88" s="63">
        <v>1.5960223</v>
      </c>
      <c r="F88" s="66">
        <v>7843</v>
      </c>
      <c r="G88" s="67">
        <v>0.19508900300000001</v>
      </c>
      <c r="H88" s="67">
        <v>0.453337989</v>
      </c>
    </row>
    <row r="89" spans="1:8" x14ac:dyDescent="0.3">
      <c r="A89" s="69">
        <v>464</v>
      </c>
      <c r="B89" s="63">
        <v>0.26042270000000001</v>
      </c>
      <c r="C89" s="63">
        <v>7.0911089999999996E-2</v>
      </c>
      <c r="D89" s="63">
        <v>1.5645279999999999</v>
      </c>
      <c r="F89" s="66">
        <v>8003</v>
      </c>
      <c r="G89" s="67">
        <v>0.194610914</v>
      </c>
      <c r="H89" s="67">
        <v>0.45209112800000001</v>
      </c>
    </row>
    <row r="90" spans="1:8" x14ac:dyDescent="0.3">
      <c r="A90" s="69">
        <v>465</v>
      </c>
      <c r="B90" s="63">
        <v>0.25109999999999999</v>
      </c>
      <c r="C90" s="63">
        <v>7.3899999999999993E-2</v>
      </c>
      <c r="D90" s="63">
        <v>1.5281</v>
      </c>
      <c r="F90" s="66">
        <v>8166</v>
      </c>
      <c r="G90" s="67">
        <v>0.194148232</v>
      </c>
      <c r="H90" s="67">
        <v>0.45086736599999999</v>
      </c>
    </row>
    <row r="91" spans="1:8" x14ac:dyDescent="0.3">
      <c r="A91" s="69">
        <v>466</v>
      </c>
      <c r="B91" s="63">
        <v>0.24084749999999999</v>
      </c>
      <c r="C91" s="63">
        <v>7.7016000000000001E-2</v>
      </c>
      <c r="D91" s="63">
        <v>1.4861114</v>
      </c>
      <c r="F91" s="66">
        <v>8333</v>
      </c>
      <c r="G91" s="67">
        <v>0.19370078800000001</v>
      </c>
      <c r="H91" s="67">
        <v>0.44966757600000001</v>
      </c>
    </row>
    <row r="92" spans="1:8" x14ac:dyDescent="0.3">
      <c r="A92" s="69">
        <v>467</v>
      </c>
      <c r="B92" s="63">
        <v>0.22985120000000001</v>
      </c>
      <c r="C92" s="63">
        <v>8.0266400000000002E-2</v>
      </c>
      <c r="D92" s="63">
        <v>1.4395214999999999</v>
      </c>
      <c r="F92" s="66">
        <v>8503</v>
      </c>
      <c r="G92" s="67">
        <v>0.19326861000000001</v>
      </c>
      <c r="H92" s="67">
        <v>0.44849192999999998</v>
      </c>
    </row>
    <row r="93" spans="1:8" x14ac:dyDescent="0.3">
      <c r="A93" s="69">
        <v>468</v>
      </c>
      <c r="B93" s="63">
        <v>0.2184072</v>
      </c>
      <c r="C93" s="63">
        <v>8.36668E-2</v>
      </c>
      <c r="D93" s="63">
        <v>1.3898798999999999</v>
      </c>
      <c r="F93" s="66">
        <v>8677</v>
      </c>
      <c r="G93" s="67">
        <v>0.19285163299999999</v>
      </c>
      <c r="H93" s="67">
        <v>0.44734044499999998</v>
      </c>
    </row>
    <row r="94" spans="1:8" x14ac:dyDescent="0.3">
      <c r="A94" s="69">
        <v>469</v>
      </c>
      <c r="B94" s="63">
        <v>0.20681150000000001</v>
      </c>
      <c r="C94" s="63">
        <v>8.7232799999999999E-2</v>
      </c>
      <c r="D94" s="63">
        <v>1.3387362</v>
      </c>
      <c r="F94" s="66">
        <v>8854</v>
      </c>
      <c r="G94" s="67">
        <v>0.19244969000000001</v>
      </c>
      <c r="H94" s="67">
        <v>0.44621295900000002</v>
      </c>
    </row>
    <row r="95" spans="1:8" x14ac:dyDescent="0.3">
      <c r="A95" s="69">
        <v>470</v>
      </c>
      <c r="B95" s="63">
        <v>0.19536000000000001</v>
      </c>
      <c r="C95" s="63">
        <v>9.0980000000000005E-2</v>
      </c>
      <c r="D95" s="63">
        <v>1.2876399999999999</v>
      </c>
      <c r="F95" s="66">
        <v>9034</v>
      </c>
      <c r="G95" s="67">
        <v>0.1920625</v>
      </c>
      <c r="H95" s="67">
        <v>0.445109123</v>
      </c>
    </row>
    <row r="96" spans="1:8" x14ac:dyDescent="0.3">
      <c r="A96" s="69">
        <v>471</v>
      </c>
      <c r="B96" s="63">
        <v>0.18421360000000001</v>
      </c>
      <c r="C96" s="63">
        <v>9.4917550000000003E-2</v>
      </c>
      <c r="D96" s="63">
        <v>1.2374223</v>
      </c>
      <c r="F96" s="66">
        <v>9219</v>
      </c>
      <c r="G96" s="67">
        <v>0.19168965099999999</v>
      </c>
      <c r="H96" s="67">
        <v>0.44402836200000001</v>
      </c>
    </row>
    <row r="97" spans="1:8" x14ac:dyDescent="0.3">
      <c r="A97" s="69">
        <v>472</v>
      </c>
      <c r="B97" s="63">
        <v>0.17332729999999999</v>
      </c>
      <c r="C97" s="63">
        <v>9.9045839999999996E-2</v>
      </c>
      <c r="D97" s="63">
        <v>1.1878242999999999</v>
      </c>
      <c r="F97" s="66">
        <v>9407</v>
      </c>
      <c r="G97" s="67">
        <v>0.19133059399999999</v>
      </c>
      <c r="H97" s="67">
        <v>0.44296986599999999</v>
      </c>
    </row>
    <row r="98" spans="1:8" x14ac:dyDescent="0.3">
      <c r="A98" s="69">
        <v>473</v>
      </c>
      <c r="B98" s="63">
        <v>0.1626881</v>
      </c>
      <c r="C98" s="63">
        <v>0.1033674</v>
      </c>
      <c r="D98" s="63">
        <v>1.1387611</v>
      </c>
      <c r="F98" s="66">
        <v>9599</v>
      </c>
      <c r="G98" s="67">
        <v>0.19098462199999999</v>
      </c>
      <c r="H98" s="67">
        <v>0.44193255799999998</v>
      </c>
    </row>
    <row r="99" spans="1:8" x14ac:dyDescent="0.3">
      <c r="A99" s="69">
        <v>474</v>
      </c>
      <c r="B99" s="63">
        <v>0.15228330000000001</v>
      </c>
      <c r="C99" s="63">
        <v>0.1078846</v>
      </c>
      <c r="D99" s="63">
        <v>1.0901479999999999</v>
      </c>
      <c r="F99" s="66">
        <v>9795</v>
      </c>
      <c r="G99" s="67">
        <v>0.19065085400000001</v>
      </c>
      <c r="H99" s="67">
        <v>0.44091506000000003</v>
      </c>
    </row>
    <row r="100" spans="1:8" x14ac:dyDescent="0.3">
      <c r="A100" s="69">
        <v>475</v>
      </c>
      <c r="B100" s="63">
        <v>0.1421</v>
      </c>
      <c r="C100" s="63">
        <v>0.11260000000000001</v>
      </c>
      <c r="D100" s="63">
        <v>1.0419</v>
      </c>
      <c r="F100" s="66">
        <v>9995</v>
      </c>
      <c r="G100" s="67">
        <v>0.19032822399999999</v>
      </c>
      <c r="H100" s="67">
        <v>0.43991567599999998</v>
      </c>
    </row>
    <row r="101" spans="1:8" x14ac:dyDescent="0.3">
      <c r="A101" s="69">
        <v>476</v>
      </c>
      <c r="B101" s="63">
        <v>0.13217860000000001</v>
      </c>
      <c r="C101" s="63">
        <v>0.117532</v>
      </c>
      <c r="D101" s="63">
        <v>0.99419760000000001</v>
      </c>
      <c r="F101" s="66">
        <v>10199</v>
      </c>
      <c r="G101" s="67">
        <v>0.19001568899999999</v>
      </c>
      <c r="H101" s="67">
        <v>0.43893280200000001</v>
      </c>
    </row>
    <row r="102" spans="1:8" x14ac:dyDescent="0.3">
      <c r="A102" s="69">
        <v>477</v>
      </c>
      <c r="B102" s="63">
        <v>0.1225696</v>
      </c>
      <c r="C102" s="63">
        <v>0.1226744</v>
      </c>
      <c r="D102" s="63">
        <v>0.9473473</v>
      </c>
      <c r="F102" s="66">
        <v>10407</v>
      </c>
      <c r="G102" s="67">
        <v>0.18971305799999999</v>
      </c>
      <c r="H102" s="67">
        <v>0.43796653400000002</v>
      </c>
    </row>
    <row r="103" spans="1:8" x14ac:dyDescent="0.3">
      <c r="A103" s="69">
        <v>478</v>
      </c>
      <c r="B103" s="63">
        <v>0.11327520000000001</v>
      </c>
      <c r="C103" s="63">
        <v>0.12799279999999999</v>
      </c>
      <c r="D103" s="63">
        <v>0.90145310000000001</v>
      </c>
      <c r="F103" s="66">
        <v>10619</v>
      </c>
      <c r="G103" s="67">
        <v>0.18942034399999999</v>
      </c>
      <c r="H103" s="67">
        <v>0.43701741500000002</v>
      </c>
    </row>
    <row r="104" spans="1:8" x14ac:dyDescent="0.3">
      <c r="A104" s="69">
        <v>479</v>
      </c>
      <c r="B104" s="63">
        <v>0.1042979</v>
      </c>
      <c r="C104" s="63">
        <v>0.13345280000000001</v>
      </c>
      <c r="D104" s="63">
        <v>0.85661929999999997</v>
      </c>
      <c r="F104" s="66">
        <v>10836</v>
      </c>
      <c r="G104" s="67">
        <v>0.18913749699999999</v>
      </c>
      <c r="H104" s="67">
        <v>0.43608592699999998</v>
      </c>
    </row>
    <row r="105" spans="1:8" x14ac:dyDescent="0.3">
      <c r="A105" s="69">
        <v>480</v>
      </c>
      <c r="B105" s="63">
        <v>9.5640000000000003E-2</v>
      </c>
      <c r="C105" s="63">
        <v>0.13902</v>
      </c>
      <c r="D105" s="63">
        <v>0.81295010000000001</v>
      </c>
      <c r="F105" s="66">
        <v>11057</v>
      </c>
      <c r="G105" s="67">
        <v>0.18886439999999999</v>
      </c>
      <c r="H105" s="67">
        <v>0.435172479</v>
      </c>
    </row>
    <row r="106" spans="1:8" x14ac:dyDescent="0.3">
      <c r="A106" s="69">
        <v>481</v>
      </c>
      <c r="B106" s="63">
        <v>8.7299550000000004E-2</v>
      </c>
      <c r="C106" s="63">
        <v>0.14467640000000001</v>
      </c>
      <c r="D106" s="63">
        <v>0.77051729999999996</v>
      </c>
      <c r="F106" s="66">
        <v>11283</v>
      </c>
      <c r="G106" s="67">
        <v>0.18860086400000001</v>
      </c>
      <c r="H106" s="67">
        <v>0.43427738999999999</v>
      </c>
    </row>
    <row r="107" spans="1:8" x14ac:dyDescent="0.3">
      <c r="A107" s="69">
        <v>482</v>
      </c>
      <c r="B107" s="63">
        <v>7.9308039999999996E-2</v>
      </c>
      <c r="C107" s="63">
        <v>0.1504693</v>
      </c>
      <c r="D107" s="63">
        <v>0.7294448</v>
      </c>
      <c r="F107" s="66">
        <v>11513</v>
      </c>
      <c r="G107" s="67">
        <v>0.188346652</v>
      </c>
      <c r="H107" s="67">
        <v>0.43340079300000001</v>
      </c>
    </row>
    <row r="108" spans="1:8" x14ac:dyDescent="0.3">
      <c r="A108" s="69">
        <v>483</v>
      </c>
      <c r="B108" s="63">
        <v>7.1717760000000005E-2</v>
      </c>
      <c r="C108" s="63">
        <v>0.15646189999999999</v>
      </c>
      <c r="D108" s="63">
        <v>0.68991360000000002</v>
      </c>
      <c r="F108" s="66">
        <v>11748</v>
      </c>
      <c r="G108" s="67">
        <v>0.188101459</v>
      </c>
      <c r="H108" s="67">
        <v>0.43254266000000002</v>
      </c>
    </row>
    <row r="109" spans="1:8" x14ac:dyDescent="0.3">
      <c r="A109" s="69">
        <v>484</v>
      </c>
      <c r="B109" s="63">
        <v>6.4580990000000005E-2</v>
      </c>
      <c r="C109" s="63">
        <v>0.16271769999999999</v>
      </c>
      <c r="D109" s="63">
        <v>0.65210489999999999</v>
      </c>
      <c r="F109" s="66">
        <v>11988</v>
      </c>
      <c r="G109" s="67">
        <v>0.18786488500000001</v>
      </c>
      <c r="H109" s="67">
        <v>0.43170282199999999</v>
      </c>
    </row>
    <row r="110" spans="1:8" x14ac:dyDescent="0.3">
      <c r="A110" s="69">
        <v>485</v>
      </c>
      <c r="B110" s="63">
        <v>5.7950010000000003E-2</v>
      </c>
      <c r="C110" s="63">
        <v>0.16930000000000001</v>
      </c>
      <c r="D110" s="63">
        <v>0.61619999999999997</v>
      </c>
      <c r="F110" s="66">
        <v>12232</v>
      </c>
      <c r="G110" s="67">
        <v>0.187636424</v>
      </c>
      <c r="H110" s="67">
        <v>0.43088095799999998</v>
      </c>
    </row>
    <row r="111" spans="1:8" x14ac:dyDescent="0.3">
      <c r="A111" s="69">
        <v>486</v>
      </c>
      <c r="B111" s="63">
        <v>5.1862110000000003E-2</v>
      </c>
      <c r="C111" s="63">
        <v>0.17624310000000001</v>
      </c>
      <c r="D111" s="63">
        <v>0.58232859999999997</v>
      </c>
      <c r="F111" s="66">
        <v>12482</v>
      </c>
      <c r="G111" s="67">
        <v>0.18741545400000001</v>
      </c>
      <c r="H111" s="67">
        <v>0.43007657900000001</v>
      </c>
    </row>
    <row r="112" spans="1:8" x14ac:dyDescent="0.3">
      <c r="A112" s="69">
        <v>487</v>
      </c>
      <c r="B112" s="63">
        <v>4.628152E-2</v>
      </c>
      <c r="C112" s="63">
        <v>0.1835581</v>
      </c>
      <c r="D112" s="63">
        <v>0.55041620000000002</v>
      </c>
      <c r="F112" s="66">
        <v>12737</v>
      </c>
      <c r="G112" s="67">
        <v>0.18720134399999999</v>
      </c>
      <c r="H112" s="67">
        <v>0.42928912400000002</v>
      </c>
    </row>
    <row r="113" spans="1:8" x14ac:dyDescent="0.3">
      <c r="A113" s="69">
        <v>488</v>
      </c>
      <c r="B113" s="63">
        <v>4.1150880000000001E-2</v>
      </c>
      <c r="C113" s="63">
        <v>0.19127350000000001</v>
      </c>
      <c r="D113" s="63">
        <v>0.52033759999999996</v>
      </c>
      <c r="F113" s="66">
        <v>12997</v>
      </c>
      <c r="G113" s="67">
        <v>0.186993935</v>
      </c>
      <c r="H113" s="67">
        <v>0.428518487</v>
      </c>
    </row>
    <row r="114" spans="1:8" x14ac:dyDescent="0.3">
      <c r="A114" s="69">
        <v>489</v>
      </c>
      <c r="B114" s="63">
        <v>3.641283E-2</v>
      </c>
      <c r="C114" s="63">
        <v>0.19941800000000001</v>
      </c>
      <c r="D114" s="63">
        <v>0.4919673</v>
      </c>
      <c r="F114" s="66">
        <v>13262</v>
      </c>
      <c r="G114" s="67">
        <v>0.18679319899999999</v>
      </c>
      <c r="H114" s="67">
        <v>0.42776462100000001</v>
      </c>
    </row>
    <row r="115" spans="1:8" x14ac:dyDescent="0.3">
      <c r="A115" s="69">
        <v>490</v>
      </c>
      <c r="B115" s="63">
        <v>3.2009999999999997E-2</v>
      </c>
      <c r="C115" s="63">
        <v>0.20802000000000001</v>
      </c>
      <c r="D115" s="63">
        <v>0.46517999999999998</v>
      </c>
      <c r="F115" s="66">
        <v>13533</v>
      </c>
      <c r="G115" s="67">
        <v>0.18659905900000001</v>
      </c>
      <c r="H115" s="67">
        <v>0.42702736099999999</v>
      </c>
    </row>
    <row r="116" spans="1:8" x14ac:dyDescent="0.3">
      <c r="A116" s="69">
        <v>491</v>
      </c>
      <c r="B116" s="63">
        <v>2.79172E-2</v>
      </c>
      <c r="C116" s="63">
        <v>0.2171199</v>
      </c>
      <c r="D116" s="63">
        <v>0.4399246</v>
      </c>
      <c r="F116" s="66">
        <v>13809</v>
      </c>
      <c r="G116" s="67">
        <v>0.18641138800000001</v>
      </c>
      <c r="H116" s="67">
        <v>0.426306395</v>
      </c>
    </row>
    <row r="117" spans="1:8" x14ac:dyDescent="0.3">
      <c r="A117" s="69">
        <v>492</v>
      </c>
      <c r="B117" s="63">
        <v>2.41444E-2</v>
      </c>
      <c r="C117" s="63">
        <v>0.22673450000000001</v>
      </c>
      <c r="D117" s="63">
        <v>0.41618359999999999</v>
      </c>
      <c r="F117" s="66">
        <v>14091</v>
      </c>
      <c r="G117" s="67">
        <v>0.18623000300000001</v>
      </c>
      <c r="H117" s="67">
        <v>0.42560126300000001</v>
      </c>
    </row>
    <row r="118" spans="1:8" x14ac:dyDescent="0.3">
      <c r="A118" s="69">
        <v>493</v>
      </c>
      <c r="B118" s="63">
        <v>2.0687000000000001E-2</v>
      </c>
      <c r="C118" s="63">
        <v>0.23685709999999999</v>
      </c>
      <c r="D118" s="63">
        <v>0.39388220000000002</v>
      </c>
      <c r="F118" s="66">
        <v>14378</v>
      </c>
      <c r="G118" s="67">
        <v>0.18605465500000001</v>
      </c>
      <c r="H118" s="67">
        <v>0.42491132999999998</v>
      </c>
    </row>
    <row r="119" spans="1:8" x14ac:dyDescent="0.3">
      <c r="A119" s="69">
        <v>494</v>
      </c>
      <c r="B119" s="63">
        <v>1.7540400000000001E-2</v>
      </c>
      <c r="C119" s="63">
        <v>0.24748120000000001</v>
      </c>
      <c r="D119" s="63">
        <v>0.3729459</v>
      </c>
      <c r="F119" s="66">
        <v>14672</v>
      </c>
      <c r="G119" s="67">
        <v>0.18588513600000001</v>
      </c>
      <c r="H119" s="67">
        <v>0.42423617400000002</v>
      </c>
    </row>
    <row r="120" spans="1:8" x14ac:dyDescent="0.3">
      <c r="A120" s="69">
        <v>495</v>
      </c>
      <c r="B120" s="63">
        <v>1.47E-2</v>
      </c>
      <c r="C120" s="63">
        <v>0.2586</v>
      </c>
      <c r="D120" s="63">
        <v>0.3533</v>
      </c>
      <c r="F120" s="66">
        <v>14971</v>
      </c>
      <c r="G120" s="67">
        <v>0.18572135100000001</v>
      </c>
      <c r="H120" s="67">
        <v>0.42357587299999999</v>
      </c>
    </row>
    <row r="121" spans="1:8" x14ac:dyDescent="0.3">
      <c r="A121" s="69">
        <v>496</v>
      </c>
      <c r="B121" s="63">
        <v>1.216179E-2</v>
      </c>
      <c r="C121" s="63">
        <v>0.27018490000000001</v>
      </c>
      <c r="D121" s="63">
        <v>0.33485779999999998</v>
      </c>
      <c r="F121" s="66">
        <v>15277</v>
      </c>
      <c r="G121" s="67">
        <v>0.185563174</v>
      </c>
      <c r="H121" s="67">
        <v>0.42293046899999998</v>
      </c>
    </row>
    <row r="122" spans="1:8" x14ac:dyDescent="0.3">
      <c r="A122" s="69">
        <v>497</v>
      </c>
      <c r="B122" s="63">
        <v>9.9199600000000002E-3</v>
      </c>
      <c r="C122" s="63">
        <v>0.28229389999999999</v>
      </c>
      <c r="D122" s="63">
        <v>0.3175521</v>
      </c>
      <c r="F122" s="66">
        <v>15588</v>
      </c>
      <c r="G122" s="67">
        <v>0.18541042699999999</v>
      </c>
      <c r="H122" s="67">
        <v>0.42229990499999998</v>
      </c>
    </row>
    <row r="123" spans="1:8" x14ac:dyDescent="0.3">
      <c r="A123" s="69">
        <v>498</v>
      </c>
      <c r="B123" s="63">
        <v>7.9672400000000004E-3</v>
      </c>
      <c r="C123" s="63">
        <v>0.29505049999999999</v>
      </c>
      <c r="D123" s="63">
        <v>0.30133749999999998</v>
      </c>
      <c r="F123" s="66">
        <v>15906</v>
      </c>
      <c r="G123" s="67">
        <v>0.18526287399999999</v>
      </c>
      <c r="H123" s="67">
        <v>0.42168401300000002</v>
      </c>
    </row>
    <row r="124" spans="1:8" x14ac:dyDescent="0.3">
      <c r="A124" s="69">
        <v>499</v>
      </c>
      <c r="B124" s="63">
        <v>6.2963460000000004E-3</v>
      </c>
      <c r="C124" s="63">
        <v>0.30857800000000002</v>
      </c>
      <c r="D124" s="63">
        <v>0.2861686</v>
      </c>
      <c r="F124" s="66">
        <v>16231</v>
      </c>
      <c r="G124" s="67">
        <v>0.185120218</v>
      </c>
      <c r="H124" s="67">
        <v>0.421082499</v>
      </c>
    </row>
    <row r="125" spans="1:8" x14ac:dyDescent="0.3">
      <c r="A125" s="69">
        <v>500</v>
      </c>
      <c r="B125" s="63">
        <v>4.8999999999999998E-3</v>
      </c>
      <c r="C125" s="63">
        <v>0.32300000000000001</v>
      </c>
      <c r="D125" s="63">
        <v>0.27200000000000002</v>
      </c>
      <c r="F125" s="66">
        <v>16562</v>
      </c>
      <c r="G125" s="67">
        <v>0.18498209099999999</v>
      </c>
      <c r="H125" s="67">
        <v>0.42049493300000002</v>
      </c>
    </row>
    <row r="126" spans="1:8" x14ac:dyDescent="0.3">
      <c r="A126" s="69">
        <v>501</v>
      </c>
      <c r="B126" s="63">
        <v>3.777173E-3</v>
      </c>
      <c r="C126" s="63">
        <v>0.33840209999999998</v>
      </c>
      <c r="D126" s="63">
        <v>0.25881710000000002</v>
      </c>
      <c r="F126" s="66">
        <v>16900</v>
      </c>
      <c r="G126" s="67">
        <v>0.18484808</v>
      </c>
      <c r="H126" s="67">
        <v>0.41992077500000002</v>
      </c>
    </row>
    <row r="127" spans="1:8" x14ac:dyDescent="0.3">
      <c r="A127" s="69">
        <v>502</v>
      </c>
      <c r="B127" s="63">
        <v>2.94532E-3</v>
      </c>
      <c r="C127" s="63">
        <v>0.3546858</v>
      </c>
      <c r="D127" s="63">
        <v>0.2464838</v>
      </c>
      <c r="F127" s="66">
        <v>17245</v>
      </c>
      <c r="G127" s="67">
        <v>0.18471801900000001</v>
      </c>
      <c r="H127" s="67">
        <v>0.41935983300000002</v>
      </c>
    </row>
    <row r="128" spans="1:8" x14ac:dyDescent="0.3">
      <c r="A128" s="69">
        <v>503</v>
      </c>
      <c r="B128" s="63">
        <v>2.4248799999999999E-3</v>
      </c>
      <c r="C128" s="63">
        <v>0.37169859999999999</v>
      </c>
      <c r="D128" s="63">
        <v>0.2347718</v>
      </c>
      <c r="F128" s="66">
        <v>17597</v>
      </c>
      <c r="G128" s="67">
        <v>0.184591904</v>
      </c>
      <c r="H128" s="67">
        <v>0.41881211899999998</v>
      </c>
    </row>
    <row r="129" spans="1:8" x14ac:dyDescent="0.3">
      <c r="A129" s="69">
        <v>504</v>
      </c>
      <c r="B129" s="63">
        <v>2.2362929999999999E-3</v>
      </c>
      <c r="C129" s="63">
        <v>0.38928750000000001</v>
      </c>
      <c r="D129" s="63">
        <v>0.22345329999999999</v>
      </c>
      <c r="F129" s="66">
        <v>17956</v>
      </c>
      <c r="G129" s="67">
        <v>0.18446970600000001</v>
      </c>
      <c r="H129" s="67">
        <v>0.41827755799999999</v>
      </c>
    </row>
    <row r="130" spans="1:8" x14ac:dyDescent="0.3">
      <c r="A130" s="69">
        <v>505</v>
      </c>
      <c r="B130" s="63">
        <v>2.3999999999999998E-3</v>
      </c>
      <c r="C130" s="63">
        <v>0.4073</v>
      </c>
      <c r="D130" s="63">
        <v>0.21229999999999999</v>
      </c>
      <c r="F130" s="66">
        <v>18323</v>
      </c>
      <c r="G130" s="67">
        <v>0.18435136799999999</v>
      </c>
      <c r="H130" s="67">
        <v>0.417755973</v>
      </c>
    </row>
    <row r="131" spans="1:8" x14ac:dyDescent="0.3">
      <c r="A131" s="69">
        <v>506</v>
      </c>
      <c r="B131" s="63">
        <v>2.92552E-3</v>
      </c>
      <c r="C131" s="63">
        <v>0.42562990000000001</v>
      </c>
      <c r="D131" s="63">
        <v>0.20116919999999999</v>
      </c>
      <c r="F131" s="66">
        <v>18697</v>
      </c>
      <c r="G131" s="67">
        <v>0.18423680000000001</v>
      </c>
      <c r="H131" s="67">
        <v>0.41724707700000002</v>
      </c>
    </row>
    <row r="132" spans="1:8" x14ac:dyDescent="0.3">
      <c r="A132" s="69">
        <v>507</v>
      </c>
      <c r="B132" s="63">
        <v>3.8365600000000001E-3</v>
      </c>
      <c r="C132" s="63">
        <v>0.44430960000000003</v>
      </c>
      <c r="D132" s="63">
        <v>0.1901196</v>
      </c>
      <c r="F132" s="66">
        <v>19078</v>
      </c>
      <c r="G132" s="67">
        <v>0.18412587699999999</v>
      </c>
      <c r="H132" s="67">
        <v>0.41675045599999999</v>
      </c>
    </row>
    <row r="133" spans="1:8" x14ac:dyDescent="0.3">
      <c r="A133" s="69">
        <v>508</v>
      </c>
      <c r="B133" s="63">
        <v>5.17484E-3</v>
      </c>
      <c r="C133" s="63">
        <v>0.46339439999999998</v>
      </c>
      <c r="D133" s="63">
        <v>0.17922540000000001</v>
      </c>
      <c r="F133" s="66">
        <v>19468</v>
      </c>
      <c r="G133" s="67">
        <v>0.18401843400000001</v>
      </c>
      <c r="H133" s="67">
        <v>0.41626555799999998</v>
      </c>
    </row>
    <row r="134" spans="1:8" x14ac:dyDescent="0.3">
      <c r="A134" s="69">
        <v>509</v>
      </c>
      <c r="B134" s="63">
        <v>6.9820799999999999E-3</v>
      </c>
      <c r="C134" s="63">
        <v>0.48293950000000002</v>
      </c>
      <c r="D134" s="63">
        <v>0.16856080000000001</v>
      </c>
      <c r="F134" s="66">
        <v>19865</v>
      </c>
      <c r="G134" s="67">
        <v>0.18391426299999999</v>
      </c>
      <c r="H134" s="67">
        <v>0.41579168</v>
      </c>
    </row>
    <row r="135" spans="1:8" x14ac:dyDescent="0.3">
      <c r="A135" s="69">
        <v>510</v>
      </c>
      <c r="B135" s="63">
        <v>9.2999999999999992E-3</v>
      </c>
      <c r="C135" s="63">
        <v>0.503</v>
      </c>
      <c r="D135" s="63">
        <v>0.15820000000000001</v>
      </c>
      <c r="F135" s="66">
        <v>20270</v>
      </c>
      <c r="G135" s="67">
        <v>0.18381312399999999</v>
      </c>
      <c r="H135" s="67">
        <v>0.41532801000000003</v>
      </c>
    </row>
    <row r="136" spans="1:8" x14ac:dyDescent="0.3">
      <c r="A136" s="69">
        <v>511</v>
      </c>
      <c r="B136" s="63">
        <v>1.2149490000000001E-2</v>
      </c>
      <c r="C136" s="63">
        <v>0.52356930000000002</v>
      </c>
      <c r="D136" s="63">
        <v>0.1481383</v>
      </c>
      <c r="F136" s="66">
        <v>20684</v>
      </c>
      <c r="G136" s="67">
        <v>0.183714924</v>
      </c>
      <c r="H136" s="67">
        <v>0.41487429599999998</v>
      </c>
    </row>
    <row r="137" spans="1:8" x14ac:dyDescent="0.3">
      <c r="A137" s="69">
        <v>512</v>
      </c>
      <c r="B137" s="63">
        <v>1.553588E-2</v>
      </c>
      <c r="C137" s="63">
        <v>0.544512</v>
      </c>
      <c r="D137" s="63">
        <v>0.13837579999999999</v>
      </c>
      <c r="F137" s="66">
        <v>21106</v>
      </c>
      <c r="G137" s="67">
        <v>0.18361966800000001</v>
      </c>
      <c r="H137" s="67">
        <v>0.41443068</v>
      </c>
    </row>
    <row r="138" spans="1:8" x14ac:dyDescent="0.3">
      <c r="A138" s="69">
        <v>513</v>
      </c>
      <c r="B138" s="63">
        <v>1.9477520000000002E-2</v>
      </c>
      <c r="C138" s="63">
        <v>0.56569000000000003</v>
      </c>
      <c r="D138" s="63">
        <v>0.1289942</v>
      </c>
      <c r="F138" s="66">
        <v>21537</v>
      </c>
      <c r="G138" s="67">
        <v>0.18352734900000001</v>
      </c>
      <c r="H138" s="67">
        <v>0.41399725199999998</v>
      </c>
    </row>
    <row r="139" spans="1:8" x14ac:dyDescent="0.3">
      <c r="A139" s="69">
        <v>514</v>
      </c>
      <c r="B139" s="63">
        <v>2.399277E-2</v>
      </c>
      <c r="C139" s="63">
        <v>0.58696530000000002</v>
      </c>
      <c r="D139" s="63">
        <v>0.1200751</v>
      </c>
      <c r="F139" s="66">
        <v>21976</v>
      </c>
      <c r="G139" s="67">
        <v>0.183437935</v>
      </c>
      <c r="H139" s="67">
        <v>0.41357405000000003</v>
      </c>
    </row>
    <row r="140" spans="1:8" x14ac:dyDescent="0.3">
      <c r="A140" s="69">
        <v>515</v>
      </c>
      <c r="B140" s="63">
        <v>2.9100000000000001E-2</v>
      </c>
      <c r="C140" s="63">
        <v>0.60819999999999996</v>
      </c>
      <c r="D140" s="63">
        <v>0.11169999999999999</v>
      </c>
      <c r="F140" s="66">
        <v>22425</v>
      </c>
      <c r="G140" s="67">
        <v>0.18335137600000001</v>
      </c>
      <c r="H140" s="67">
        <v>0.41316103999999998</v>
      </c>
    </row>
    <row r="141" spans="1:8" x14ac:dyDescent="0.3">
      <c r="A141" s="69">
        <v>516</v>
      </c>
      <c r="B141" s="63">
        <v>3.4814850000000001E-2</v>
      </c>
      <c r="C141" s="63">
        <v>0.62934559999999995</v>
      </c>
      <c r="D141" s="63">
        <v>0.10390480000000001</v>
      </c>
      <c r="F141" s="66">
        <v>22883</v>
      </c>
      <c r="G141" s="67">
        <v>0.18326759400000001</v>
      </c>
      <c r="H141" s="67">
        <v>0.41275811400000001</v>
      </c>
    </row>
    <row r="142" spans="1:8" x14ac:dyDescent="0.3">
      <c r="A142" s="69">
        <v>517</v>
      </c>
      <c r="B142" s="63">
        <v>4.1120160000000003E-2</v>
      </c>
      <c r="C142" s="63">
        <v>0.65030679999999996</v>
      </c>
      <c r="D142" s="63">
        <v>9.666748E-2</v>
      </c>
      <c r="F142" s="66">
        <v>23349</v>
      </c>
      <c r="G142" s="67">
        <v>0.18318648500000001</v>
      </c>
      <c r="H142" s="67">
        <v>0.41236508100000002</v>
      </c>
    </row>
    <row r="143" spans="1:8" x14ac:dyDescent="0.3">
      <c r="A143" s="69">
        <v>518</v>
      </c>
      <c r="B143" s="63">
        <v>4.798504E-2</v>
      </c>
      <c r="C143" s="63">
        <v>0.6708752</v>
      </c>
      <c r="D143" s="63">
        <v>8.9982720000000002E-2</v>
      </c>
      <c r="F143" s="66">
        <v>23826</v>
      </c>
      <c r="G143" s="67">
        <v>0.18310791400000001</v>
      </c>
      <c r="H143" s="67">
        <v>0.41198166000000003</v>
      </c>
    </row>
    <row r="144" spans="1:8" x14ac:dyDescent="0.3">
      <c r="A144" s="69">
        <v>519</v>
      </c>
      <c r="B144" s="63">
        <v>5.5378610000000002E-2</v>
      </c>
      <c r="C144" s="63">
        <v>0.69084239999999997</v>
      </c>
      <c r="D144" s="63">
        <v>8.3845310000000006E-2</v>
      </c>
      <c r="F144" s="66">
        <v>24312</v>
      </c>
      <c r="G144" s="67">
        <v>0.18303171200000001</v>
      </c>
      <c r="H144" s="67">
        <v>0.41160746399999998</v>
      </c>
    </row>
    <row r="145" spans="1:8" x14ac:dyDescent="0.3">
      <c r="A145" s="69">
        <v>520</v>
      </c>
      <c r="B145" s="63">
        <v>6.3270000000000007E-2</v>
      </c>
      <c r="C145" s="63">
        <v>0.71</v>
      </c>
      <c r="D145" s="63">
        <v>7.8249990000000005E-2</v>
      </c>
      <c r="F145" s="66">
        <v>24808</v>
      </c>
      <c r="G145" s="67">
        <v>0.18295767299999999</v>
      </c>
      <c r="H145" s="67">
        <v>0.41124199099999997</v>
      </c>
    </row>
    <row r="146" spans="1:8" x14ac:dyDescent="0.3">
      <c r="A146" s="69">
        <v>521</v>
      </c>
      <c r="B146" s="63">
        <v>7.1635009999999999E-2</v>
      </c>
      <c r="C146" s="63">
        <v>0.72818519999999998</v>
      </c>
      <c r="D146" s="63">
        <v>7.3208990000000002E-2</v>
      </c>
      <c r="F146" s="66">
        <v>25315</v>
      </c>
      <c r="G146" s="67">
        <v>0.182885563</v>
      </c>
      <c r="H146" s="67">
        <v>0.41088465499999999</v>
      </c>
    </row>
    <row r="147" spans="1:8" x14ac:dyDescent="0.3">
      <c r="A147" s="69">
        <v>522</v>
      </c>
      <c r="B147" s="63">
        <v>8.0462240000000004E-2</v>
      </c>
      <c r="C147" s="63">
        <v>0.7454636</v>
      </c>
      <c r="D147" s="63">
        <v>6.8678160000000002E-2</v>
      </c>
      <c r="F147" s="66">
        <v>25831</v>
      </c>
      <c r="G147" s="67">
        <v>0.18281528799999999</v>
      </c>
      <c r="H147" s="67">
        <v>0.41053524600000002</v>
      </c>
    </row>
    <row r="148" spans="1:8" x14ac:dyDescent="0.3">
      <c r="A148" s="69">
        <v>523</v>
      </c>
      <c r="B148" s="63">
        <v>8.9739959999999994E-2</v>
      </c>
      <c r="C148" s="63">
        <v>0.76196940000000002</v>
      </c>
      <c r="D148" s="63">
        <v>6.4567840000000001E-2</v>
      </c>
      <c r="F148" s="66">
        <v>26359</v>
      </c>
      <c r="G148" s="67">
        <v>0.18274686800000001</v>
      </c>
      <c r="H148" s="67">
        <v>0.41019387000000002</v>
      </c>
    </row>
    <row r="149" spans="1:8" x14ac:dyDescent="0.3">
      <c r="A149" s="69">
        <v>524</v>
      </c>
      <c r="B149" s="63">
        <v>9.9456450000000002E-2</v>
      </c>
      <c r="C149" s="63">
        <v>0.77783679999999999</v>
      </c>
      <c r="D149" s="63">
        <v>6.0788349999999998E-2</v>
      </c>
      <c r="F149" s="66">
        <v>26896</v>
      </c>
      <c r="G149" s="67">
        <v>0.18268031500000001</v>
      </c>
      <c r="H149" s="67">
        <v>0.40986059400000002</v>
      </c>
    </row>
    <row r="150" spans="1:8" x14ac:dyDescent="0.3">
      <c r="A150" s="69">
        <v>525</v>
      </c>
      <c r="B150" s="63">
        <v>0.1096</v>
      </c>
      <c r="C150" s="63">
        <v>0.79320000000000002</v>
      </c>
      <c r="D150" s="63">
        <v>5.7250009999999997E-2</v>
      </c>
      <c r="F150" s="66">
        <v>27445</v>
      </c>
      <c r="G150" s="67">
        <v>0.182615632</v>
      </c>
      <c r="H150" s="67">
        <v>0.40953543599999997</v>
      </c>
    </row>
    <row r="151" spans="1:8" x14ac:dyDescent="0.3">
      <c r="A151" s="69">
        <v>526</v>
      </c>
      <c r="B151" s="63">
        <v>0.12016739999999999</v>
      </c>
      <c r="C151" s="63">
        <v>0.80811040000000001</v>
      </c>
      <c r="D151" s="63">
        <v>5.3904349999999997E-2</v>
      </c>
      <c r="F151" s="66">
        <v>28005</v>
      </c>
      <c r="G151" s="67">
        <v>0.18255280800000001</v>
      </c>
      <c r="H151" s="67">
        <v>0.40921836299999997</v>
      </c>
    </row>
    <row r="152" spans="1:8" x14ac:dyDescent="0.3">
      <c r="A152" s="69">
        <v>527</v>
      </c>
      <c r="B152" s="63">
        <v>0.13111449999999999</v>
      </c>
      <c r="C152" s="63">
        <v>0.82249620000000001</v>
      </c>
      <c r="D152" s="63">
        <v>5.0746640000000003E-2</v>
      </c>
      <c r="F152" s="66">
        <v>28577</v>
      </c>
      <c r="G152" s="67">
        <v>0.182491821</v>
      </c>
      <c r="H152" s="67">
        <v>0.40890928199999999</v>
      </c>
    </row>
    <row r="153" spans="1:8" x14ac:dyDescent="0.3">
      <c r="A153" s="69">
        <v>528</v>
      </c>
      <c r="B153" s="63">
        <v>0.14236789999999999</v>
      </c>
      <c r="C153" s="63">
        <v>0.83630680000000002</v>
      </c>
      <c r="D153" s="63">
        <v>4.7752759999999998E-2</v>
      </c>
      <c r="F153" s="66">
        <v>29160</v>
      </c>
      <c r="G153" s="67">
        <v>0.18243263000000001</v>
      </c>
      <c r="H153" s="67">
        <v>0.40860803400000001</v>
      </c>
    </row>
    <row r="154" spans="1:8" x14ac:dyDescent="0.3">
      <c r="A154" s="69">
        <v>529</v>
      </c>
      <c r="B154" s="63">
        <v>0.1538542</v>
      </c>
      <c r="C154" s="63">
        <v>0.84949160000000001</v>
      </c>
      <c r="D154" s="63">
        <v>4.4898590000000002E-2</v>
      </c>
      <c r="F154" s="66">
        <v>29755</v>
      </c>
      <c r="G154" s="67">
        <v>0.182375181</v>
      </c>
      <c r="H154" s="67">
        <v>0.40831438399999997</v>
      </c>
    </row>
    <row r="155" spans="1:8" x14ac:dyDescent="0.3">
      <c r="A155" s="69">
        <v>530</v>
      </c>
      <c r="B155" s="63">
        <v>0.16550000000000001</v>
      </c>
      <c r="C155" s="63">
        <v>0.86199999999999999</v>
      </c>
      <c r="D155" s="63">
        <v>4.2160000000000003E-2</v>
      </c>
      <c r="F155" s="66">
        <v>30363</v>
      </c>
      <c r="G155" s="67">
        <v>0.18231939999999999</v>
      </c>
      <c r="H155" s="67">
        <v>0.40802801599999999</v>
      </c>
    </row>
    <row r="156" spans="1:8" x14ac:dyDescent="0.3">
      <c r="A156" s="69">
        <v>531</v>
      </c>
      <c r="B156" s="63">
        <v>0.1772571</v>
      </c>
      <c r="C156" s="63">
        <v>0.8738108</v>
      </c>
      <c r="D156" s="63">
        <v>3.9507279999999999E-2</v>
      </c>
      <c r="F156" s="66">
        <v>30982</v>
      </c>
      <c r="G156" s="67">
        <v>0.18226519299999999</v>
      </c>
      <c r="H156" s="67">
        <v>0.407748522</v>
      </c>
    </row>
    <row r="157" spans="1:8" x14ac:dyDescent="0.3">
      <c r="A157" s="69">
        <v>532</v>
      </c>
      <c r="B157" s="63">
        <v>0.18914</v>
      </c>
      <c r="C157" s="63">
        <v>0.88496240000000004</v>
      </c>
      <c r="D157" s="63">
        <v>3.6935639999999999E-2</v>
      </c>
      <c r="F157" s="66">
        <v>31614</v>
      </c>
      <c r="G157" s="67">
        <v>0.182212442</v>
      </c>
      <c r="H157" s="67">
        <v>0.40747539799999999</v>
      </c>
    </row>
    <row r="158" spans="1:8" x14ac:dyDescent="0.3">
      <c r="A158" s="69">
        <v>533</v>
      </c>
      <c r="B158" s="63">
        <v>0.2011694</v>
      </c>
      <c r="C158" s="63">
        <v>0.8954936</v>
      </c>
      <c r="D158" s="63">
        <v>3.445836E-2</v>
      </c>
      <c r="F158" s="66">
        <v>32260</v>
      </c>
      <c r="G158" s="67">
        <v>0.18216100700000001</v>
      </c>
      <c r="H158" s="67">
        <v>0.40720802299999997</v>
      </c>
    </row>
    <row r="159" spans="1:8" x14ac:dyDescent="0.3">
      <c r="A159" s="69">
        <v>534</v>
      </c>
      <c r="B159" s="63">
        <v>0.21336579999999999</v>
      </c>
      <c r="C159" s="63">
        <v>0.9054432</v>
      </c>
      <c r="D159" s="63">
        <v>3.2088720000000001E-2</v>
      </c>
      <c r="F159" s="66">
        <v>32918</v>
      </c>
      <c r="G159" s="67">
        <v>0.18211071700000001</v>
      </c>
      <c r="H159" s="67">
        <v>0.40694566199999999</v>
      </c>
    </row>
    <row r="160" spans="1:8" x14ac:dyDescent="0.3">
      <c r="A160" s="69">
        <v>535</v>
      </c>
      <c r="B160" s="63">
        <v>0.2257499</v>
      </c>
      <c r="C160" s="63">
        <v>0.9148501</v>
      </c>
      <c r="D160" s="63">
        <v>2.9839999999999998E-2</v>
      </c>
      <c r="F160" s="66">
        <v>33590</v>
      </c>
      <c r="G160" s="67">
        <v>0.182061377</v>
      </c>
      <c r="H160" s="67">
        <v>0.40668745499999998</v>
      </c>
    </row>
    <row r="161" spans="1:8" x14ac:dyDescent="0.3">
      <c r="A161" s="69">
        <v>536</v>
      </c>
      <c r="B161" s="63">
        <v>0.2383209</v>
      </c>
      <c r="C161" s="63">
        <v>0.92373479999999997</v>
      </c>
      <c r="D161" s="63">
        <v>2.771181E-2</v>
      </c>
      <c r="F161" s="66">
        <v>34275</v>
      </c>
      <c r="G161" s="67">
        <v>0.18201287899999999</v>
      </c>
      <c r="H161" s="67">
        <v>0.40643294299999999</v>
      </c>
    </row>
    <row r="162" spans="1:8" x14ac:dyDescent="0.3">
      <c r="A162" s="69">
        <v>537</v>
      </c>
      <c r="B162" s="63">
        <v>0.25106679999999998</v>
      </c>
      <c r="C162" s="63">
        <v>0.93209240000000004</v>
      </c>
      <c r="D162" s="63">
        <v>2.5694439999999999E-2</v>
      </c>
      <c r="F162" s="66">
        <v>34975</v>
      </c>
      <c r="G162" s="67">
        <v>0.18196526900000001</v>
      </c>
      <c r="H162" s="67">
        <v>0.406182345</v>
      </c>
    </row>
    <row r="163" spans="1:8" x14ac:dyDescent="0.3">
      <c r="A163" s="69">
        <v>538</v>
      </c>
      <c r="B163" s="63">
        <v>0.26399220000000001</v>
      </c>
      <c r="C163" s="63">
        <v>0.93992260000000005</v>
      </c>
      <c r="D163" s="63">
        <v>2.3787160000000002E-2</v>
      </c>
      <c r="F163" s="66">
        <v>35689</v>
      </c>
      <c r="G163" s="67">
        <v>0.18191860500000001</v>
      </c>
      <c r="H163" s="67">
        <v>0.40593593700000002</v>
      </c>
    </row>
    <row r="164" spans="1:8" x14ac:dyDescent="0.3">
      <c r="A164" s="69">
        <v>539</v>
      </c>
      <c r="B164" s="63">
        <v>0.27710170000000001</v>
      </c>
      <c r="C164" s="63">
        <v>0.94722519999999999</v>
      </c>
      <c r="D164" s="63">
        <v>2.1989249999999998E-2</v>
      </c>
      <c r="F164" s="66">
        <v>36417</v>
      </c>
      <c r="G164" s="67">
        <v>0.18187294200000001</v>
      </c>
      <c r="H164" s="67">
        <v>0.405693998</v>
      </c>
    </row>
    <row r="165" spans="1:8" x14ac:dyDescent="0.3">
      <c r="A165" s="69">
        <v>540</v>
      </c>
      <c r="B165" s="63">
        <v>0.29039999999999999</v>
      </c>
      <c r="C165" s="63">
        <v>0.95399999999999996</v>
      </c>
      <c r="D165" s="63">
        <v>2.0299999999999999E-2</v>
      </c>
      <c r="F165" s="66">
        <v>37160</v>
      </c>
      <c r="G165" s="67">
        <v>0.18182834</v>
      </c>
      <c r="H165" s="67">
        <v>0.40545680299999998</v>
      </c>
    </row>
    <row r="166" spans="1:8" x14ac:dyDescent="0.3">
      <c r="A166" s="69">
        <v>541</v>
      </c>
      <c r="B166" s="63">
        <v>0.30389119999999997</v>
      </c>
      <c r="C166" s="63">
        <v>0.96025609999999995</v>
      </c>
      <c r="D166" s="63">
        <v>1.871805E-2</v>
      </c>
      <c r="F166" s="66">
        <v>37919</v>
      </c>
      <c r="G166" s="67">
        <v>0.181784855</v>
      </c>
      <c r="H166" s="67">
        <v>0.40522463399999997</v>
      </c>
    </row>
    <row r="167" spans="1:8" x14ac:dyDescent="0.3">
      <c r="A167" s="69">
        <v>542</v>
      </c>
      <c r="B167" s="63">
        <v>0.31757259999999998</v>
      </c>
      <c r="C167" s="63">
        <v>0.96600739999999996</v>
      </c>
      <c r="D167" s="63">
        <v>1.724036E-2</v>
      </c>
      <c r="F167" s="66">
        <v>38692</v>
      </c>
      <c r="G167" s="67">
        <v>0.18174254400000001</v>
      </c>
      <c r="H167" s="67">
        <v>0.40499776799999998</v>
      </c>
    </row>
    <row r="168" spans="1:8" x14ac:dyDescent="0.3">
      <c r="A168" s="69">
        <v>543</v>
      </c>
      <c r="B168" s="63">
        <v>0.33143840000000002</v>
      </c>
      <c r="C168" s="63">
        <v>0.97126060000000003</v>
      </c>
      <c r="D168" s="63">
        <v>1.5863639999999998E-2</v>
      </c>
      <c r="F168" s="66">
        <v>39482</v>
      </c>
      <c r="G168" s="67">
        <v>0.18170146600000001</v>
      </c>
      <c r="H168" s="67">
        <v>0.40477648500000002</v>
      </c>
    </row>
    <row r="169" spans="1:8" x14ac:dyDescent="0.3">
      <c r="A169" s="69">
        <v>544</v>
      </c>
      <c r="B169" s="63">
        <v>0.34548279999999998</v>
      </c>
      <c r="C169" s="63">
        <v>0.97602250000000002</v>
      </c>
      <c r="D169" s="63">
        <v>1.458461E-2</v>
      </c>
      <c r="F169" s="66">
        <v>40288</v>
      </c>
      <c r="G169" s="67">
        <v>0.18166167499999999</v>
      </c>
      <c r="H169" s="67">
        <v>0.40456105799999997</v>
      </c>
    </row>
    <row r="170" spans="1:8" x14ac:dyDescent="0.3">
      <c r="A170" s="69">
        <v>545</v>
      </c>
      <c r="B170" s="63">
        <v>0.35970000000000002</v>
      </c>
      <c r="C170" s="63">
        <v>0.98029999999999995</v>
      </c>
      <c r="D170" s="63">
        <v>1.34E-2</v>
      </c>
      <c r="F170" s="66">
        <v>41110</v>
      </c>
      <c r="G170" s="67">
        <v>0.181623227</v>
      </c>
      <c r="H170" s="67">
        <v>0.40435175699999998</v>
      </c>
    </row>
    <row r="171" spans="1:8" x14ac:dyDescent="0.3">
      <c r="A171" s="69">
        <v>546</v>
      </c>
      <c r="B171" s="63">
        <v>0.37408390000000002</v>
      </c>
      <c r="C171" s="63">
        <v>0.98409239999999998</v>
      </c>
      <c r="D171" s="63">
        <v>1.2307230000000001E-2</v>
      </c>
      <c r="F171" s="66">
        <v>41949</v>
      </c>
      <c r="G171" s="67">
        <v>0.18158617599999999</v>
      </c>
      <c r="H171" s="67">
        <v>0.40414885099999998</v>
      </c>
    </row>
    <row r="172" spans="1:8" x14ac:dyDescent="0.3">
      <c r="A172" s="69">
        <v>547</v>
      </c>
      <c r="B172" s="63">
        <v>0.38863959999999997</v>
      </c>
      <c r="C172" s="63">
        <v>0.98741820000000002</v>
      </c>
      <c r="D172" s="63">
        <v>1.130188E-2</v>
      </c>
      <c r="F172" s="66">
        <v>42805</v>
      </c>
      <c r="G172" s="67">
        <v>0.18155057299999999</v>
      </c>
      <c r="H172" s="67">
        <v>0.403952594</v>
      </c>
    </row>
    <row r="173" spans="1:8" x14ac:dyDescent="0.3">
      <c r="A173" s="69">
        <v>548</v>
      </c>
      <c r="B173" s="63">
        <v>0.40337840000000003</v>
      </c>
      <c r="C173" s="63">
        <v>0.99031279999999999</v>
      </c>
      <c r="D173" s="63">
        <v>1.0377920000000001E-2</v>
      </c>
      <c r="F173" s="66">
        <v>43679</v>
      </c>
      <c r="G173" s="67">
        <v>0.18151646900000001</v>
      </c>
      <c r="H173" s="67">
        <v>0.403763237</v>
      </c>
    </row>
    <row r="174" spans="1:8" x14ac:dyDescent="0.3">
      <c r="A174" s="69">
        <v>549</v>
      </c>
      <c r="B174" s="63">
        <v>0.4183115</v>
      </c>
      <c r="C174" s="63">
        <v>0.99281160000000002</v>
      </c>
      <c r="D174" s="63">
        <v>9.5293059999999995E-3</v>
      </c>
      <c r="F174" s="66">
        <v>44570</v>
      </c>
      <c r="G174" s="67">
        <v>0.181483911</v>
      </c>
      <c r="H174" s="67">
        <v>0.40358102000000001</v>
      </c>
    </row>
    <row r="175" spans="1:8" x14ac:dyDescent="0.3">
      <c r="A175" s="69">
        <v>550</v>
      </c>
      <c r="B175" s="63">
        <v>0.4334499</v>
      </c>
      <c r="C175" s="63">
        <v>0.99495009999999995</v>
      </c>
      <c r="D175" s="63">
        <v>8.7499989999999996E-3</v>
      </c>
      <c r="F175" s="66">
        <v>45480</v>
      </c>
      <c r="G175" s="67">
        <v>0.18145294300000001</v>
      </c>
      <c r="H175" s="67">
        <v>0.40340616499999998</v>
      </c>
    </row>
    <row r="176" spans="1:8" x14ac:dyDescent="0.3">
      <c r="A176" s="69">
        <v>551</v>
      </c>
      <c r="B176" s="63">
        <v>0.44879530000000001</v>
      </c>
      <c r="C176" s="63">
        <v>0.99671080000000001</v>
      </c>
      <c r="D176" s="63">
        <v>8.0351999999999993E-3</v>
      </c>
      <c r="F176" s="66">
        <v>46408</v>
      </c>
      <c r="G176" s="67">
        <v>0.18142360499999999</v>
      </c>
      <c r="H176" s="67">
        <v>0.40323888499999999</v>
      </c>
    </row>
    <row r="177" spans="1:8" x14ac:dyDescent="0.3">
      <c r="A177" s="69">
        <v>552</v>
      </c>
      <c r="B177" s="63">
        <v>0.46433600000000003</v>
      </c>
      <c r="C177" s="63">
        <v>0.99809829999999999</v>
      </c>
      <c r="D177" s="63">
        <v>7.3816000000000003E-3</v>
      </c>
      <c r="F177" s="66">
        <v>47355</v>
      </c>
      <c r="G177" s="67">
        <v>0.18139593500000001</v>
      </c>
      <c r="H177" s="67">
        <v>0.40307936700000002</v>
      </c>
    </row>
    <row r="178" spans="1:8" x14ac:dyDescent="0.3">
      <c r="A178" s="69">
        <v>553</v>
      </c>
      <c r="B178" s="63">
        <v>0.48006399999999999</v>
      </c>
      <c r="C178" s="63">
        <v>0.999112</v>
      </c>
      <c r="D178" s="63">
        <v>6.7853999999999996E-3</v>
      </c>
      <c r="F178" s="66">
        <v>48321</v>
      </c>
      <c r="G178" s="67">
        <v>0.18136996499999999</v>
      </c>
      <c r="H178" s="67">
        <v>0.40292778800000001</v>
      </c>
    </row>
    <row r="179" spans="1:8" x14ac:dyDescent="0.3">
      <c r="A179" s="69">
        <v>554</v>
      </c>
      <c r="B179" s="63">
        <v>0.4959713</v>
      </c>
      <c r="C179" s="63">
        <v>0.99974819999999998</v>
      </c>
      <c r="D179" s="63">
        <v>6.2427999999999997E-3</v>
      </c>
      <c r="F179" s="66">
        <v>49307</v>
      </c>
      <c r="G179" s="67">
        <v>0.18134571999999999</v>
      </c>
      <c r="H179" s="67">
        <v>0.40278428900000002</v>
      </c>
    </row>
    <row r="180" spans="1:8" x14ac:dyDescent="0.3">
      <c r="A180" s="69">
        <v>555</v>
      </c>
      <c r="B180" s="63">
        <v>0.51205009999999995</v>
      </c>
      <c r="C180" s="63">
        <v>1</v>
      </c>
      <c r="D180" s="63">
        <v>5.7499990000000004E-3</v>
      </c>
      <c r="F180" s="66">
        <v>50314</v>
      </c>
      <c r="G180" s="67">
        <v>0.18132322200000001</v>
      </c>
      <c r="H180" s="67">
        <v>0.40264899199999998</v>
      </c>
    </row>
    <row r="181" spans="1:8" x14ac:dyDescent="0.3">
      <c r="A181" s="69">
        <v>556</v>
      </c>
      <c r="B181" s="63">
        <v>0.52829590000000004</v>
      </c>
      <c r="C181" s="63">
        <v>0.99985670000000004</v>
      </c>
      <c r="D181" s="63">
        <v>5.3036000000000003E-3</v>
      </c>
      <c r="F181" s="66">
        <v>51341</v>
      </c>
      <c r="G181" s="67">
        <v>0.18130248299999999</v>
      </c>
      <c r="H181" s="67">
        <v>0.40252198500000003</v>
      </c>
    </row>
    <row r="182" spans="1:8" x14ac:dyDescent="0.3">
      <c r="A182" s="69">
        <v>557</v>
      </c>
      <c r="B182" s="63">
        <v>0.54469160000000005</v>
      </c>
      <c r="C182" s="63">
        <v>0.99930459999999999</v>
      </c>
      <c r="D182" s="63">
        <v>4.8998000000000002E-3</v>
      </c>
      <c r="F182" s="66">
        <v>52388</v>
      </c>
      <c r="G182" s="67">
        <v>0.18128350900000001</v>
      </c>
      <c r="H182" s="67">
        <v>0.40240331899999998</v>
      </c>
    </row>
    <row r="183" spans="1:8" x14ac:dyDescent="0.3">
      <c r="A183" s="69">
        <v>558</v>
      </c>
      <c r="B183" s="63">
        <v>0.56120939999999997</v>
      </c>
      <c r="C183" s="63">
        <v>0.99832549999999998</v>
      </c>
      <c r="D183" s="63">
        <v>4.5342000000000004E-3</v>
      </c>
      <c r="F183" s="66">
        <v>53457</v>
      </c>
      <c r="G183" s="67">
        <v>0.18126629699999999</v>
      </c>
      <c r="H183" s="67">
        <v>0.40229301000000001</v>
      </c>
    </row>
    <row r="184" spans="1:8" x14ac:dyDescent="0.3">
      <c r="A184" s="69">
        <v>559</v>
      </c>
      <c r="B184" s="63">
        <v>0.57782149999999999</v>
      </c>
      <c r="C184" s="63">
        <v>0.99689870000000003</v>
      </c>
      <c r="D184" s="63">
        <v>4.2024000000000002E-3</v>
      </c>
      <c r="F184" s="66">
        <v>54548</v>
      </c>
      <c r="G184" s="67">
        <v>0.181250834</v>
      </c>
      <c r="H184" s="67">
        <v>0.40219102499999998</v>
      </c>
    </row>
    <row r="185" spans="1:8" x14ac:dyDescent="0.3">
      <c r="A185" s="69">
        <v>560</v>
      </c>
      <c r="B185" s="63">
        <v>0.59450000000000003</v>
      </c>
      <c r="C185" s="63">
        <v>0.995</v>
      </c>
      <c r="D185" s="63">
        <v>3.8999999999999998E-3</v>
      </c>
      <c r="F185" s="66">
        <v>55662</v>
      </c>
      <c r="G185" s="67">
        <v>0.18123709599999999</v>
      </c>
      <c r="H185" s="67">
        <v>0.402097286</v>
      </c>
    </row>
    <row r="186" spans="1:8" x14ac:dyDescent="0.3">
      <c r="A186" s="69">
        <v>561</v>
      </c>
      <c r="B186" s="63">
        <v>0.61122089999999996</v>
      </c>
      <c r="C186" s="63">
        <v>0.9926005</v>
      </c>
      <c r="D186" s="63">
        <v>3.6232E-3</v>
      </c>
      <c r="F186" s="66">
        <v>56798</v>
      </c>
      <c r="G186" s="67">
        <v>0.181225048</v>
      </c>
      <c r="H186" s="67">
        <v>0.40201165700000002</v>
      </c>
    </row>
    <row r="187" spans="1:8" x14ac:dyDescent="0.3">
      <c r="A187" s="69">
        <v>562</v>
      </c>
      <c r="B187" s="63">
        <v>0.62797579999999997</v>
      </c>
      <c r="C187" s="63">
        <v>0.98974260000000003</v>
      </c>
      <c r="D187" s="63">
        <v>3.3706000000000001E-3</v>
      </c>
      <c r="F187" s="66">
        <v>57957</v>
      </c>
      <c r="G187" s="67">
        <v>0.18121464000000001</v>
      </c>
      <c r="H187" s="67">
        <v>0.40193394300000002</v>
      </c>
    </row>
    <row r="188" spans="1:8" x14ac:dyDescent="0.3">
      <c r="A188" s="69">
        <v>563</v>
      </c>
      <c r="B188" s="63">
        <v>0.64476020000000001</v>
      </c>
      <c r="C188" s="63">
        <v>0.9864444</v>
      </c>
      <c r="D188" s="63">
        <v>3.1413999999999999E-3</v>
      </c>
      <c r="F188" s="66">
        <v>59140</v>
      </c>
      <c r="G188" s="67">
        <v>0.181205808</v>
      </c>
      <c r="H188" s="67">
        <v>0.40186388299999998</v>
      </c>
    </row>
    <row r="189" spans="1:8" x14ac:dyDescent="0.3">
      <c r="A189" s="69">
        <v>564</v>
      </c>
      <c r="B189" s="63">
        <v>0.66156970000000004</v>
      </c>
      <c r="C189" s="63">
        <v>0.98272409999999999</v>
      </c>
      <c r="D189" s="63">
        <v>2.9348E-3</v>
      </c>
      <c r="F189" s="66">
        <v>60346</v>
      </c>
      <c r="G189" s="67">
        <v>0.181198472</v>
      </c>
      <c r="H189" s="67">
        <v>0.401801136</v>
      </c>
    </row>
    <row r="190" spans="1:8" x14ac:dyDescent="0.3">
      <c r="A190" s="69">
        <v>565</v>
      </c>
      <c r="B190" s="63">
        <v>0.6784</v>
      </c>
      <c r="C190" s="63">
        <v>0.97860000000000003</v>
      </c>
      <c r="D190" s="63">
        <v>2.7499989999999999E-3</v>
      </c>
      <c r="F190" s="66">
        <v>61578</v>
      </c>
      <c r="G190" s="67">
        <v>0.18119253399999999</v>
      </c>
      <c r="H190" s="67">
        <v>0.40174528500000001</v>
      </c>
    </row>
    <row r="191" spans="1:8" x14ac:dyDescent="0.3">
      <c r="A191" s="69">
        <v>566</v>
      </c>
      <c r="B191" s="63">
        <v>0.69523919999999995</v>
      </c>
      <c r="C191" s="63">
        <v>0.9740837</v>
      </c>
      <c r="D191" s="63">
        <v>2.5852000000000002E-3</v>
      </c>
      <c r="F191" s="66">
        <v>62835</v>
      </c>
      <c r="G191" s="67">
        <v>0.181187876</v>
      </c>
      <c r="H191" s="67">
        <v>0.40169582399999998</v>
      </c>
    </row>
    <row r="192" spans="1:8" x14ac:dyDescent="0.3">
      <c r="A192" s="69">
        <v>567</v>
      </c>
      <c r="B192" s="63">
        <v>0.71205859999999999</v>
      </c>
      <c r="C192" s="63">
        <v>0.96917120000000001</v>
      </c>
      <c r="D192" s="63">
        <v>2.4386E-3</v>
      </c>
      <c r="F192" s="66">
        <v>64117</v>
      </c>
      <c r="G192" s="67">
        <v>0.18118435799999999</v>
      </c>
      <c r="H192" s="67">
        <v>0.40165214100000002</v>
      </c>
    </row>
    <row r="193" spans="1:8" x14ac:dyDescent="0.3">
      <c r="A193" s="69">
        <v>568</v>
      </c>
      <c r="B193" s="63">
        <v>0.72882840000000004</v>
      </c>
      <c r="C193" s="63">
        <v>0.96385679999999996</v>
      </c>
      <c r="D193" s="63">
        <v>2.3094000000000001E-3</v>
      </c>
      <c r="F193" s="66">
        <v>65426</v>
      </c>
      <c r="G193" s="67">
        <v>0.181181817</v>
      </c>
      <c r="H193" s="67">
        <v>0.401613522</v>
      </c>
    </row>
    <row r="194" spans="1:8" x14ac:dyDescent="0.3">
      <c r="A194" s="69">
        <v>569</v>
      </c>
      <c r="B194" s="63">
        <v>0.74551880000000004</v>
      </c>
      <c r="C194" s="63">
        <v>0.95813490000000001</v>
      </c>
      <c r="D194" s="63">
        <v>2.1968000000000001E-3</v>
      </c>
      <c r="F194" s="66">
        <v>66761</v>
      </c>
      <c r="G194" s="67">
        <v>0.181180066</v>
      </c>
      <c r="H194" s="67">
        <v>0.40157913299999998</v>
      </c>
    </row>
    <row r="195" spans="1:8" x14ac:dyDescent="0.3">
      <c r="A195" s="69">
        <v>570</v>
      </c>
      <c r="B195" s="63">
        <v>0.7621</v>
      </c>
      <c r="C195" s="63">
        <v>0.95199999999999996</v>
      </c>
      <c r="D195" s="63">
        <v>2.0999999999999999E-3</v>
      </c>
      <c r="F195" s="66">
        <v>68123</v>
      </c>
      <c r="G195" s="67">
        <v>0.18117888500000001</v>
      </c>
      <c r="H195" s="67">
        <v>0.40154801000000001</v>
      </c>
    </row>
    <row r="196" spans="1:8" x14ac:dyDescent="0.3">
      <c r="A196" s="69">
        <v>571</v>
      </c>
      <c r="B196" s="63">
        <v>0.77854319999999999</v>
      </c>
      <c r="C196" s="63">
        <v>0.94545040000000002</v>
      </c>
      <c r="D196" s="63">
        <v>2.0177329999999999E-3</v>
      </c>
      <c r="F196" s="66">
        <v>69514</v>
      </c>
      <c r="G196" s="67">
        <v>0.18117802899999999</v>
      </c>
      <c r="H196" s="67">
        <v>0.40151904500000002</v>
      </c>
    </row>
    <row r="197" spans="1:8" x14ac:dyDescent="0.3">
      <c r="A197" s="69">
        <v>572</v>
      </c>
      <c r="B197" s="63">
        <v>0.79482560000000002</v>
      </c>
      <c r="C197" s="63">
        <v>0.93849919999999998</v>
      </c>
      <c r="D197" s="63">
        <v>1.9482E-3</v>
      </c>
      <c r="F197" s="66">
        <v>70932</v>
      </c>
      <c r="G197" s="67">
        <v>0.181177214</v>
      </c>
      <c r="H197" s="67">
        <v>0.401490978</v>
      </c>
    </row>
    <row r="198" spans="1:8" x14ac:dyDescent="0.3">
      <c r="A198" s="69">
        <v>573</v>
      </c>
      <c r="B198" s="63">
        <v>0.81092640000000005</v>
      </c>
      <c r="C198" s="63">
        <v>0.93116279999999996</v>
      </c>
      <c r="D198" s="63">
        <v>1.8898000000000001E-3</v>
      </c>
      <c r="F198" s="66">
        <v>72380</v>
      </c>
      <c r="G198" s="67">
        <v>0.18117612399999999</v>
      </c>
      <c r="H198" s="67">
        <v>0.40146238400000001</v>
      </c>
    </row>
    <row r="199" spans="1:8" x14ac:dyDescent="0.3">
      <c r="A199" s="69">
        <v>574</v>
      </c>
      <c r="B199" s="63">
        <v>0.82682480000000003</v>
      </c>
      <c r="C199" s="63">
        <v>0.92345759999999999</v>
      </c>
      <c r="D199" s="63">
        <v>1.8409329999999999E-3</v>
      </c>
      <c r="F199" s="66">
        <v>73857</v>
      </c>
      <c r="G199" s="67">
        <v>0.18117440100000001</v>
      </c>
      <c r="H199" s="67">
        <v>0.401431647</v>
      </c>
    </row>
    <row r="200" spans="1:8" x14ac:dyDescent="0.3">
      <c r="A200" s="69">
        <v>575</v>
      </c>
      <c r="B200" s="63">
        <v>0.84250000000000003</v>
      </c>
      <c r="C200" s="63">
        <v>0.91539999999999999</v>
      </c>
      <c r="D200" s="63">
        <v>1.8E-3</v>
      </c>
      <c r="F200" s="66">
        <v>75364</v>
      </c>
      <c r="G200" s="67">
        <v>0.18117164299999999</v>
      </c>
      <c r="H200" s="67">
        <v>0.401396961</v>
      </c>
    </row>
    <row r="201" spans="1:8" x14ac:dyDescent="0.3">
      <c r="A201" s="69">
        <v>576</v>
      </c>
      <c r="B201" s="63">
        <v>0.85793249999999999</v>
      </c>
      <c r="C201" s="63">
        <v>0.90700639999999999</v>
      </c>
      <c r="D201" s="63">
        <v>1.766267E-3</v>
      </c>
      <c r="F201" s="66">
        <v>76902</v>
      </c>
      <c r="G201" s="67">
        <v>0.181167404</v>
      </c>
      <c r="H201" s="67">
        <v>0.401356296</v>
      </c>
    </row>
    <row r="202" spans="1:8" x14ac:dyDescent="0.3">
      <c r="A202" s="69">
        <v>577</v>
      </c>
      <c r="B202" s="63">
        <v>0.87308160000000001</v>
      </c>
      <c r="C202" s="63">
        <v>0.8982772</v>
      </c>
      <c r="D202" s="63">
        <v>1.7378000000000001E-3</v>
      </c>
      <c r="F202" s="66">
        <v>78472</v>
      </c>
      <c r="G202" s="67">
        <v>0.181161185</v>
      </c>
      <c r="H202" s="67">
        <v>0.40130739199999999</v>
      </c>
    </row>
    <row r="203" spans="1:8" x14ac:dyDescent="0.3">
      <c r="A203" s="69">
        <v>578</v>
      </c>
      <c r="B203" s="63">
        <v>0.88789439999999997</v>
      </c>
      <c r="C203" s="63">
        <v>0.88920480000000002</v>
      </c>
      <c r="D203" s="63">
        <v>1.7112E-3</v>
      </c>
      <c r="F203" s="66">
        <v>80073</v>
      </c>
      <c r="G203" s="67">
        <v>0.181152433</v>
      </c>
      <c r="H203" s="67">
        <v>0.40124773400000002</v>
      </c>
    </row>
    <row r="204" spans="1:8" x14ac:dyDescent="0.3">
      <c r="A204" s="69">
        <v>579</v>
      </c>
      <c r="B204" s="63">
        <v>0.90231810000000001</v>
      </c>
      <c r="C204" s="63">
        <v>0.87978160000000005</v>
      </c>
      <c r="D204" s="63">
        <v>1.6830669999999999E-3</v>
      </c>
      <c r="F204" s="66">
        <v>81707</v>
      </c>
      <c r="G204" s="67">
        <v>0.18114053399999999</v>
      </c>
      <c r="H204" s="67">
        <v>0.401174529</v>
      </c>
    </row>
    <row r="205" spans="1:8" x14ac:dyDescent="0.3">
      <c r="A205" s="69">
        <v>580</v>
      </c>
      <c r="B205" s="63">
        <v>0.9163</v>
      </c>
      <c r="C205" s="63">
        <v>0.87</v>
      </c>
      <c r="D205" s="63">
        <v>1.6500009999999999E-3</v>
      </c>
      <c r="F205" s="66">
        <v>83375</v>
      </c>
      <c r="G205" s="67">
        <v>0.181124811</v>
      </c>
      <c r="H205" s="67">
        <v>0.40108468800000002</v>
      </c>
    </row>
    <row r="206" spans="1:8" x14ac:dyDescent="0.3">
      <c r="A206" s="69">
        <v>581</v>
      </c>
      <c r="B206" s="63">
        <v>0.9297995</v>
      </c>
      <c r="C206" s="63">
        <v>0.85986130000000005</v>
      </c>
      <c r="D206" s="63">
        <v>1.6101329999999999E-3</v>
      </c>
      <c r="F206" s="66">
        <v>85076</v>
      </c>
      <c r="G206" s="67">
        <v>0.18110451699999999</v>
      </c>
      <c r="H206" s="67">
        <v>0.40097480000000002</v>
      </c>
    </row>
    <row r="207" spans="1:8" x14ac:dyDescent="0.3">
      <c r="A207" s="69">
        <v>582</v>
      </c>
      <c r="B207" s="63">
        <v>0.94279840000000004</v>
      </c>
      <c r="C207" s="63">
        <v>0.84939200000000004</v>
      </c>
      <c r="D207" s="63">
        <v>1.5644000000000001E-3</v>
      </c>
      <c r="F207" s="66">
        <v>86813</v>
      </c>
      <c r="G207" s="67">
        <v>0.181078829</v>
      </c>
      <c r="H207" s="67">
        <v>0.40084109699999998</v>
      </c>
    </row>
    <row r="208" spans="1:8" x14ac:dyDescent="0.3">
      <c r="A208" s="69">
        <v>583</v>
      </c>
      <c r="B208" s="63">
        <v>0.95527759999999995</v>
      </c>
      <c r="C208" s="63">
        <v>0.83862199999999998</v>
      </c>
      <c r="D208" s="63">
        <v>1.5135999999999999E-3</v>
      </c>
      <c r="F208" s="66">
        <v>88584</v>
      </c>
      <c r="G208" s="67">
        <v>0.18104684200000001</v>
      </c>
      <c r="H208" s="67">
        <v>0.400679444</v>
      </c>
    </row>
    <row r="209" spans="1:8" x14ac:dyDescent="0.3">
      <c r="A209" s="69">
        <v>584</v>
      </c>
      <c r="B209" s="63">
        <v>0.96721789999999996</v>
      </c>
      <c r="C209" s="63">
        <v>0.82758129999999996</v>
      </c>
      <c r="D209" s="63">
        <v>1.4585329999999999E-3</v>
      </c>
      <c r="F209" s="66">
        <v>90392</v>
      </c>
      <c r="G209" s="67">
        <v>0.18100756400000001</v>
      </c>
      <c r="H209" s="67">
        <v>0.40048529100000002</v>
      </c>
    </row>
    <row r="210" spans="1:8" x14ac:dyDescent="0.3">
      <c r="A210" s="69">
        <v>585</v>
      </c>
      <c r="B210" s="63">
        <v>0.97860000000000003</v>
      </c>
      <c r="C210" s="63">
        <v>0.81630000000000003</v>
      </c>
      <c r="D210" s="63">
        <v>1.4E-3</v>
      </c>
      <c r="F210" s="66">
        <v>92237</v>
      </c>
      <c r="G210" s="67">
        <v>0.180959908</v>
      </c>
      <c r="H210" s="67">
        <v>0.40025365099999999</v>
      </c>
    </row>
    <row r="211" spans="1:8" x14ac:dyDescent="0.3">
      <c r="A211" s="69">
        <v>586</v>
      </c>
      <c r="B211" s="63">
        <v>0.98938559999999998</v>
      </c>
      <c r="C211" s="63">
        <v>0.80479469999999997</v>
      </c>
      <c r="D211" s="63">
        <v>1.3366669999999999E-3</v>
      </c>
      <c r="F211" s="66">
        <v>94119</v>
      </c>
      <c r="G211" s="67">
        <v>0.18090268400000001</v>
      </c>
      <c r="H211" s="67">
        <v>0.399979056</v>
      </c>
    </row>
    <row r="212" spans="1:8" x14ac:dyDescent="0.3">
      <c r="A212" s="69">
        <v>587</v>
      </c>
      <c r="B212" s="63">
        <v>0.99954880000000002</v>
      </c>
      <c r="C212" s="63">
        <v>0.79308199999999995</v>
      </c>
      <c r="D212" s="63">
        <v>1.2700000000000001E-3</v>
      </c>
      <c r="F212" s="66">
        <v>96040</v>
      </c>
      <c r="G212" s="67">
        <v>0.18083459199999999</v>
      </c>
      <c r="H212" s="67">
        <v>0.39965553500000001</v>
      </c>
    </row>
    <row r="213" spans="1:8" x14ac:dyDescent="0.3">
      <c r="A213" s="69">
        <v>588</v>
      </c>
      <c r="B213" s="63">
        <v>1.0090892</v>
      </c>
      <c r="C213" s="63">
        <v>0.781192</v>
      </c>
      <c r="D213" s="63">
        <v>1.2049999999999999E-3</v>
      </c>
      <c r="F213" s="66">
        <v>98000</v>
      </c>
      <c r="G213" s="67">
        <v>0.180754213</v>
      </c>
      <c r="H213" s="67">
        <v>0.399276558</v>
      </c>
    </row>
    <row r="214" spans="1:8" x14ac:dyDescent="0.3">
      <c r="A214" s="69">
        <v>589</v>
      </c>
      <c r="B214" s="63">
        <v>1.0180064</v>
      </c>
      <c r="C214" s="63">
        <v>0.76915469999999997</v>
      </c>
      <c r="D214" s="63">
        <v>1.1466670000000001E-3</v>
      </c>
      <c r="F214" s="66">
        <v>100000</v>
      </c>
      <c r="G214" s="67">
        <v>0.18065999999999999</v>
      </c>
      <c r="H214" s="67">
        <v>0.398835</v>
      </c>
    </row>
    <row r="215" spans="1:8" x14ac:dyDescent="0.3">
      <c r="A215" s="69">
        <v>590</v>
      </c>
      <c r="B215" s="63">
        <v>1.0263</v>
      </c>
      <c r="C215" s="63">
        <v>0.75700000000000001</v>
      </c>
      <c r="D215" s="63">
        <v>1.1000000000000001E-3</v>
      </c>
    </row>
    <row r="216" spans="1:8" x14ac:dyDescent="0.3">
      <c r="A216" s="69">
        <v>591</v>
      </c>
      <c r="B216" s="63">
        <v>1.0339826999999999</v>
      </c>
      <c r="C216" s="63">
        <v>0.74475409999999997</v>
      </c>
      <c r="D216" s="63">
        <v>1.0688E-3</v>
      </c>
    </row>
    <row r="217" spans="1:8" x14ac:dyDescent="0.3">
      <c r="A217" s="69">
        <v>592</v>
      </c>
      <c r="B217" s="63">
        <v>1.040986</v>
      </c>
      <c r="C217" s="63">
        <v>0.73242240000000003</v>
      </c>
      <c r="D217" s="63">
        <v>1.0494E-3</v>
      </c>
    </row>
    <row r="218" spans="1:8" x14ac:dyDescent="0.3">
      <c r="A218" s="69">
        <v>593</v>
      </c>
      <c r="B218" s="63">
        <v>1.047188</v>
      </c>
      <c r="C218" s="63">
        <v>0.72000359999999997</v>
      </c>
      <c r="D218" s="63">
        <v>1.0356E-3</v>
      </c>
    </row>
    <row r="219" spans="1:8" x14ac:dyDescent="0.3">
      <c r="A219" s="69">
        <v>594</v>
      </c>
      <c r="B219" s="63">
        <v>1.0524667000000001</v>
      </c>
      <c r="C219" s="63">
        <v>0.70749649999999997</v>
      </c>
      <c r="D219" s="63">
        <v>1.0212000000000001E-3</v>
      </c>
    </row>
    <row r="220" spans="1:8" x14ac:dyDescent="0.3">
      <c r="A220" s="69">
        <v>595</v>
      </c>
      <c r="B220" s="63">
        <v>1.0567</v>
      </c>
      <c r="C220" s="63">
        <v>0.69489999999999996</v>
      </c>
      <c r="D220" s="63">
        <v>1E-3</v>
      </c>
    </row>
    <row r="221" spans="1:8" x14ac:dyDescent="0.3">
      <c r="A221" s="69">
        <v>596</v>
      </c>
      <c r="B221" s="63">
        <v>1.0597943999999999</v>
      </c>
      <c r="C221" s="63">
        <v>0.68221920000000003</v>
      </c>
      <c r="D221" s="63">
        <v>9.6864E-4</v>
      </c>
    </row>
    <row r="222" spans="1:8" x14ac:dyDescent="0.3">
      <c r="A222" s="69">
        <v>597</v>
      </c>
      <c r="B222" s="63">
        <v>1.0617992000000001</v>
      </c>
      <c r="C222" s="63">
        <v>0.66947160000000006</v>
      </c>
      <c r="D222" s="63">
        <v>9.2991999999999999E-4</v>
      </c>
    </row>
    <row r="223" spans="1:8" x14ac:dyDescent="0.3">
      <c r="A223" s="69">
        <v>598</v>
      </c>
      <c r="B223" s="63">
        <v>1.0628067999999999</v>
      </c>
      <c r="C223" s="63">
        <v>0.65667439999999999</v>
      </c>
      <c r="D223" s="63">
        <v>8.8688000000000005E-4</v>
      </c>
    </row>
    <row r="224" spans="1:8" x14ac:dyDescent="0.3">
      <c r="A224" s="69">
        <v>599</v>
      </c>
      <c r="B224" s="63">
        <v>1.0629096</v>
      </c>
      <c r="C224" s="63">
        <v>0.64384479999999999</v>
      </c>
      <c r="D224" s="63">
        <v>8.4256000000000001E-4</v>
      </c>
    </row>
    <row r="225" spans="1:4" x14ac:dyDescent="0.3">
      <c r="A225" s="69">
        <v>600</v>
      </c>
      <c r="B225" s="63">
        <v>1.0622</v>
      </c>
      <c r="C225" s="63">
        <v>0.63100000000000001</v>
      </c>
      <c r="D225" s="63">
        <v>8.0000000000000004E-4</v>
      </c>
    </row>
    <row r="226" spans="1:4" x14ac:dyDescent="0.3">
      <c r="A226" s="69">
        <v>601</v>
      </c>
      <c r="B226" s="63">
        <v>1.0607352000000001</v>
      </c>
      <c r="C226" s="63">
        <v>0.61815549999999997</v>
      </c>
      <c r="D226" s="63">
        <v>7.6095999999999998E-4</v>
      </c>
    </row>
    <row r="227" spans="1:4" x14ac:dyDescent="0.3">
      <c r="A227" s="69">
        <v>602</v>
      </c>
      <c r="B227" s="63">
        <v>1.0584435999999999</v>
      </c>
      <c r="C227" s="63">
        <v>0.60531440000000003</v>
      </c>
      <c r="D227" s="63">
        <v>7.2367999999999998E-4</v>
      </c>
    </row>
    <row r="228" spans="1:4" x14ac:dyDescent="0.3">
      <c r="A228" s="69">
        <v>603</v>
      </c>
      <c r="B228" s="63">
        <v>1.0552244</v>
      </c>
      <c r="C228" s="63">
        <v>0.59247559999999999</v>
      </c>
      <c r="D228" s="63">
        <v>6.8592000000000002E-4</v>
      </c>
    </row>
    <row r="229" spans="1:4" x14ac:dyDescent="0.3">
      <c r="A229" s="69">
        <v>604</v>
      </c>
      <c r="B229" s="63">
        <v>1.0509767999999999</v>
      </c>
      <c r="C229" s="63">
        <v>0.57963790000000004</v>
      </c>
      <c r="D229" s="63">
        <v>6.4543999999999995E-4</v>
      </c>
    </row>
    <row r="230" spans="1:4" x14ac:dyDescent="0.3">
      <c r="A230" s="69">
        <v>605</v>
      </c>
      <c r="B230" s="63">
        <v>1.0456000000000001</v>
      </c>
      <c r="C230" s="63">
        <v>0.56679999999999997</v>
      </c>
      <c r="D230" s="63">
        <v>5.9999999999999995E-4</v>
      </c>
    </row>
    <row r="231" spans="1:4" x14ac:dyDescent="0.3">
      <c r="A231" s="69">
        <v>606</v>
      </c>
      <c r="B231" s="63">
        <v>1.0390368999999999</v>
      </c>
      <c r="C231" s="63">
        <v>0.55396109999999998</v>
      </c>
      <c r="D231" s="63">
        <v>5.4786669999999996E-4</v>
      </c>
    </row>
    <row r="232" spans="1:4" x14ac:dyDescent="0.3">
      <c r="A232" s="69">
        <v>607</v>
      </c>
      <c r="B232" s="63">
        <v>1.0313608000000001</v>
      </c>
      <c r="C232" s="63">
        <v>0.54113719999999998</v>
      </c>
      <c r="D232" s="63">
        <v>4.9160000000000002E-4</v>
      </c>
    </row>
    <row r="233" spans="1:4" x14ac:dyDescent="0.3">
      <c r="A233" s="69">
        <v>608</v>
      </c>
      <c r="B233" s="63">
        <v>1.0226662</v>
      </c>
      <c r="C233" s="63">
        <v>0.52835279999999996</v>
      </c>
      <c r="D233" s="63">
        <v>4.3540000000000001E-4</v>
      </c>
    </row>
    <row r="234" spans="1:4" x14ac:dyDescent="0.3">
      <c r="A234" s="69">
        <v>609</v>
      </c>
      <c r="B234" s="63">
        <v>1.0130477</v>
      </c>
      <c r="C234" s="63">
        <v>0.51563230000000004</v>
      </c>
      <c r="D234" s="63">
        <v>3.8346670000000003E-4</v>
      </c>
    </row>
    <row r="235" spans="1:4" x14ac:dyDescent="0.3">
      <c r="A235" s="69">
        <v>610</v>
      </c>
      <c r="B235" s="63">
        <v>1.0025999999999999</v>
      </c>
      <c r="C235" s="63">
        <v>0.503</v>
      </c>
      <c r="D235" s="63">
        <v>3.4000000000000002E-4</v>
      </c>
    </row>
    <row r="236" spans="1:4" x14ac:dyDescent="0.3">
      <c r="A236" s="69">
        <v>611</v>
      </c>
      <c r="B236" s="63">
        <v>0.99136749999999996</v>
      </c>
      <c r="C236" s="63">
        <v>0.49046879999999998</v>
      </c>
      <c r="D236" s="63">
        <v>3.072533E-4</v>
      </c>
    </row>
    <row r="237" spans="1:4" x14ac:dyDescent="0.3">
      <c r="A237" s="69">
        <v>612</v>
      </c>
      <c r="B237" s="63">
        <v>0.97933139999999996</v>
      </c>
      <c r="C237" s="63">
        <v>0.47803040000000002</v>
      </c>
      <c r="D237" s="63">
        <v>2.8316000000000002E-4</v>
      </c>
    </row>
    <row r="238" spans="1:4" x14ac:dyDescent="0.3">
      <c r="A238" s="69">
        <v>613</v>
      </c>
      <c r="B238" s="63">
        <v>0.96649160000000001</v>
      </c>
      <c r="C238" s="63">
        <v>0.46567760000000002</v>
      </c>
      <c r="D238" s="63">
        <v>2.6543999999999998E-4</v>
      </c>
    </row>
    <row r="239" spans="1:4" x14ac:dyDescent="0.3">
      <c r="A239" s="69">
        <v>614</v>
      </c>
      <c r="B239" s="63">
        <v>0.95284789999999997</v>
      </c>
      <c r="C239" s="63">
        <v>0.45340320000000001</v>
      </c>
      <c r="D239" s="63">
        <v>2.5181329999999998E-4</v>
      </c>
    </row>
    <row r="240" spans="1:4" x14ac:dyDescent="0.3">
      <c r="A240" s="69">
        <v>615</v>
      </c>
      <c r="B240" s="63">
        <v>0.93840000000000001</v>
      </c>
      <c r="C240" s="63">
        <v>0.44119999999999998</v>
      </c>
      <c r="D240" s="63">
        <v>2.4000000000000001E-4</v>
      </c>
    </row>
    <row r="241" spans="1:4" x14ac:dyDescent="0.3">
      <c r="A241" s="69">
        <v>616</v>
      </c>
      <c r="B241" s="63">
        <v>0.92319399999999996</v>
      </c>
      <c r="C241" s="63">
        <v>0.42908000000000002</v>
      </c>
      <c r="D241" s="63">
        <v>2.2954670000000001E-4</v>
      </c>
    </row>
    <row r="242" spans="1:4" x14ac:dyDescent="0.3">
      <c r="A242" s="69">
        <v>617</v>
      </c>
      <c r="B242" s="63">
        <v>0.90724400000000005</v>
      </c>
      <c r="C242" s="63">
        <v>0.41703600000000002</v>
      </c>
      <c r="D242" s="63">
        <v>2.2064E-4</v>
      </c>
    </row>
    <row r="243" spans="1:4" x14ac:dyDescent="0.3">
      <c r="A243" s="69">
        <v>618</v>
      </c>
      <c r="B243" s="63">
        <v>0.89050200000000002</v>
      </c>
      <c r="C243" s="63">
        <v>0.405032</v>
      </c>
      <c r="D243" s="63">
        <v>2.1196E-4</v>
      </c>
    </row>
    <row r="244" spans="1:4" x14ac:dyDescent="0.3">
      <c r="A244" s="69">
        <v>619</v>
      </c>
      <c r="B244" s="63">
        <v>0.87292000000000003</v>
      </c>
      <c r="C244" s="63">
        <v>0.39303199999999999</v>
      </c>
      <c r="D244" s="63">
        <v>2.021867E-4</v>
      </c>
    </row>
    <row r="245" spans="1:4" x14ac:dyDescent="0.3">
      <c r="A245" s="69">
        <v>620</v>
      </c>
      <c r="B245" s="63">
        <v>0.85444989999999998</v>
      </c>
      <c r="C245" s="63">
        <v>0.38100000000000001</v>
      </c>
      <c r="D245" s="63">
        <v>1.9000000000000001E-4</v>
      </c>
    </row>
    <row r="246" spans="1:4" x14ac:dyDescent="0.3">
      <c r="A246" s="69">
        <v>621</v>
      </c>
      <c r="B246" s="63">
        <v>0.83508400000000005</v>
      </c>
      <c r="C246" s="63">
        <v>0.36891839999999998</v>
      </c>
      <c r="D246" s="63">
        <v>1.7421329999999999E-4</v>
      </c>
    </row>
    <row r="247" spans="1:4" x14ac:dyDescent="0.3">
      <c r="A247" s="69">
        <v>622</v>
      </c>
      <c r="B247" s="63">
        <v>0.81494599999999995</v>
      </c>
      <c r="C247" s="63">
        <v>0.35682720000000001</v>
      </c>
      <c r="D247" s="63">
        <v>1.5563999999999999E-4</v>
      </c>
    </row>
    <row r="248" spans="1:4" x14ac:dyDescent="0.3">
      <c r="A248" s="69">
        <v>623</v>
      </c>
      <c r="B248" s="63">
        <v>0.79418599999999995</v>
      </c>
      <c r="C248" s="63">
        <v>0.34477679999999999</v>
      </c>
      <c r="D248" s="63">
        <v>1.3595999999999999E-4</v>
      </c>
    </row>
    <row r="249" spans="1:4" x14ac:dyDescent="0.3">
      <c r="A249" s="69">
        <v>624</v>
      </c>
      <c r="B249" s="63">
        <v>0.77295400000000003</v>
      </c>
      <c r="C249" s="63">
        <v>0.33281759999999999</v>
      </c>
      <c r="D249" s="63">
        <v>1.1685329999999999E-4</v>
      </c>
    </row>
    <row r="250" spans="1:4" x14ac:dyDescent="0.3">
      <c r="A250" s="69">
        <v>625</v>
      </c>
      <c r="B250" s="63">
        <v>0.75139999999999996</v>
      </c>
      <c r="C250" s="63">
        <v>0.32100000000000001</v>
      </c>
      <c r="D250" s="63">
        <v>1E-4</v>
      </c>
    </row>
    <row r="251" spans="1:4" x14ac:dyDescent="0.3">
      <c r="A251" s="69">
        <v>626</v>
      </c>
      <c r="B251" s="63">
        <v>0.7295836</v>
      </c>
      <c r="C251" s="63">
        <v>0.3093381</v>
      </c>
      <c r="D251" s="63">
        <v>8.6133330000000006E-5</v>
      </c>
    </row>
    <row r="252" spans="1:4" x14ac:dyDescent="0.3">
      <c r="A252" s="69">
        <v>627</v>
      </c>
      <c r="B252" s="63">
        <v>0.70758880000000002</v>
      </c>
      <c r="C252" s="63">
        <v>0.29785040000000002</v>
      </c>
      <c r="D252" s="63">
        <v>7.4599999999999997E-5</v>
      </c>
    </row>
    <row r="253" spans="1:4" x14ac:dyDescent="0.3">
      <c r="A253" s="69">
        <v>628</v>
      </c>
      <c r="B253" s="63">
        <v>0.68560220000000005</v>
      </c>
      <c r="C253" s="63">
        <v>0.2865936</v>
      </c>
      <c r="D253" s="63">
        <v>6.4999999999999994E-5</v>
      </c>
    </row>
    <row r="254" spans="1:4" x14ac:dyDescent="0.3">
      <c r="A254" s="69">
        <v>629</v>
      </c>
      <c r="B254" s="63">
        <v>0.66381040000000002</v>
      </c>
      <c r="C254" s="63">
        <v>0.27562449999999999</v>
      </c>
      <c r="D254" s="63">
        <v>5.6933330000000001E-5</v>
      </c>
    </row>
    <row r="255" spans="1:4" x14ac:dyDescent="0.3">
      <c r="A255" s="69">
        <v>630</v>
      </c>
      <c r="B255" s="63">
        <v>0.64239999999999997</v>
      </c>
      <c r="C255" s="63">
        <v>0.26500000000000001</v>
      </c>
      <c r="D255" s="63">
        <v>4.9999990000000002E-5</v>
      </c>
    </row>
    <row r="256" spans="1:4" x14ac:dyDescent="0.3">
      <c r="A256" s="69">
        <v>631</v>
      </c>
      <c r="B256" s="63">
        <v>0.62151489999999998</v>
      </c>
      <c r="C256" s="63">
        <v>0.25476320000000002</v>
      </c>
      <c r="D256" s="63">
        <v>4.4159999999999997E-5</v>
      </c>
    </row>
    <row r="257" spans="1:4" x14ac:dyDescent="0.3">
      <c r="A257" s="69">
        <v>632</v>
      </c>
      <c r="B257" s="63">
        <v>0.60111380000000003</v>
      </c>
      <c r="C257" s="63">
        <v>0.24488960000000001</v>
      </c>
      <c r="D257" s="63">
        <v>3.9480000000000001E-5</v>
      </c>
    </row>
    <row r="258" spans="1:4" x14ac:dyDescent="0.3">
      <c r="A258" s="69">
        <v>633</v>
      </c>
      <c r="B258" s="63">
        <v>0.58110519999999999</v>
      </c>
      <c r="C258" s="63">
        <v>0.2353344</v>
      </c>
      <c r="D258" s="63">
        <v>3.5719999999999997E-5</v>
      </c>
    </row>
    <row r="259" spans="1:4" x14ac:dyDescent="0.3">
      <c r="A259" s="69">
        <v>634</v>
      </c>
      <c r="B259" s="63">
        <v>0.5613977</v>
      </c>
      <c r="C259" s="63">
        <v>0.2260528</v>
      </c>
      <c r="D259" s="63">
        <v>3.2639999999999999E-5</v>
      </c>
    </row>
    <row r="260" spans="1:4" x14ac:dyDescent="0.3">
      <c r="A260" s="69">
        <v>635</v>
      </c>
      <c r="B260" s="63">
        <v>0.54190000000000005</v>
      </c>
      <c r="C260" s="63">
        <v>0.217</v>
      </c>
      <c r="D260" s="63">
        <v>3.0000000000000001E-5</v>
      </c>
    </row>
    <row r="261" spans="1:4" x14ac:dyDescent="0.3">
      <c r="A261" s="69">
        <v>636</v>
      </c>
      <c r="B261" s="63">
        <v>0.52259949999999999</v>
      </c>
      <c r="C261" s="63">
        <v>0.2081616</v>
      </c>
      <c r="D261" s="63">
        <v>2.765333E-5</v>
      </c>
    </row>
    <row r="262" spans="1:4" x14ac:dyDescent="0.3">
      <c r="A262" s="69">
        <v>637</v>
      </c>
      <c r="B262" s="63">
        <v>0.50354639999999995</v>
      </c>
      <c r="C262" s="63">
        <v>0.1995488</v>
      </c>
      <c r="D262" s="63">
        <v>2.5559999999999999E-5</v>
      </c>
    </row>
    <row r="263" spans="1:4" x14ac:dyDescent="0.3">
      <c r="A263" s="69">
        <v>638</v>
      </c>
      <c r="B263" s="63">
        <v>0.4847436</v>
      </c>
      <c r="C263" s="63">
        <v>0.1911552</v>
      </c>
      <c r="D263" s="63">
        <v>2.3640000000000001E-5</v>
      </c>
    </row>
    <row r="264" spans="1:4" x14ac:dyDescent="0.3">
      <c r="A264" s="69">
        <v>639</v>
      </c>
      <c r="B264" s="63">
        <v>0.46619389999999999</v>
      </c>
      <c r="C264" s="63">
        <v>0.18297440000000001</v>
      </c>
      <c r="D264" s="63">
        <v>2.1813329999999999E-5</v>
      </c>
    </row>
    <row r="265" spans="1:4" x14ac:dyDescent="0.3">
      <c r="A265" s="69">
        <v>640</v>
      </c>
      <c r="B265" s="63">
        <v>0.44790000000000002</v>
      </c>
      <c r="C265" s="63">
        <v>0.17499999999999999</v>
      </c>
      <c r="D265" s="63">
        <v>2.0000000000000002E-5</v>
      </c>
    </row>
    <row r="266" spans="1:4" x14ac:dyDescent="0.3">
      <c r="A266" s="69">
        <v>641</v>
      </c>
      <c r="B266" s="63">
        <v>0.4298613</v>
      </c>
      <c r="C266" s="63">
        <v>0.1672235</v>
      </c>
      <c r="D266" s="63">
        <v>1.813333E-5</v>
      </c>
    </row>
    <row r="267" spans="1:4" x14ac:dyDescent="0.3">
      <c r="A267" s="69">
        <v>642</v>
      </c>
      <c r="B267" s="63">
        <v>0.41209800000000002</v>
      </c>
      <c r="C267" s="63">
        <v>0.15964639999999999</v>
      </c>
      <c r="D267" s="63">
        <v>1.6200000000000001E-5</v>
      </c>
    </row>
    <row r="268" spans="1:4" x14ac:dyDescent="0.3">
      <c r="A268" s="69">
        <v>643</v>
      </c>
      <c r="B268" s="63">
        <v>0.39464399999999999</v>
      </c>
      <c r="C268" s="63">
        <v>0.15227760000000001</v>
      </c>
      <c r="D268" s="63">
        <v>1.42E-5</v>
      </c>
    </row>
    <row r="269" spans="1:4" x14ac:dyDescent="0.3">
      <c r="A269" s="69">
        <v>644</v>
      </c>
      <c r="B269" s="63">
        <v>0.37753330000000002</v>
      </c>
      <c r="C269" s="63">
        <v>0.1451259</v>
      </c>
      <c r="D269" s="63">
        <v>1.213333E-5</v>
      </c>
    </row>
    <row r="270" spans="1:4" x14ac:dyDescent="0.3">
      <c r="A270" s="69">
        <v>645</v>
      </c>
      <c r="B270" s="63">
        <v>0.36080000000000001</v>
      </c>
      <c r="C270" s="63">
        <v>0.13819999999999999</v>
      </c>
      <c r="D270" s="63">
        <v>1.0000000000000001E-5</v>
      </c>
    </row>
    <row r="271" spans="1:4" x14ac:dyDescent="0.3">
      <c r="A271" s="69">
        <v>646</v>
      </c>
      <c r="B271" s="63">
        <v>0.34445629999999999</v>
      </c>
      <c r="C271" s="63">
        <v>0.13150029999999999</v>
      </c>
      <c r="D271" s="63">
        <v>7.7333329999999996E-6</v>
      </c>
    </row>
    <row r="272" spans="1:4" x14ac:dyDescent="0.3">
      <c r="A272" s="69">
        <v>647</v>
      </c>
      <c r="B272" s="63">
        <v>0.3285168</v>
      </c>
      <c r="C272" s="63">
        <v>0.12502479999999999</v>
      </c>
      <c r="D272" s="63">
        <v>5.4E-6</v>
      </c>
    </row>
    <row r="273" spans="1:4" x14ac:dyDescent="0.3">
      <c r="A273" s="69">
        <v>648</v>
      </c>
      <c r="B273" s="63">
        <v>0.3130192</v>
      </c>
      <c r="C273" s="63">
        <v>0.1187792</v>
      </c>
      <c r="D273" s="63">
        <v>3.1999999999999999E-6</v>
      </c>
    </row>
    <row r="274" spans="1:4" x14ac:dyDescent="0.3">
      <c r="A274" s="69">
        <v>649</v>
      </c>
      <c r="B274" s="63">
        <v>0.29800110000000002</v>
      </c>
      <c r="C274" s="63">
        <v>0.1127691</v>
      </c>
      <c r="D274" s="63">
        <v>1.3333330000000001E-6</v>
      </c>
    </row>
    <row r="275" spans="1:4" x14ac:dyDescent="0.3">
      <c r="A275" s="69">
        <v>650</v>
      </c>
      <c r="B275" s="63">
        <v>0.28349999999999997</v>
      </c>
      <c r="C275" s="63">
        <v>0.107</v>
      </c>
      <c r="D275" s="63">
        <v>0</v>
      </c>
    </row>
    <row r="276" spans="1:4" x14ac:dyDescent="0.3">
      <c r="A276" s="69">
        <v>651</v>
      </c>
      <c r="B276" s="63">
        <v>0.26954479999999997</v>
      </c>
      <c r="C276" s="63">
        <v>0.1014762</v>
      </c>
      <c r="D276" s="63">
        <v>0</v>
      </c>
    </row>
    <row r="277" spans="1:4" x14ac:dyDescent="0.3">
      <c r="A277" s="69">
        <v>652</v>
      </c>
      <c r="B277" s="63">
        <v>0.25611840000000002</v>
      </c>
      <c r="C277" s="63">
        <v>9.6188640000000006E-2</v>
      </c>
      <c r="D277" s="63">
        <v>0</v>
      </c>
    </row>
    <row r="278" spans="1:4" x14ac:dyDescent="0.3">
      <c r="A278" s="69">
        <v>653</v>
      </c>
      <c r="B278" s="63">
        <v>0.24318960000000001</v>
      </c>
      <c r="C278" s="63">
        <v>9.1122960000000003E-2</v>
      </c>
      <c r="D278" s="63">
        <v>0</v>
      </c>
    </row>
    <row r="279" spans="1:4" x14ac:dyDescent="0.3">
      <c r="A279" s="69">
        <v>654</v>
      </c>
      <c r="B279" s="63">
        <v>0.23072719999999999</v>
      </c>
      <c r="C279" s="63">
        <v>8.6264850000000004E-2</v>
      </c>
      <c r="D279" s="63">
        <v>0</v>
      </c>
    </row>
    <row r="280" spans="1:4" x14ac:dyDescent="0.3">
      <c r="A280" s="69">
        <v>655</v>
      </c>
      <c r="B280" s="63">
        <v>0.21870000000000001</v>
      </c>
      <c r="C280" s="63">
        <v>8.1600000000000006E-2</v>
      </c>
      <c r="D280" s="63">
        <v>0</v>
      </c>
    </row>
    <row r="281" spans="1:4" x14ac:dyDescent="0.3">
      <c r="A281" s="69">
        <v>656</v>
      </c>
      <c r="B281" s="63">
        <v>0.20709710000000001</v>
      </c>
      <c r="C281" s="63">
        <v>7.7120640000000004E-2</v>
      </c>
      <c r="D281" s="63">
        <v>0</v>
      </c>
    </row>
    <row r="282" spans="1:4" x14ac:dyDescent="0.3">
      <c r="A282" s="69">
        <v>657</v>
      </c>
      <c r="B282" s="63">
        <v>0.19592319999999999</v>
      </c>
      <c r="C282" s="63">
        <v>7.2825520000000005E-2</v>
      </c>
      <c r="D282" s="63">
        <v>0</v>
      </c>
    </row>
    <row r="283" spans="1:4" x14ac:dyDescent="0.3">
      <c r="A283" s="69">
        <v>658</v>
      </c>
      <c r="B283" s="63">
        <v>0.1851708</v>
      </c>
      <c r="C283" s="63">
        <v>6.8710080000000007E-2</v>
      </c>
      <c r="D283" s="63">
        <v>0</v>
      </c>
    </row>
    <row r="284" spans="1:4" x14ac:dyDescent="0.3">
      <c r="A284" s="69">
        <v>659</v>
      </c>
      <c r="B284" s="63">
        <v>0.1748323</v>
      </c>
      <c r="C284" s="63">
        <v>6.4769759999999996E-2</v>
      </c>
      <c r="D284" s="63">
        <v>0</v>
      </c>
    </row>
    <row r="285" spans="1:4" x14ac:dyDescent="0.3">
      <c r="A285" s="69">
        <v>660</v>
      </c>
      <c r="B285" s="63">
        <v>0.16489999999999999</v>
      </c>
      <c r="C285" s="63">
        <v>6.0999999999999999E-2</v>
      </c>
      <c r="D285" s="63">
        <v>0</v>
      </c>
    </row>
    <row r="286" spans="1:4" x14ac:dyDescent="0.3">
      <c r="A286" s="69">
        <v>661</v>
      </c>
      <c r="B286" s="63">
        <v>0.1553667</v>
      </c>
      <c r="C286" s="63">
        <v>5.7396210000000003E-2</v>
      </c>
      <c r="D286" s="63">
        <v>0</v>
      </c>
    </row>
    <row r="287" spans="1:4" x14ac:dyDescent="0.3">
      <c r="A287" s="69">
        <v>662</v>
      </c>
      <c r="B287" s="63">
        <v>0.14623</v>
      </c>
      <c r="C287" s="63">
        <v>5.3955040000000003E-2</v>
      </c>
      <c r="D287" s="63">
        <v>0</v>
      </c>
    </row>
    <row r="288" spans="1:4" x14ac:dyDescent="0.3">
      <c r="A288" s="69">
        <v>663</v>
      </c>
      <c r="B288" s="63">
        <v>0.13749</v>
      </c>
      <c r="C288" s="63">
        <v>5.0673759999999998E-2</v>
      </c>
      <c r="D288" s="63">
        <v>0</v>
      </c>
    </row>
    <row r="289" spans="1:4" x14ac:dyDescent="0.3">
      <c r="A289" s="69">
        <v>664</v>
      </c>
      <c r="B289" s="63">
        <v>0.1291467</v>
      </c>
      <c r="C289" s="63">
        <v>4.7549649999999999E-2</v>
      </c>
      <c r="D289" s="63">
        <v>0</v>
      </c>
    </row>
    <row r="290" spans="1:4" x14ac:dyDescent="0.3">
      <c r="A290" s="69">
        <v>665</v>
      </c>
      <c r="B290" s="63">
        <v>0.1212</v>
      </c>
      <c r="C290" s="63">
        <v>4.4580000000000002E-2</v>
      </c>
      <c r="D290" s="63">
        <v>0</v>
      </c>
    </row>
    <row r="291" spans="1:4" x14ac:dyDescent="0.3">
      <c r="A291" s="69">
        <v>666</v>
      </c>
      <c r="B291" s="63">
        <v>0.1136397</v>
      </c>
      <c r="C291" s="63">
        <v>4.1758719999999999E-2</v>
      </c>
      <c r="D291" s="63">
        <v>0</v>
      </c>
    </row>
    <row r="292" spans="1:4" x14ac:dyDescent="0.3">
      <c r="A292" s="69">
        <v>667</v>
      </c>
      <c r="B292" s="63">
        <v>0.106465</v>
      </c>
      <c r="C292" s="63">
        <v>3.9084960000000002E-2</v>
      </c>
      <c r="D292" s="63">
        <v>0</v>
      </c>
    </row>
    <row r="293" spans="1:4" x14ac:dyDescent="0.3">
      <c r="A293" s="69">
        <v>668</v>
      </c>
      <c r="B293" s="63">
        <v>9.9690440000000005E-2</v>
      </c>
      <c r="C293" s="63">
        <v>3.656384E-2</v>
      </c>
      <c r="D293" s="63">
        <v>0</v>
      </c>
    </row>
    <row r="294" spans="1:4" x14ac:dyDescent="0.3">
      <c r="A294" s="69">
        <v>669</v>
      </c>
      <c r="B294" s="63">
        <v>9.3330609999999994E-2</v>
      </c>
      <c r="C294" s="63">
        <v>3.4200479999999998E-2</v>
      </c>
      <c r="D294" s="63">
        <v>0</v>
      </c>
    </row>
    <row r="295" spans="1:4" x14ac:dyDescent="0.3">
      <c r="A295" s="69">
        <v>670</v>
      </c>
      <c r="B295" s="63">
        <v>8.7400000000000005E-2</v>
      </c>
      <c r="C295" s="63">
        <v>3.2000000000000001E-2</v>
      </c>
      <c r="D295" s="63">
        <v>0</v>
      </c>
    </row>
    <row r="296" spans="1:4" x14ac:dyDescent="0.3">
      <c r="A296" s="69">
        <v>671</v>
      </c>
      <c r="B296" s="63">
        <v>8.1900959999999995E-2</v>
      </c>
      <c r="C296" s="63">
        <v>2.9962610000000001E-2</v>
      </c>
      <c r="D296" s="63">
        <v>0</v>
      </c>
    </row>
    <row r="297" spans="1:4" x14ac:dyDescent="0.3">
      <c r="A297" s="69">
        <v>672</v>
      </c>
      <c r="B297" s="63">
        <v>7.6804280000000003E-2</v>
      </c>
      <c r="C297" s="63">
        <v>2.807664E-2</v>
      </c>
      <c r="D297" s="63">
        <v>0</v>
      </c>
    </row>
    <row r="298" spans="1:4" x14ac:dyDescent="0.3">
      <c r="A298" s="69">
        <v>673</v>
      </c>
      <c r="B298" s="63">
        <v>7.2077119999999995E-2</v>
      </c>
      <c r="C298" s="63">
        <v>2.632936E-2</v>
      </c>
      <c r="D298" s="63">
        <v>0</v>
      </c>
    </row>
    <row r="299" spans="1:4" x14ac:dyDescent="0.3">
      <c r="A299" s="69">
        <v>674</v>
      </c>
      <c r="B299" s="63">
        <v>6.7686640000000006E-2</v>
      </c>
      <c r="C299" s="63">
        <v>2.4708049999999999E-2</v>
      </c>
      <c r="D299" s="63">
        <v>0</v>
      </c>
    </row>
    <row r="300" spans="1:4" x14ac:dyDescent="0.3">
      <c r="A300" s="69">
        <v>675</v>
      </c>
      <c r="B300" s="63">
        <v>6.3600000000000004E-2</v>
      </c>
      <c r="C300" s="63">
        <v>2.3199999999999998E-2</v>
      </c>
      <c r="D300" s="63">
        <v>0</v>
      </c>
    </row>
    <row r="301" spans="1:4" x14ac:dyDescent="0.3">
      <c r="A301" s="69">
        <v>676</v>
      </c>
      <c r="B301" s="63">
        <v>5.9806850000000002E-2</v>
      </c>
      <c r="C301" s="63">
        <v>2.1800770000000001E-2</v>
      </c>
      <c r="D301" s="63">
        <v>0</v>
      </c>
    </row>
    <row r="302" spans="1:4" x14ac:dyDescent="0.3">
      <c r="A302" s="69">
        <v>677</v>
      </c>
      <c r="B302" s="63">
        <v>5.6282159999999998E-2</v>
      </c>
      <c r="C302" s="63">
        <v>2.0501120000000001E-2</v>
      </c>
      <c r="D302" s="63">
        <v>0</v>
      </c>
    </row>
    <row r="303" spans="1:4" x14ac:dyDescent="0.3">
      <c r="A303" s="69">
        <v>678</v>
      </c>
      <c r="B303" s="63">
        <v>5.2971039999999997E-2</v>
      </c>
      <c r="C303" s="63">
        <v>1.9281079999999999E-2</v>
      </c>
      <c r="D303" s="63">
        <v>0</v>
      </c>
    </row>
    <row r="304" spans="1:4" x14ac:dyDescent="0.3">
      <c r="A304" s="69">
        <v>679</v>
      </c>
      <c r="B304" s="63">
        <v>4.9818609999999999E-2</v>
      </c>
      <c r="C304" s="63">
        <v>1.8120689999999998E-2</v>
      </c>
      <c r="D304" s="63">
        <v>0</v>
      </c>
    </row>
    <row r="305" spans="1:4" x14ac:dyDescent="0.3">
      <c r="A305" s="69">
        <v>680</v>
      </c>
      <c r="B305" s="63">
        <v>4.6769999999999999E-2</v>
      </c>
      <c r="C305" s="63">
        <v>1.7000000000000001E-2</v>
      </c>
      <c r="D305" s="63">
        <v>0</v>
      </c>
    </row>
    <row r="306" spans="1:4" x14ac:dyDescent="0.3">
      <c r="A306" s="69">
        <v>681</v>
      </c>
      <c r="B306" s="63">
        <v>4.3784049999999998E-2</v>
      </c>
      <c r="C306" s="63">
        <v>1.5903790000000001E-2</v>
      </c>
      <c r="D306" s="63">
        <v>0</v>
      </c>
    </row>
    <row r="307" spans="1:4" x14ac:dyDescent="0.3">
      <c r="A307" s="69">
        <v>682</v>
      </c>
      <c r="B307" s="63">
        <v>4.0875359999999999E-2</v>
      </c>
      <c r="C307" s="63">
        <v>1.483718E-2</v>
      </c>
      <c r="D307" s="63">
        <v>0</v>
      </c>
    </row>
    <row r="308" spans="1:4" x14ac:dyDescent="0.3">
      <c r="A308" s="69">
        <v>683</v>
      </c>
      <c r="B308" s="63">
        <v>3.8072639999999998E-2</v>
      </c>
      <c r="C308" s="63">
        <v>1.3810680000000001E-2</v>
      </c>
      <c r="D308" s="63">
        <v>0</v>
      </c>
    </row>
    <row r="309" spans="1:4" x14ac:dyDescent="0.3">
      <c r="A309" s="69">
        <v>684</v>
      </c>
      <c r="B309" s="63">
        <v>3.5404610000000003E-2</v>
      </c>
      <c r="C309" s="63">
        <v>1.283478E-2</v>
      </c>
      <c r="D309" s="63">
        <v>0</v>
      </c>
    </row>
    <row r="310" spans="1:4" x14ac:dyDescent="0.3">
      <c r="A310" s="69">
        <v>685</v>
      </c>
      <c r="B310" s="63">
        <v>3.2899999999999999E-2</v>
      </c>
      <c r="C310" s="63">
        <v>1.192E-2</v>
      </c>
      <c r="D310" s="63">
        <v>0</v>
      </c>
    </row>
    <row r="311" spans="1:4" x14ac:dyDescent="0.3">
      <c r="A311" s="69">
        <v>686</v>
      </c>
      <c r="B311" s="63">
        <v>3.0564190000000001E-2</v>
      </c>
      <c r="C311" s="63">
        <v>1.106831E-2</v>
      </c>
      <c r="D311" s="63">
        <v>0</v>
      </c>
    </row>
    <row r="312" spans="1:4" x14ac:dyDescent="0.3">
      <c r="A312" s="69">
        <v>687</v>
      </c>
      <c r="B312" s="63">
        <v>2.8380559999999999E-2</v>
      </c>
      <c r="C312" s="63">
        <v>1.027339E-2</v>
      </c>
      <c r="D312" s="63">
        <v>0</v>
      </c>
    </row>
    <row r="313" spans="1:4" x14ac:dyDescent="0.3">
      <c r="A313" s="69">
        <v>688</v>
      </c>
      <c r="B313" s="63">
        <v>2.6344840000000001E-2</v>
      </c>
      <c r="C313" s="63">
        <v>9.5333109999999992E-3</v>
      </c>
      <c r="D313" s="63">
        <v>0</v>
      </c>
    </row>
    <row r="314" spans="1:4" x14ac:dyDescent="0.3">
      <c r="A314" s="69">
        <v>689</v>
      </c>
      <c r="B314" s="63">
        <v>2.4452749999999999E-2</v>
      </c>
      <c r="C314" s="63">
        <v>8.8461570000000003E-3</v>
      </c>
      <c r="D314" s="63">
        <v>0</v>
      </c>
    </row>
    <row r="315" spans="1:4" x14ac:dyDescent="0.3">
      <c r="A315" s="69">
        <v>690</v>
      </c>
      <c r="B315" s="63">
        <v>2.2700000000000001E-2</v>
      </c>
      <c r="C315" s="63">
        <v>8.2100000000000003E-3</v>
      </c>
      <c r="D315" s="63">
        <v>0</v>
      </c>
    </row>
    <row r="316" spans="1:4" x14ac:dyDescent="0.3">
      <c r="A316" s="69">
        <v>691</v>
      </c>
      <c r="B316" s="63">
        <v>2.1084289999999999E-2</v>
      </c>
      <c r="C316" s="63">
        <v>7.6237809999999996E-3</v>
      </c>
      <c r="D316" s="63">
        <v>0</v>
      </c>
    </row>
    <row r="317" spans="1:4" x14ac:dyDescent="0.3">
      <c r="A317" s="69">
        <v>692</v>
      </c>
      <c r="B317" s="63">
        <v>1.959988E-2</v>
      </c>
      <c r="C317" s="63">
        <v>7.0854239999999999E-3</v>
      </c>
      <c r="D317" s="63">
        <v>0</v>
      </c>
    </row>
    <row r="318" spans="1:4" x14ac:dyDescent="0.3">
      <c r="A318" s="69">
        <v>693</v>
      </c>
      <c r="B318" s="63">
        <v>1.8237320000000001E-2</v>
      </c>
      <c r="C318" s="63">
        <v>6.5914759999999998E-3</v>
      </c>
      <c r="D318" s="63">
        <v>0</v>
      </c>
    </row>
    <row r="319" spans="1:4" x14ac:dyDescent="0.3">
      <c r="A319" s="69">
        <v>694</v>
      </c>
      <c r="B319" s="63">
        <v>1.6987169999999999E-2</v>
      </c>
      <c r="C319" s="63">
        <v>6.1384849999999999E-3</v>
      </c>
      <c r="D319" s="63">
        <v>0</v>
      </c>
    </row>
    <row r="320" spans="1:4" x14ac:dyDescent="0.3">
      <c r="A320" s="69">
        <v>695</v>
      </c>
      <c r="B320" s="63">
        <v>1.584E-2</v>
      </c>
      <c r="C320" s="63">
        <v>5.7229999999999998E-3</v>
      </c>
      <c r="D320" s="63">
        <v>0</v>
      </c>
    </row>
    <row r="321" spans="1:4" x14ac:dyDescent="0.3">
      <c r="A321" s="69">
        <v>696</v>
      </c>
      <c r="B321" s="63">
        <v>1.4790640000000001E-2</v>
      </c>
      <c r="C321" s="63">
        <v>5.3430589999999998E-3</v>
      </c>
      <c r="D321" s="63">
        <v>0</v>
      </c>
    </row>
    <row r="322" spans="1:4" x14ac:dyDescent="0.3">
      <c r="A322" s="69">
        <v>697</v>
      </c>
      <c r="B322" s="63">
        <v>1.3831319999999999E-2</v>
      </c>
      <c r="C322" s="63">
        <v>4.9957960000000003E-3</v>
      </c>
      <c r="D322" s="63">
        <v>0</v>
      </c>
    </row>
    <row r="323" spans="1:4" x14ac:dyDescent="0.3">
      <c r="A323" s="69">
        <v>698</v>
      </c>
      <c r="B323" s="63">
        <v>1.2948680000000001E-2</v>
      </c>
      <c r="C323" s="63">
        <v>4.6764040000000003E-3</v>
      </c>
      <c r="D323" s="63">
        <v>0</v>
      </c>
    </row>
    <row r="324" spans="1:4" x14ac:dyDescent="0.3">
      <c r="A324" s="69">
        <v>699</v>
      </c>
      <c r="B324" s="63">
        <v>1.21292E-2</v>
      </c>
      <c r="C324" s="63">
        <v>4.3800749999999998E-3</v>
      </c>
      <c r="D324" s="63">
        <v>0</v>
      </c>
    </row>
    <row r="325" spans="1:4" x14ac:dyDescent="0.3">
      <c r="A325" s="69">
        <v>700</v>
      </c>
      <c r="B325" s="63">
        <v>1.135916E-2</v>
      </c>
      <c r="C325" s="63">
        <v>4.1019999999999997E-3</v>
      </c>
      <c r="D325" s="63">
        <v>0</v>
      </c>
    </row>
    <row r="326" spans="1:4" x14ac:dyDescent="0.3">
      <c r="A326" s="69">
        <v>701</v>
      </c>
      <c r="B326" s="63">
        <v>1.0629349999999999E-2</v>
      </c>
      <c r="C326" s="63">
        <v>3.8384529999999999E-3</v>
      </c>
      <c r="D326" s="63">
        <v>0</v>
      </c>
    </row>
    <row r="327" spans="1:4" x14ac:dyDescent="0.3">
      <c r="A327" s="69">
        <v>702</v>
      </c>
      <c r="B327" s="63">
        <v>9.9388459999999994E-3</v>
      </c>
      <c r="C327" s="63">
        <v>3.5890990000000001E-3</v>
      </c>
      <c r="D327" s="63">
        <v>0</v>
      </c>
    </row>
    <row r="328" spans="1:4" x14ac:dyDescent="0.3">
      <c r="A328" s="69">
        <v>703</v>
      </c>
      <c r="B328" s="63">
        <v>9.2884219999999993E-3</v>
      </c>
      <c r="C328" s="63">
        <v>3.3542189999999999E-3</v>
      </c>
      <c r="D328" s="63">
        <v>0</v>
      </c>
    </row>
    <row r="329" spans="1:4" x14ac:dyDescent="0.3">
      <c r="A329" s="69">
        <v>704</v>
      </c>
      <c r="B329" s="63">
        <v>8.6788539999999997E-3</v>
      </c>
      <c r="C329" s="63">
        <v>3.1340930000000001E-3</v>
      </c>
      <c r="D329" s="63">
        <v>0</v>
      </c>
    </row>
    <row r="330" spans="1:4" x14ac:dyDescent="0.3">
      <c r="A330" s="69">
        <v>705</v>
      </c>
      <c r="B330" s="63">
        <v>8.1109159999999993E-3</v>
      </c>
      <c r="C330" s="63">
        <v>2.9290000000000002E-3</v>
      </c>
      <c r="D330" s="63">
        <v>0</v>
      </c>
    </row>
    <row r="331" spans="1:4" x14ac:dyDescent="0.3">
      <c r="A331" s="69">
        <v>706</v>
      </c>
      <c r="B331" s="63">
        <v>7.5823879999999998E-3</v>
      </c>
      <c r="C331" s="63">
        <v>2.7381390000000001E-3</v>
      </c>
      <c r="D331" s="63">
        <v>0</v>
      </c>
    </row>
    <row r="332" spans="1:4" x14ac:dyDescent="0.3">
      <c r="A332" s="69">
        <v>707</v>
      </c>
      <c r="B332" s="63">
        <v>7.0887459999999999E-3</v>
      </c>
      <c r="C332" s="63">
        <v>2.559876E-3</v>
      </c>
      <c r="D332" s="63">
        <v>0</v>
      </c>
    </row>
    <row r="333" spans="1:4" x14ac:dyDescent="0.3">
      <c r="A333" s="69">
        <v>708</v>
      </c>
      <c r="B333" s="63">
        <v>6.6273130000000001E-3</v>
      </c>
      <c r="C333" s="63">
        <v>2.3932440000000001E-3</v>
      </c>
      <c r="D333" s="63">
        <v>0</v>
      </c>
    </row>
    <row r="334" spans="1:4" x14ac:dyDescent="0.3">
      <c r="A334" s="69">
        <v>709</v>
      </c>
      <c r="B334" s="63">
        <v>6.1954080000000003E-3</v>
      </c>
      <c r="C334" s="63">
        <v>2.2372749999999999E-3</v>
      </c>
      <c r="D334" s="63">
        <v>0</v>
      </c>
    </row>
    <row r="335" spans="1:4" x14ac:dyDescent="0.3">
      <c r="A335" s="69">
        <v>710</v>
      </c>
      <c r="B335" s="63">
        <v>5.790346E-3</v>
      </c>
      <c r="C335" s="63">
        <v>2.091E-3</v>
      </c>
      <c r="D335" s="63">
        <v>0</v>
      </c>
    </row>
    <row r="336" spans="1:4" x14ac:dyDescent="0.3">
      <c r="A336" s="69">
        <v>711</v>
      </c>
      <c r="B336" s="63">
        <v>5.4098260000000004E-3</v>
      </c>
      <c r="C336" s="63">
        <v>1.9535870000000001E-3</v>
      </c>
      <c r="D336" s="63">
        <v>0</v>
      </c>
    </row>
    <row r="337" spans="1:4" x14ac:dyDescent="0.3">
      <c r="A337" s="69">
        <v>712</v>
      </c>
      <c r="B337" s="63">
        <v>5.0525830000000002E-3</v>
      </c>
      <c r="C337" s="63">
        <v>1.8245799999999999E-3</v>
      </c>
      <c r="D337" s="63">
        <v>0</v>
      </c>
    </row>
    <row r="338" spans="1:4" x14ac:dyDescent="0.3">
      <c r="A338" s="69">
        <v>713</v>
      </c>
      <c r="B338" s="63">
        <v>4.7175120000000001E-3</v>
      </c>
      <c r="C338" s="63">
        <v>1.7035799999999999E-3</v>
      </c>
      <c r="D338" s="63">
        <v>0</v>
      </c>
    </row>
    <row r="339" spans="1:4" x14ac:dyDescent="0.3">
      <c r="A339" s="69">
        <v>714</v>
      </c>
      <c r="B339" s="63">
        <v>4.4035070000000001E-3</v>
      </c>
      <c r="C339" s="63">
        <v>1.5901870000000001E-3</v>
      </c>
      <c r="D339" s="63">
        <v>0</v>
      </c>
    </row>
    <row r="340" spans="1:4" x14ac:dyDescent="0.3">
      <c r="A340" s="69">
        <v>715</v>
      </c>
      <c r="B340" s="63">
        <v>4.1094570000000004E-3</v>
      </c>
      <c r="C340" s="63">
        <v>1.4840000000000001E-3</v>
      </c>
      <c r="D340" s="63">
        <v>0</v>
      </c>
    </row>
    <row r="341" spans="1:4" x14ac:dyDescent="0.3">
      <c r="A341" s="69">
        <v>716</v>
      </c>
      <c r="B341" s="63">
        <v>3.833913E-3</v>
      </c>
      <c r="C341" s="63">
        <v>1.384496E-3</v>
      </c>
      <c r="D341" s="63">
        <v>0</v>
      </c>
    </row>
    <row r="342" spans="1:4" x14ac:dyDescent="0.3">
      <c r="A342" s="69">
        <v>717</v>
      </c>
      <c r="B342" s="63">
        <v>3.5757480000000001E-3</v>
      </c>
      <c r="C342" s="63">
        <v>1.2912679999999999E-3</v>
      </c>
      <c r="D342" s="63">
        <v>0</v>
      </c>
    </row>
    <row r="343" spans="1:4" x14ac:dyDescent="0.3">
      <c r="A343" s="69">
        <v>718</v>
      </c>
      <c r="B343" s="63">
        <v>3.3343420000000001E-3</v>
      </c>
      <c r="C343" s="63">
        <v>1.2040919999999999E-3</v>
      </c>
      <c r="D343" s="63">
        <v>0</v>
      </c>
    </row>
    <row r="344" spans="1:4" x14ac:dyDescent="0.3">
      <c r="A344" s="69">
        <v>719</v>
      </c>
      <c r="B344" s="63">
        <v>3.1090750000000002E-3</v>
      </c>
      <c r="C344" s="63">
        <v>1.122744E-3</v>
      </c>
      <c r="D344" s="63">
        <v>0</v>
      </c>
    </row>
    <row r="345" spans="1:4" x14ac:dyDescent="0.3">
      <c r="A345" s="69">
        <v>720</v>
      </c>
      <c r="B345" s="63">
        <v>2.8993270000000002E-3</v>
      </c>
      <c r="C345" s="63">
        <v>1.047E-3</v>
      </c>
      <c r="D345" s="63">
        <v>0</v>
      </c>
    </row>
    <row r="346" spans="1:4" x14ac:dyDescent="0.3">
      <c r="A346" s="69">
        <v>721</v>
      </c>
      <c r="B346" s="63">
        <v>2.7043480000000001E-3</v>
      </c>
      <c r="C346" s="63">
        <v>9.7658959999999992E-4</v>
      </c>
      <c r="D346" s="63">
        <v>0</v>
      </c>
    </row>
    <row r="347" spans="1:4" x14ac:dyDescent="0.3">
      <c r="A347" s="69">
        <v>722</v>
      </c>
      <c r="B347" s="63">
        <v>2.52302E-3</v>
      </c>
      <c r="C347" s="63">
        <v>9.1110880000000005E-4</v>
      </c>
      <c r="D347" s="63">
        <v>0</v>
      </c>
    </row>
    <row r="348" spans="1:4" x14ac:dyDescent="0.3">
      <c r="A348" s="69">
        <v>723</v>
      </c>
      <c r="B348" s="63">
        <v>2.3541679999999998E-3</v>
      </c>
      <c r="C348" s="63">
        <v>8.5013319999999995E-4</v>
      </c>
      <c r="D348" s="63">
        <v>0</v>
      </c>
    </row>
    <row r="349" spans="1:4" x14ac:dyDescent="0.3">
      <c r="A349" s="69">
        <v>724</v>
      </c>
      <c r="B349" s="63">
        <v>2.1966160000000002E-3</v>
      </c>
      <c r="C349" s="63">
        <v>7.9323839999999996E-4</v>
      </c>
      <c r="D349" s="63">
        <v>0</v>
      </c>
    </row>
    <row r="350" spans="1:4" x14ac:dyDescent="0.3">
      <c r="A350" s="69">
        <v>725</v>
      </c>
      <c r="B350" s="63">
        <v>2.0491900000000002E-3</v>
      </c>
      <c r="C350" s="63">
        <v>7.3999999999999999E-4</v>
      </c>
      <c r="D350" s="63">
        <v>0</v>
      </c>
    </row>
    <row r="351" spans="1:4" x14ac:dyDescent="0.3">
      <c r="A351" s="69">
        <v>726</v>
      </c>
      <c r="B351" s="63">
        <v>1.91096E-3</v>
      </c>
      <c r="C351" s="63">
        <v>6.9008269999999998E-4</v>
      </c>
      <c r="D351" s="63">
        <v>0</v>
      </c>
    </row>
    <row r="352" spans="1:4" x14ac:dyDescent="0.3">
      <c r="A352" s="69">
        <v>727</v>
      </c>
      <c r="B352" s="63">
        <v>1.781438E-3</v>
      </c>
      <c r="C352" s="63">
        <v>6.4331000000000002E-4</v>
      </c>
      <c r="D352" s="63">
        <v>0</v>
      </c>
    </row>
    <row r="353" spans="1:4" x14ac:dyDescent="0.3">
      <c r="A353" s="69">
        <v>728</v>
      </c>
      <c r="B353" s="63">
        <v>1.66011E-3</v>
      </c>
      <c r="C353" s="63">
        <v>5.9949600000000003E-4</v>
      </c>
      <c r="D353" s="63">
        <v>0</v>
      </c>
    </row>
    <row r="354" spans="1:4" x14ac:dyDescent="0.3">
      <c r="A354" s="69">
        <v>729</v>
      </c>
      <c r="B354" s="63">
        <v>1.546459E-3</v>
      </c>
      <c r="C354" s="63">
        <v>5.5845470000000003E-4</v>
      </c>
      <c r="D354" s="63">
        <v>0</v>
      </c>
    </row>
    <row r="355" spans="1:4" x14ac:dyDescent="0.3">
      <c r="A355" s="69">
        <v>730</v>
      </c>
      <c r="B355" s="63">
        <v>1.439971E-3</v>
      </c>
      <c r="C355" s="63">
        <v>5.1999999999999995E-4</v>
      </c>
      <c r="D355" s="63">
        <v>0</v>
      </c>
    </row>
    <row r="356" spans="1:4" x14ac:dyDescent="0.3">
      <c r="A356" s="69">
        <v>731</v>
      </c>
      <c r="B356" s="63">
        <v>1.3400420000000001E-3</v>
      </c>
      <c r="C356" s="63">
        <v>4.8391359999999997E-4</v>
      </c>
      <c r="D356" s="63">
        <v>0</v>
      </c>
    </row>
    <row r="357" spans="1:4" x14ac:dyDescent="0.3">
      <c r="A357" s="69">
        <v>732</v>
      </c>
      <c r="B357" s="63">
        <v>1.246275E-3</v>
      </c>
      <c r="C357" s="63">
        <v>4.500528E-4</v>
      </c>
      <c r="D357" s="63">
        <v>0</v>
      </c>
    </row>
    <row r="358" spans="1:4" x14ac:dyDescent="0.3">
      <c r="A358" s="69">
        <v>733</v>
      </c>
      <c r="B358" s="63">
        <v>1.1584709999999999E-3</v>
      </c>
      <c r="C358" s="63">
        <v>4.1834519999999999E-4</v>
      </c>
      <c r="D358" s="63">
        <v>0</v>
      </c>
    </row>
    <row r="359" spans="1:4" x14ac:dyDescent="0.3">
      <c r="A359" s="69">
        <v>734</v>
      </c>
      <c r="B359" s="63">
        <v>1.07643E-3</v>
      </c>
      <c r="C359" s="63">
        <v>3.887184E-4</v>
      </c>
      <c r="D359" s="63">
        <v>0</v>
      </c>
    </row>
    <row r="360" spans="1:4" x14ac:dyDescent="0.3">
      <c r="A360" s="69">
        <v>735</v>
      </c>
      <c r="B360" s="63">
        <v>9.9994930000000008E-4</v>
      </c>
      <c r="C360" s="63">
        <v>3.611E-4</v>
      </c>
      <c r="D360" s="63">
        <v>0</v>
      </c>
    </row>
    <row r="361" spans="1:4" x14ac:dyDescent="0.3">
      <c r="A361" s="69">
        <v>736</v>
      </c>
      <c r="B361" s="63">
        <v>9.2873580000000003E-4</v>
      </c>
      <c r="C361" s="63">
        <v>3.3538349999999998E-4</v>
      </c>
      <c r="D361" s="63">
        <v>0</v>
      </c>
    </row>
    <row r="362" spans="1:4" x14ac:dyDescent="0.3">
      <c r="A362" s="69">
        <v>737</v>
      </c>
      <c r="B362" s="63">
        <v>8.6243319999999997E-4</v>
      </c>
      <c r="C362" s="63">
        <v>3.1144039999999999E-4</v>
      </c>
      <c r="D362" s="63">
        <v>0</v>
      </c>
    </row>
    <row r="363" spans="1:4" x14ac:dyDescent="0.3">
      <c r="A363" s="69">
        <v>738</v>
      </c>
      <c r="B363" s="63">
        <v>8.0075030000000002E-4</v>
      </c>
      <c r="C363" s="63">
        <v>2.8916560000000002E-4</v>
      </c>
      <c r="D363" s="63">
        <v>0</v>
      </c>
    </row>
    <row r="364" spans="1:4" x14ac:dyDescent="0.3">
      <c r="A364" s="69">
        <v>739</v>
      </c>
      <c r="B364" s="63">
        <v>7.4339600000000001E-4</v>
      </c>
      <c r="C364" s="63">
        <v>2.6845390000000002E-4</v>
      </c>
      <c r="D364" s="63">
        <v>0</v>
      </c>
    </row>
    <row r="365" spans="1:4" x14ac:dyDescent="0.3">
      <c r="A365" s="69">
        <v>740</v>
      </c>
      <c r="B365" s="63">
        <v>6.9007859999999999E-4</v>
      </c>
      <c r="C365" s="63">
        <v>2.4919999999999999E-4</v>
      </c>
      <c r="D365" s="63">
        <v>0</v>
      </c>
    </row>
    <row r="366" spans="1:4" x14ac:dyDescent="0.3">
      <c r="A366" s="69">
        <v>741</v>
      </c>
      <c r="B366" s="63">
        <v>6.4051560000000002E-4</v>
      </c>
      <c r="C366" s="63">
        <v>2.3130190000000001E-4</v>
      </c>
      <c r="D366" s="63">
        <v>0</v>
      </c>
    </row>
    <row r="367" spans="1:4" x14ac:dyDescent="0.3">
      <c r="A367" s="69">
        <v>742</v>
      </c>
      <c r="B367" s="63">
        <v>5.9450210000000004E-4</v>
      </c>
      <c r="C367" s="63">
        <v>2.1468560000000001E-4</v>
      </c>
      <c r="D367" s="63">
        <v>0</v>
      </c>
    </row>
    <row r="368" spans="1:4" x14ac:dyDescent="0.3">
      <c r="A368" s="69">
        <v>743</v>
      </c>
      <c r="B368" s="63">
        <v>5.5186459999999999E-4</v>
      </c>
      <c r="C368" s="63">
        <v>1.9928839999999999E-4</v>
      </c>
      <c r="D368" s="63">
        <v>0</v>
      </c>
    </row>
    <row r="369" spans="1:4" x14ac:dyDescent="0.3">
      <c r="A369" s="69">
        <v>744</v>
      </c>
      <c r="B369" s="63">
        <v>5.1242900000000001E-4</v>
      </c>
      <c r="C369" s="63">
        <v>1.8504750000000001E-4</v>
      </c>
      <c r="D369" s="63">
        <v>0</v>
      </c>
    </row>
    <row r="370" spans="1:4" x14ac:dyDescent="0.3">
      <c r="A370" s="69">
        <v>745</v>
      </c>
      <c r="B370" s="63">
        <v>4.7602130000000002E-4</v>
      </c>
      <c r="C370" s="63">
        <v>1.719E-4</v>
      </c>
      <c r="D370" s="63">
        <v>0</v>
      </c>
    </row>
    <row r="371" spans="1:4" x14ac:dyDescent="0.3">
      <c r="A371" s="69">
        <v>746</v>
      </c>
      <c r="B371" s="63">
        <v>4.4245359999999997E-4</v>
      </c>
      <c r="C371" s="63">
        <v>1.5977809999999999E-4</v>
      </c>
      <c r="D371" s="63">
        <v>0</v>
      </c>
    </row>
    <row r="372" spans="1:4" x14ac:dyDescent="0.3">
      <c r="A372" s="69">
        <v>747</v>
      </c>
      <c r="B372" s="63">
        <v>4.1151170000000001E-4</v>
      </c>
      <c r="C372" s="63">
        <v>1.4860439999999999E-4</v>
      </c>
      <c r="D372" s="63">
        <v>0</v>
      </c>
    </row>
    <row r="373" spans="1:4" x14ac:dyDescent="0.3">
      <c r="A373" s="69">
        <v>748</v>
      </c>
      <c r="B373" s="63">
        <v>3.8298139999999999E-4</v>
      </c>
      <c r="C373" s="63">
        <v>1.383016E-4</v>
      </c>
      <c r="D373" s="63">
        <v>0</v>
      </c>
    </row>
    <row r="374" spans="1:4" x14ac:dyDescent="0.3">
      <c r="A374" s="69">
        <v>749</v>
      </c>
      <c r="B374" s="63">
        <v>3.5664909999999999E-4</v>
      </c>
      <c r="C374" s="63">
        <v>1.287925E-4</v>
      </c>
      <c r="D374" s="63">
        <v>0</v>
      </c>
    </row>
    <row r="375" spans="1:4" x14ac:dyDescent="0.3">
      <c r="A375" s="69">
        <v>750</v>
      </c>
      <c r="B375" s="63">
        <v>3.323011E-4</v>
      </c>
      <c r="C375" s="63">
        <v>1.2E-4</v>
      </c>
      <c r="D375" s="63">
        <v>0</v>
      </c>
    </row>
    <row r="376" spans="1:4" x14ac:dyDescent="0.3">
      <c r="A376" s="69">
        <v>751</v>
      </c>
      <c r="B376" s="63">
        <v>3.0975860000000003E-4</v>
      </c>
      <c r="C376" s="63">
        <v>1.118595E-4</v>
      </c>
      <c r="D376" s="63">
        <v>0</v>
      </c>
    </row>
    <row r="377" spans="1:4" x14ac:dyDescent="0.3">
      <c r="A377" s="69">
        <v>752</v>
      </c>
      <c r="B377" s="63">
        <v>2.8888710000000002E-4</v>
      </c>
      <c r="C377" s="63">
        <v>1.043224E-4</v>
      </c>
      <c r="D377" s="63">
        <v>0</v>
      </c>
    </row>
    <row r="378" spans="1:4" x14ac:dyDescent="0.3">
      <c r="A378" s="69">
        <v>753</v>
      </c>
      <c r="B378" s="63">
        <v>2.6953939999999998E-4</v>
      </c>
      <c r="C378" s="63">
        <v>9.7335600000000004E-5</v>
      </c>
      <c r="D378" s="63">
        <v>0</v>
      </c>
    </row>
    <row r="379" spans="1:4" x14ac:dyDescent="0.3">
      <c r="A379" s="69">
        <v>754</v>
      </c>
      <c r="B379" s="63">
        <v>2.5156819999999999E-4</v>
      </c>
      <c r="C379" s="63">
        <v>9.0845869999999995E-5</v>
      </c>
      <c r="D379" s="63">
        <v>0</v>
      </c>
    </row>
    <row r="380" spans="1:4" x14ac:dyDescent="0.3">
      <c r="A380" s="69">
        <v>755</v>
      </c>
      <c r="B380" s="63">
        <v>2.348261E-4</v>
      </c>
      <c r="C380" s="63">
        <v>8.4800000000000001E-5</v>
      </c>
      <c r="D380" s="63">
        <v>0</v>
      </c>
    </row>
    <row r="381" spans="1:4" x14ac:dyDescent="0.3">
      <c r="A381" s="69">
        <v>756</v>
      </c>
      <c r="B381" s="63">
        <v>2.1917099999999999E-4</v>
      </c>
      <c r="C381" s="63">
        <v>7.9146669999999997E-5</v>
      </c>
      <c r="D381" s="63">
        <v>0</v>
      </c>
    </row>
    <row r="382" spans="1:4" x14ac:dyDescent="0.3">
      <c r="A382" s="69">
        <v>757</v>
      </c>
      <c r="B382" s="63">
        <v>2.045258E-4</v>
      </c>
      <c r="C382" s="63">
        <v>7.3857999999999997E-5</v>
      </c>
      <c r="D382" s="63">
        <v>0</v>
      </c>
    </row>
    <row r="383" spans="1:4" x14ac:dyDescent="0.3">
      <c r="A383" s="69">
        <v>758</v>
      </c>
      <c r="B383" s="63">
        <v>1.9084049999999999E-4</v>
      </c>
      <c r="C383" s="63">
        <v>6.8916000000000002E-5</v>
      </c>
      <c r="D383" s="63">
        <v>0</v>
      </c>
    </row>
    <row r="384" spans="1:4" x14ac:dyDescent="0.3">
      <c r="A384" s="69">
        <v>759</v>
      </c>
      <c r="B384" s="63">
        <v>1.7806540000000001E-4</v>
      </c>
      <c r="C384" s="63">
        <v>6.4302670000000001E-5</v>
      </c>
      <c r="D384" s="63">
        <v>0</v>
      </c>
    </row>
    <row r="385" spans="1:4" x14ac:dyDescent="0.3">
      <c r="A385" s="69">
        <v>760</v>
      </c>
      <c r="B385" s="63">
        <v>1.6615050000000001E-4</v>
      </c>
      <c r="C385" s="63">
        <v>6.0000000000000002E-5</v>
      </c>
      <c r="D385" s="63">
        <v>0</v>
      </c>
    </row>
    <row r="386" spans="1:4" x14ac:dyDescent="0.3">
      <c r="A386" s="69">
        <v>761</v>
      </c>
      <c r="B386" s="63">
        <v>1.550236E-4</v>
      </c>
      <c r="C386" s="63">
        <v>5.5981869999999998E-5</v>
      </c>
      <c r="D386" s="63">
        <v>0</v>
      </c>
    </row>
    <row r="387" spans="1:4" x14ac:dyDescent="0.3">
      <c r="A387" s="69">
        <v>762</v>
      </c>
      <c r="B387" s="63">
        <v>1.4462190000000001E-4</v>
      </c>
      <c r="C387" s="63">
        <v>5.2225599999999997E-5</v>
      </c>
      <c r="D387" s="63">
        <v>0</v>
      </c>
    </row>
    <row r="388" spans="1:4" x14ac:dyDescent="0.3">
      <c r="A388" s="69">
        <v>763</v>
      </c>
      <c r="B388" s="63">
        <v>1.3490980000000001E-4</v>
      </c>
      <c r="C388" s="63">
        <v>4.8718399999999998E-5</v>
      </c>
      <c r="D388" s="63">
        <v>0</v>
      </c>
    </row>
    <row r="389" spans="1:4" x14ac:dyDescent="0.3">
      <c r="A389" s="69">
        <v>764</v>
      </c>
      <c r="B389" s="63">
        <v>1.25852E-4</v>
      </c>
      <c r="C389" s="63">
        <v>4.5447469999999999E-5</v>
      </c>
      <c r="D389" s="63">
        <v>0</v>
      </c>
    </row>
    <row r="390" spans="1:4" x14ac:dyDescent="0.3">
      <c r="A390" s="69">
        <v>765</v>
      </c>
      <c r="B390" s="63">
        <v>1.17413E-4</v>
      </c>
      <c r="C390" s="63">
        <v>4.2400000000000001E-5</v>
      </c>
      <c r="D390" s="63">
        <v>0</v>
      </c>
    </row>
    <row r="391" spans="1:4" x14ac:dyDescent="0.3">
      <c r="A391" s="69">
        <v>766</v>
      </c>
      <c r="B391" s="63">
        <v>1.095515E-4</v>
      </c>
      <c r="C391" s="63">
        <v>3.9561039999999999E-5</v>
      </c>
      <c r="D391" s="63">
        <v>0</v>
      </c>
    </row>
    <row r="392" spans="1:4" x14ac:dyDescent="0.3">
      <c r="A392" s="69">
        <v>767</v>
      </c>
      <c r="B392" s="63">
        <v>1.022245E-4</v>
      </c>
      <c r="C392" s="63">
        <v>3.6915120000000003E-5</v>
      </c>
      <c r="D392" s="63">
        <v>0</v>
      </c>
    </row>
    <row r="393" spans="1:4" x14ac:dyDescent="0.3">
      <c r="A393" s="69">
        <v>768</v>
      </c>
      <c r="B393" s="63">
        <v>9.5394450000000006E-5</v>
      </c>
      <c r="C393" s="63">
        <v>3.444868E-5</v>
      </c>
      <c r="D393" s="63">
        <v>0</v>
      </c>
    </row>
    <row r="394" spans="1:4" x14ac:dyDescent="0.3">
      <c r="A394" s="69">
        <v>769</v>
      </c>
      <c r="B394" s="63">
        <v>8.90239E-5</v>
      </c>
      <c r="C394" s="63">
        <v>3.2148160000000002E-5</v>
      </c>
      <c r="D394" s="63">
        <v>0</v>
      </c>
    </row>
    <row r="395" spans="1:4" x14ac:dyDescent="0.3">
      <c r="A395" s="69">
        <v>770</v>
      </c>
      <c r="B395" s="63">
        <v>8.3075270000000005E-5</v>
      </c>
      <c r="C395" s="63">
        <v>3.0000000000000001E-5</v>
      </c>
      <c r="D395" s="63">
        <v>0</v>
      </c>
    </row>
    <row r="396" spans="1:4" x14ac:dyDescent="0.3">
      <c r="A396" s="69">
        <v>771</v>
      </c>
      <c r="B396" s="63">
        <v>7.7512689999999993E-5</v>
      </c>
      <c r="C396" s="63">
        <v>2.7991250000000001E-5</v>
      </c>
      <c r="D396" s="63">
        <v>0</v>
      </c>
    </row>
    <row r="397" spans="1:4" x14ac:dyDescent="0.3">
      <c r="A397" s="69">
        <v>772</v>
      </c>
      <c r="B397" s="63">
        <v>7.231304E-5</v>
      </c>
      <c r="C397" s="63">
        <v>2.6113560000000001E-5</v>
      </c>
      <c r="D397" s="63">
        <v>0</v>
      </c>
    </row>
    <row r="398" spans="1:4" x14ac:dyDescent="0.3">
      <c r="A398" s="69">
        <v>773</v>
      </c>
      <c r="B398" s="63">
        <v>6.7457780000000002E-5</v>
      </c>
      <c r="C398" s="63">
        <v>2.436024E-5</v>
      </c>
      <c r="D398" s="63">
        <v>0</v>
      </c>
    </row>
    <row r="399" spans="1:4" x14ac:dyDescent="0.3">
      <c r="A399" s="69">
        <v>774</v>
      </c>
      <c r="B399" s="63">
        <v>6.2928439999999995E-5</v>
      </c>
      <c r="C399" s="63">
        <v>2.272461E-5</v>
      </c>
      <c r="D399" s="63">
        <v>0</v>
      </c>
    </row>
    <row r="400" spans="1:4" x14ac:dyDescent="0.3">
      <c r="A400" s="69">
        <v>775</v>
      </c>
      <c r="B400" s="63">
        <v>5.8706519999999999E-5</v>
      </c>
      <c r="C400" s="63">
        <v>2.12E-5</v>
      </c>
      <c r="D400" s="63">
        <v>0</v>
      </c>
    </row>
    <row r="401" spans="1:4" x14ac:dyDescent="0.3">
      <c r="A401" s="69">
        <v>776</v>
      </c>
      <c r="B401" s="63">
        <v>5.4770279999999998E-5</v>
      </c>
      <c r="C401" s="63">
        <v>1.9778550000000001E-5</v>
      </c>
      <c r="D401" s="63">
        <v>0</v>
      </c>
    </row>
    <row r="402" spans="1:4" x14ac:dyDescent="0.3">
      <c r="A402" s="69">
        <v>777</v>
      </c>
      <c r="B402" s="63">
        <v>5.1099179999999999E-5</v>
      </c>
      <c r="C402" s="63">
        <v>1.8452850000000001E-5</v>
      </c>
      <c r="D402" s="63">
        <v>0</v>
      </c>
    </row>
    <row r="403" spans="1:4" x14ac:dyDescent="0.3">
      <c r="A403" s="69">
        <v>778</v>
      </c>
      <c r="B403" s="63">
        <v>4.7676539999999999E-5</v>
      </c>
      <c r="C403" s="63">
        <v>1.7216869999999999E-5</v>
      </c>
      <c r="D403" s="63">
        <v>0</v>
      </c>
    </row>
    <row r="404" spans="1:4" x14ac:dyDescent="0.3">
      <c r="A404" s="69">
        <v>779</v>
      </c>
      <c r="B404" s="63">
        <v>4.4485669999999998E-5</v>
      </c>
      <c r="C404" s="63">
        <v>1.6064590000000001E-5</v>
      </c>
      <c r="D404" s="63">
        <v>0</v>
      </c>
    </row>
    <row r="405" spans="1:4" x14ac:dyDescent="0.3">
      <c r="A405" s="69">
        <v>780</v>
      </c>
      <c r="B405" s="63">
        <v>4.1509940000000003E-5</v>
      </c>
      <c r="C405" s="63">
        <v>1.499E-5</v>
      </c>
      <c r="D405" s="63">
        <v>0</v>
      </c>
    </row>
  </sheetData>
  <customSheetViews>
    <customSheetView guid="{90ADABFE-445D-4DCD-B9A1-AF8CF7BB6FDB}">
      <selection activeCell="N14" sqref="N14"/>
      <pageMargins left="0.7" right="0.7" top="0.75" bottom="0.75" header="0.3" footer="0.3"/>
      <pageSetup orientation="portrait" horizontalDpi="1200" verticalDpi="1200" r:id="rId1"/>
    </customSheetView>
  </customSheetViews>
  <mergeCells count="2">
    <mergeCell ref="A3:D3"/>
    <mergeCell ref="F3:H3"/>
  </mergeCells>
  <pageMargins left="0.7" right="0.7" top="0.75" bottom="0.75" header="0.3" footer="0.3"/>
  <pageSetup orientation="portrait" horizontalDpi="1200" verticalDpi="1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406"/>
  <sheetViews>
    <sheetView tabSelected="1" workbookViewId="0">
      <selection activeCell="K9" sqref="K9"/>
    </sheetView>
  </sheetViews>
  <sheetFormatPr defaultColWidth="9.109375" defaultRowHeight="14.4" x14ac:dyDescent="0.3"/>
  <cols>
    <col min="3" max="3" width="10.44140625" customWidth="1"/>
    <col min="5" max="13" width="9.109375" customWidth="1"/>
  </cols>
  <sheetData>
    <row r="1" spans="1:13" s="148" customFormat="1" x14ac:dyDescent="0.3">
      <c r="A1" s="269" t="s">
        <v>143</v>
      </c>
      <c r="B1" s="269"/>
      <c r="C1" s="269"/>
      <c r="D1" s="269"/>
      <c r="E1" s="269"/>
      <c r="F1" s="269"/>
      <c r="G1" s="269"/>
      <c r="H1" s="269"/>
      <c r="I1" s="269"/>
      <c r="J1" s="269"/>
      <c r="K1" s="269"/>
      <c r="L1" s="269"/>
      <c r="M1" s="269"/>
    </row>
    <row r="2" spans="1:13" s="148" customFormat="1" x14ac:dyDescent="0.3">
      <c r="A2" s="175" t="s">
        <v>142</v>
      </c>
      <c r="B2" s="270"/>
      <c r="C2" s="270"/>
      <c r="D2" s="270"/>
      <c r="E2" s="270"/>
      <c r="F2" s="270"/>
      <c r="G2" s="175"/>
      <c r="H2" s="175"/>
      <c r="I2" s="175"/>
      <c r="J2" s="175"/>
      <c r="K2" s="175"/>
      <c r="L2" s="175"/>
      <c r="M2" s="175"/>
    </row>
    <row r="3" spans="1:13" s="148" customFormat="1" x14ac:dyDescent="0.3">
      <c r="A3" s="175"/>
      <c r="B3" s="175">
        <f>'INIT-File+Corr'!O15</f>
        <v>415</v>
      </c>
      <c r="C3" s="175">
        <f>'INIT-File+Corr'!P15</f>
        <v>445</v>
      </c>
      <c r="D3" s="175">
        <f>'INIT-File+Corr'!Q15</f>
        <v>480</v>
      </c>
      <c r="E3" s="175">
        <f>'INIT-File+Corr'!R15</f>
        <v>515</v>
      </c>
      <c r="F3" s="175">
        <f>'INIT-File+Corr'!S15</f>
        <v>555</v>
      </c>
      <c r="G3" s="175">
        <f>'INIT-File+Corr'!T15</f>
        <v>590</v>
      </c>
      <c r="H3" s="175">
        <f>'INIT-File+Corr'!U15</f>
        <v>630</v>
      </c>
      <c r="I3" s="175">
        <f>'INIT-File+Corr'!V15</f>
        <v>680</v>
      </c>
      <c r="J3" s="175">
        <f>'INIT-File+Corr'!W15</f>
        <v>750</v>
      </c>
      <c r="K3" s="175">
        <f>'INIT-File+Corr'!X15</f>
        <v>900</v>
      </c>
      <c r="L3" s="175"/>
      <c r="M3" s="175"/>
    </row>
    <row r="4" spans="1:13" s="148" customFormat="1" x14ac:dyDescent="0.3">
      <c r="A4" s="174" t="s">
        <v>141</v>
      </c>
      <c r="B4" s="173" t="s">
        <v>140</v>
      </c>
      <c r="C4" s="173" t="s">
        <v>139</v>
      </c>
      <c r="D4" s="173" t="s">
        <v>138</v>
      </c>
      <c r="E4" s="173" t="s">
        <v>137</v>
      </c>
      <c r="F4" s="173" t="s">
        <v>136</v>
      </c>
      <c r="G4" s="173" t="s">
        <v>135</v>
      </c>
      <c r="H4" s="173" t="s">
        <v>134</v>
      </c>
      <c r="I4" s="173" t="s">
        <v>133</v>
      </c>
      <c r="J4" s="173" t="s">
        <v>132</v>
      </c>
      <c r="K4" s="173" t="s">
        <v>131</v>
      </c>
      <c r="L4" s="173" t="s">
        <v>130</v>
      </c>
      <c r="M4" s="173" t="s">
        <v>129</v>
      </c>
    </row>
    <row r="5" spans="1:13" x14ac:dyDescent="0.3">
      <c r="A5">
        <v>300</v>
      </c>
      <c r="B5">
        <v>0</v>
      </c>
      <c r="C5">
        <v>0</v>
      </c>
      <c r="D5">
        <v>0</v>
      </c>
      <c r="E5">
        <v>0</v>
      </c>
      <c r="F5">
        <v>0</v>
      </c>
      <c r="G5">
        <v>0</v>
      </c>
      <c r="H5">
        <v>0</v>
      </c>
      <c r="I5">
        <v>0</v>
      </c>
      <c r="J5">
        <v>0</v>
      </c>
      <c r="K5">
        <v>0</v>
      </c>
      <c r="L5">
        <v>0</v>
      </c>
      <c r="M5">
        <v>0</v>
      </c>
    </row>
    <row r="6" spans="1:13" x14ac:dyDescent="0.3">
      <c r="A6">
        <v>302</v>
      </c>
      <c r="B6">
        <v>0</v>
      </c>
      <c r="C6">
        <v>0</v>
      </c>
      <c r="D6">
        <v>0</v>
      </c>
      <c r="E6">
        <v>0</v>
      </c>
      <c r="F6">
        <v>0</v>
      </c>
      <c r="G6">
        <v>0</v>
      </c>
      <c r="H6">
        <v>0</v>
      </c>
      <c r="I6">
        <v>0</v>
      </c>
      <c r="J6">
        <v>0</v>
      </c>
      <c r="K6">
        <v>0</v>
      </c>
      <c r="L6">
        <v>0</v>
      </c>
      <c r="M6">
        <v>0</v>
      </c>
    </row>
    <row r="7" spans="1:13" x14ac:dyDescent="0.3">
      <c r="A7">
        <v>304</v>
      </c>
      <c r="B7">
        <v>0</v>
      </c>
      <c r="C7">
        <v>0</v>
      </c>
      <c r="D7">
        <v>0</v>
      </c>
      <c r="E7">
        <v>0</v>
      </c>
      <c r="F7">
        <v>0</v>
      </c>
      <c r="G7">
        <v>0</v>
      </c>
      <c r="H7">
        <v>0</v>
      </c>
      <c r="I7">
        <v>0</v>
      </c>
      <c r="J7">
        <v>0</v>
      </c>
      <c r="K7">
        <v>0</v>
      </c>
      <c r="L7">
        <v>0</v>
      </c>
      <c r="M7">
        <v>0</v>
      </c>
    </row>
    <row r="8" spans="1:13" x14ac:dyDescent="0.3">
      <c r="A8">
        <v>306</v>
      </c>
      <c r="B8">
        <v>0</v>
      </c>
      <c r="C8">
        <v>0</v>
      </c>
      <c r="D8">
        <v>0</v>
      </c>
      <c r="E8">
        <v>0</v>
      </c>
      <c r="F8">
        <v>0</v>
      </c>
      <c r="G8">
        <v>0</v>
      </c>
      <c r="H8">
        <v>0</v>
      </c>
      <c r="I8">
        <v>0</v>
      </c>
      <c r="J8">
        <v>0</v>
      </c>
      <c r="K8">
        <v>0</v>
      </c>
      <c r="L8">
        <v>0</v>
      </c>
      <c r="M8">
        <v>0</v>
      </c>
    </row>
    <row r="9" spans="1:13" x14ac:dyDescent="0.3">
      <c r="A9">
        <v>308</v>
      </c>
      <c r="B9">
        <v>0</v>
      </c>
      <c r="C9">
        <v>0</v>
      </c>
      <c r="D9">
        <v>0</v>
      </c>
      <c r="E9">
        <v>0</v>
      </c>
      <c r="F9">
        <v>0</v>
      </c>
      <c r="G9">
        <v>0</v>
      </c>
      <c r="H9">
        <v>0</v>
      </c>
      <c r="I9">
        <v>0</v>
      </c>
      <c r="J9">
        <v>0</v>
      </c>
      <c r="K9">
        <v>0</v>
      </c>
      <c r="L9">
        <v>0</v>
      </c>
      <c r="M9">
        <v>0</v>
      </c>
    </row>
    <row r="10" spans="1:13" x14ac:dyDescent="0.3">
      <c r="A10">
        <v>310</v>
      </c>
      <c r="B10">
        <v>0</v>
      </c>
      <c r="C10">
        <v>0</v>
      </c>
      <c r="D10">
        <v>0</v>
      </c>
      <c r="E10">
        <v>0</v>
      </c>
      <c r="F10">
        <v>0</v>
      </c>
      <c r="G10">
        <v>0</v>
      </c>
      <c r="H10">
        <v>0</v>
      </c>
      <c r="I10">
        <v>0</v>
      </c>
      <c r="J10">
        <v>0</v>
      </c>
      <c r="K10">
        <v>0</v>
      </c>
      <c r="L10">
        <v>0</v>
      </c>
      <c r="M10">
        <v>0</v>
      </c>
    </row>
    <row r="11" spans="1:13" x14ac:dyDescent="0.3">
      <c r="A11">
        <v>312</v>
      </c>
      <c r="B11">
        <v>0</v>
      </c>
      <c r="C11">
        <v>0</v>
      </c>
      <c r="D11">
        <v>0</v>
      </c>
      <c r="E11">
        <v>0</v>
      </c>
      <c r="F11">
        <v>0</v>
      </c>
      <c r="G11">
        <v>0</v>
      </c>
      <c r="H11">
        <v>0</v>
      </c>
      <c r="I11">
        <v>0</v>
      </c>
      <c r="J11">
        <v>0</v>
      </c>
      <c r="K11">
        <v>0</v>
      </c>
      <c r="L11">
        <v>0</v>
      </c>
      <c r="M11">
        <v>0</v>
      </c>
    </row>
    <row r="12" spans="1:13" x14ac:dyDescent="0.3">
      <c r="A12">
        <v>314</v>
      </c>
      <c r="B12">
        <v>0</v>
      </c>
      <c r="C12">
        <v>0</v>
      </c>
      <c r="D12">
        <v>0</v>
      </c>
      <c r="E12">
        <v>0</v>
      </c>
      <c r="F12">
        <v>0</v>
      </c>
      <c r="G12">
        <v>0</v>
      </c>
      <c r="H12">
        <v>0</v>
      </c>
      <c r="I12">
        <v>0</v>
      </c>
      <c r="J12">
        <v>0</v>
      </c>
      <c r="K12">
        <v>0</v>
      </c>
      <c r="L12">
        <v>0</v>
      </c>
      <c r="M12">
        <v>0</v>
      </c>
    </row>
    <row r="13" spans="1:13" x14ac:dyDescent="0.3">
      <c r="A13">
        <v>316</v>
      </c>
      <c r="B13">
        <v>0</v>
      </c>
      <c r="C13">
        <v>0</v>
      </c>
      <c r="D13">
        <v>0</v>
      </c>
      <c r="E13">
        <v>0</v>
      </c>
      <c r="F13">
        <v>0</v>
      </c>
      <c r="G13">
        <v>0</v>
      </c>
      <c r="H13">
        <v>0</v>
      </c>
      <c r="I13">
        <v>0</v>
      </c>
      <c r="J13">
        <v>0</v>
      </c>
      <c r="K13">
        <v>0</v>
      </c>
      <c r="L13">
        <v>0</v>
      </c>
      <c r="M13">
        <v>0</v>
      </c>
    </row>
    <row r="14" spans="1:13" x14ac:dyDescent="0.3">
      <c r="A14">
        <v>318</v>
      </c>
      <c r="B14">
        <v>0</v>
      </c>
      <c r="C14">
        <v>0</v>
      </c>
      <c r="D14">
        <v>0</v>
      </c>
      <c r="E14">
        <v>0</v>
      </c>
      <c r="F14">
        <v>0</v>
      </c>
      <c r="G14">
        <v>0</v>
      </c>
      <c r="H14">
        <v>0</v>
      </c>
      <c r="I14">
        <v>0</v>
      </c>
      <c r="J14">
        <v>0</v>
      </c>
      <c r="K14">
        <v>0</v>
      </c>
      <c r="L14">
        <v>0</v>
      </c>
      <c r="M14">
        <v>0</v>
      </c>
    </row>
    <row r="15" spans="1:13" x14ac:dyDescent="0.3">
      <c r="A15">
        <v>320</v>
      </c>
      <c r="B15">
        <v>0</v>
      </c>
      <c r="C15">
        <v>0</v>
      </c>
      <c r="D15">
        <v>0</v>
      </c>
      <c r="E15">
        <v>0</v>
      </c>
      <c r="F15">
        <v>0</v>
      </c>
      <c r="G15">
        <v>0</v>
      </c>
      <c r="H15">
        <v>0</v>
      </c>
      <c r="I15">
        <v>0</v>
      </c>
      <c r="J15">
        <v>0</v>
      </c>
      <c r="K15">
        <v>0</v>
      </c>
      <c r="L15">
        <v>0</v>
      </c>
      <c r="M15">
        <v>0</v>
      </c>
    </row>
    <row r="16" spans="1:13" x14ac:dyDescent="0.3">
      <c r="A16">
        <v>322</v>
      </c>
      <c r="B16">
        <v>0</v>
      </c>
      <c r="C16">
        <v>0</v>
      </c>
      <c r="D16">
        <v>0</v>
      </c>
      <c r="E16">
        <v>0</v>
      </c>
      <c r="F16">
        <v>0</v>
      </c>
      <c r="G16">
        <v>0</v>
      </c>
      <c r="H16">
        <v>0</v>
      </c>
      <c r="I16">
        <v>0</v>
      </c>
      <c r="J16">
        <v>0</v>
      </c>
      <c r="K16">
        <v>0</v>
      </c>
      <c r="L16">
        <v>0</v>
      </c>
      <c r="M16">
        <v>0</v>
      </c>
    </row>
    <row r="17" spans="1:13" x14ac:dyDescent="0.3">
      <c r="A17">
        <v>324</v>
      </c>
      <c r="B17">
        <v>0</v>
      </c>
      <c r="C17">
        <v>0</v>
      </c>
      <c r="D17">
        <v>0</v>
      </c>
      <c r="E17">
        <v>0</v>
      </c>
      <c r="F17">
        <v>0</v>
      </c>
      <c r="G17">
        <v>0</v>
      </c>
      <c r="H17">
        <v>0</v>
      </c>
      <c r="I17">
        <v>0</v>
      </c>
      <c r="J17">
        <v>0</v>
      </c>
      <c r="K17">
        <v>0</v>
      </c>
      <c r="L17">
        <v>0</v>
      </c>
      <c r="M17">
        <v>0</v>
      </c>
    </row>
    <row r="18" spans="1:13" x14ac:dyDescent="0.3">
      <c r="A18">
        <v>326</v>
      </c>
      <c r="B18">
        <v>0</v>
      </c>
      <c r="C18">
        <v>0</v>
      </c>
      <c r="D18">
        <v>0</v>
      </c>
      <c r="E18">
        <v>0</v>
      </c>
      <c r="F18">
        <v>0</v>
      </c>
      <c r="G18">
        <v>0</v>
      </c>
      <c r="H18">
        <v>0</v>
      </c>
      <c r="I18">
        <v>0</v>
      </c>
      <c r="J18">
        <v>0</v>
      </c>
      <c r="K18">
        <v>0</v>
      </c>
      <c r="L18">
        <v>0</v>
      </c>
      <c r="M18">
        <v>0</v>
      </c>
    </row>
    <row r="19" spans="1:13" x14ac:dyDescent="0.3">
      <c r="A19">
        <v>328</v>
      </c>
      <c r="B19">
        <v>0</v>
      </c>
      <c r="C19">
        <v>0</v>
      </c>
      <c r="D19">
        <v>0</v>
      </c>
      <c r="E19">
        <v>0</v>
      </c>
      <c r="F19">
        <v>0</v>
      </c>
      <c r="G19">
        <v>0</v>
      </c>
      <c r="H19">
        <v>0</v>
      </c>
      <c r="I19">
        <v>0</v>
      </c>
      <c r="J19">
        <v>0</v>
      </c>
      <c r="K19">
        <v>0</v>
      </c>
      <c r="L19">
        <v>0</v>
      </c>
      <c r="M19">
        <v>0</v>
      </c>
    </row>
    <row r="20" spans="1:13" x14ac:dyDescent="0.3">
      <c r="A20">
        <v>330</v>
      </c>
      <c r="B20">
        <v>0</v>
      </c>
      <c r="C20">
        <v>0</v>
      </c>
      <c r="D20">
        <v>0</v>
      </c>
      <c r="E20">
        <v>0</v>
      </c>
      <c r="F20">
        <v>0</v>
      </c>
      <c r="G20">
        <v>0</v>
      </c>
      <c r="H20">
        <v>0</v>
      </c>
      <c r="I20">
        <v>0</v>
      </c>
      <c r="J20">
        <v>0</v>
      </c>
      <c r="K20">
        <v>0</v>
      </c>
      <c r="L20">
        <v>0</v>
      </c>
      <c r="M20">
        <v>0</v>
      </c>
    </row>
    <row r="21" spans="1:13" x14ac:dyDescent="0.3">
      <c r="A21">
        <v>332</v>
      </c>
      <c r="B21">
        <v>0</v>
      </c>
      <c r="C21">
        <v>0</v>
      </c>
      <c r="D21">
        <v>0</v>
      </c>
      <c r="E21">
        <v>0</v>
      </c>
      <c r="F21">
        <v>0</v>
      </c>
      <c r="G21">
        <v>0</v>
      </c>
      <c r="H21">
        <v>0</v>
      </c>
      <c r="I21">
        <v>0</v>
      </c>
      <c r="J21">
        <v>0</v>
      </c>
      <c r="K21">
        <v>0</v>
      </c>
      <c r="L21">
        <v>0</v>
      </c>
      <c r="M21">
        <v>0</v>
      </c>
    </row>
    <row r="22" spans="1:13" x14ac:dyDescent="0.3">
      <c r="A22">
        <v>334</v>
      </c>
      <c r="B22">
        <v>0</v>
      </c>
      <c r="C22">
        <v>0</v>
      </c>
      <c r="D22">
        <v>0</v>
      </c>
      <c r="E22">
        <v>0</v>
      </c>
      <c r="F22">
        <v>0</v>
      </c>
      <c r="G22">
        <v>0</v>
      </c>
      <c r="H22">
        <v>0</v>
      </c>
      <c r="I22">
        <v>0</v>
      </c>
      <c r="J22">
        <v>0</v>
      </c>
      <c r="K22">
        <v>0</v>
      </c>
      <c r="L22">
        <v>0</v>
      </c>
      <c r="M22">
        <v>0</v>
      </c>
    </row>
    <row r="23" spans="1:13" x14ac:dyDescent="0.3">
      <c r="A23">
        <v>336</v>
      </c>
      <c r="B23">
        <v>0</v>
      </c>
      <c r="C23">
        <v>0</v>
      </c>
      <c r="D23">
        <v>0</v>
      </c>
      <c r="E23">
        <v>0</v>
      </c>
      <c r="F23">
        <v>0</v>
      </c>
      <c r="G23">
        <v>0</v>
      </c>
      <c r="H23">
        <v>0</v>
      </c>
      <c r="I23">
        <v>0</v>
      </c>
      <c r="J23">
        <v>0</v>
      </c>
      <c r="K23">
        <v>0</v>
      </c>
      <c r="L23">
        <v>0</v>
      </c>
      <c r="M23">
        <v>0</v>
      </c>
    </row>
    <row r="24" spans="1:13" x14ac:dyDescent="0.3">
      <c r="A24">
        <v>338</v>
      </c>
      <c r="B24">
        <v>0</v>
      </c>
      <c r="C24">
        <v>0</v>
      </c>
      <c r="D24">
        <v>0</v>
      </c>
      <c r="E24">
        <v>0</v>
      </c>
      <c r="F24">
        <v>0</v>
      </c>
      <c r="G24">
        <v>0</v>
      </c>
      <c r="H24">
        <v>0</v>
      </c>
      <c r="I24">
        <v>0</v>
      </c>
      <c r="J24">
        <v>0</v>
      </c>
      <c r="K24">
        <v>0</v>
      </c>
      <c r="L24">
        <v>0</v>
      </c>
      <c r="M24">
        <v>0</v>
      </c>
    </row>
    <row r="25" spans="1:13" x14ac:dyDescent="0.3">
      <c r="A25">
        <v>340</v>
      </c>
      <c r="B25">
        <v>0</v>
      </c>
      <c r="C25">
        <v>0</v>
      </c>
      <c r="D25">
        <v>0</v>
      </c>
      <c r="E25">
        <v>0</v>
      </c>
      <c r="F25">
        <v>0</v>
      </c>
      <c r="G25">
        <v>0</v>
      </c>
      <c r="H25">
        <v>0</v>
      </c>
      <c r="I25">
        <v>0</v>
      </c>
      <c r="J25">
        <v>0</v>
      </c>
      <c r="K25">
        <v>0</v>
      </c>
      <c r="L25">
        <v>0</v>
      </c>
      <c r="M25">
        <v>0</v>
      </c>
    </row>
    <row r="26" spans="1:13" x14ac:dyDescent="0.3">
      <c r="A26">
        <v>342</v>
      </c>
      <c r="B26">
        <v>0</v>
      </c>
      <c r="C26">
        <v>0</v>
      </c>
      <c r="D26">
        <v>0</v>
      </c>
      <c r="E26">
        <v>0</v>
      </c>
      <c r="F26">
        <v>0</v>
      </c>
      <c r="G26">
        <v>0</v>
      </c>
      <c r="H26">
        <v>0</v>
      </c>
      <c r="I26">
        <v>0</v>
      </c>
      <c r="J26">
        <v>0</v>
      </c>
      <c r="K26">
        <v>0</v>
      </c>
      <c r="L26">
        <v>0</v>
      </c>
      <c r="M26">
        <v>0</v>
      </c>
    </row>
    <row r="27" spans="1:13" x14ac:dyDescent="0.3">
      <c r="A27">
        <v>344</v>
      </c>
      <c r="B27">
        <v>0</v>
      </c>
      <c r="C27">
        <v>0</v>
      </c>
      <c r="D27">
        <v>0</v>
      </c>
      <c r="E27">
        <v>0</v>
      </c>
      <c r="F27">
        <v>0</v>
      </c>
      <c r="G27">
        <v>0</v>
      </c>
      <c r="H27">
        <v>0</v>
      </c>
      <c r="I27">
        <v>0</v>
      </c>
      <c r="J27">
        <v>0</v>
      </c>
      <c r="K27">
        <v>0</v>
      </c>
      <c r="L27">
        <v>0</v>
      </c>
      <c r="M27">
        <v>0</v>
      </c>
    </row>
    <row r="28" spans="1:13" x14ac:dyDescent="0.3">
      <c r="A28">
        <v>346</v>
      </c>
      <c r="B28">
        <v>0</v>
      </c>
      <c r="C28">
        <v>0</v>
      </c>
      <c r="D28">
        <v>0</v>
      </c>
      <c r="E28">
        <v>0</v>
      </c>
      <c r="F28">
        <v>0</v>
      </c>
      <c r="G28">
        <v>0</v>
      </c>
      <c r="H28">
        <v>0</v>
      </c>
      <c r="I28">
        <v>0</v>
      </c>
      <c r="J28">
        <v>0</v>
      </c>
      <c r="K28">
        <v>0</v>
      </c>
      <c r="L28">
        <v>0</v>
      </c>
      <c r="M28">
        <v>0</v>
      </c>
    </row>
    <row r="29" spans="1:13" x14ac:dyDescent="0.3">
      <c r="A29">
        <v>348</v>
      </c>
      <c r="B29">
        <v>0</v>
      </c>
      <c r="C29">
        <v>0</v>
      </c>
      <c r="D29">
        <v>0</v>
      </c>
      <c r="E29">
        <v>0</v>
      </c>
      <c r="F29">
        <v>0</v>
      </c>
      <c r="G29">
        <v>0</v>
      </c>
      <c r="H29">
        <v>0</v>
      </c>
      <c r="I29">
        <v>0</v>
      </c>
      <c r="J29">
        <v>0</v>
      </c>
      <c r="K29">
        <v>0</v>
      </c>
      <c r="L29">
        <v>0</v>
      </c>
      <c r="M29">
        <v>0</v>
      </c>
    </row>
    <row r="30" spans="1:13" x14ac:dyDescent="0.3">
      <c r="A30">
        <v>350</v>
      </c>
      <c r="B30">
        <v>0</v>
      </c>
      <c r="C30">
        <v>0</v>
      </c>
      <c r="D30">
        <v>0</v>
      </c>
      <c r="E30">
        <v>0</v>
      </c>
      <c r="F30">
        <v>0</v>
      </c>
      <c r="G30">
        <v>0</v>
      </c>
      <c r="H30">
        <v>0</v>
      </c>
      <c r="I30">
        <v>0</v>
      </c>
      <c r="J30">
        <v>0</v>
      </c>
      <c r="K30">
        <v>0</v>
      </c>
      <c r="L30">
        <v>0</v>
      </c>
      <c r="M30">
        <v>0</v>
      </c>
    </row>
    <row r="31" spans="1:13" x14ac:dyDescent="0.3">
      <c r="A31">
        <v>352</v>
      </c>
      <c r="B31">
        <v>0</v>
      </c>
      <c r="C31">
        <v>0</v>
      </c>
      <c r="D31">
        <v>0</v>
      </c>
      <c r="E31">
        <v>0</v>
      </c>
      <c r="F31">
        <v>0</v>
      </c>
      <c r="G31">
        <v>0</v>
      </c>
      <c r="H31">
        <v>0</v>
      </c>
      <c r="I31">
        <v>0</v>
      </c>
      <c r="J31">
        <v>0</v>
      </c>
      <c r="K31">
        <v>0</v>
      </c>
      <c r="L31">
        <v>0</v>
      </c>
      <c r="M31">
        <v>0</v>
      </c>
    </row>
    <row r="32" spans="1:13" x14ac:dyDescent="0.3">
      <c r="A32">
        <v>354</v>
      </c>
      <c r="B32">
        <v>0</v>
      </c>
      <c r="C32">
        <v>0</v>
      </c>
      <c r="D32">
        <v>0</v>
      </c>
      <c r="E32">
        <v>0</v>
      </c>
      <c r="F32">
        <v>0</v>
      </c>
      <c r="G32">
        <v>0</v>
      </c>
      <c r="H32">
        <v>0</v>
      </c>
      <c r="I32">
        <v>0</v>
      </c>
      <c r="J32">
        <v>0</v>
      </c>
      <c r="K32">
        <v>0</v>
      </c>
      <c r="L32">
        <v>0</v>
      </c>
      <c r="M32">
        <v>0</v>
      </c>
    </row>
    <row r="33" spans="1:13" x14ac:dyDescent="0.3">
      <c r="A33">
        <v>356</v>
      </c>
      <c r="B33">
        <v>0</v>
      </c>
      <c r="C33">
        <v>0</v>
      </c>
      <c r="D33">
        <v>0</v>
      </c>
      <c r="E33">
        <v>0</v>
      </c>
      <c r="F33">
        <v>0</v>
      </c>
      <c r="G33">
        <v>0</v>
      </c>
      <c r="H33">
        <v>0</v>
      </c>
      <c r="I33">
        <v>0</v>
      </c>
      <c r="J33">
        <v>0</v>
      </c>
      <c r="K33">
        <v>0</v>
      </c>
      <c r="L33">
        <v>0</v>
      </c>
      <c r="M33">
        <v>0</v>
      </c>
    </row>
    <row r="34" spans="1:13" x14ac:dyDescent="0.3">
      <c r="A34">
        <v>358</v>
      </c>
      <c r="B34">
        <v>0</v>
      </c>
      <c r="C34">
        <v>0</v>
      </c>
      <c r="D34">
        <v>0</v>
      </c>
      <c r="E34">
        <v>0</v>
      </c>
      <c r="F34">
        <v>0</v>
      </c>
      <c r="G34">
        <v>0</v>
      </c>
      <c r="H34">
        <v>0</v>
      </c>
      <c r="I34">
        <v>0</v>
      </c>
      <c r="J34">
        <v>0</v>
      </c>
      <c r="K34">
        <v>0</v>
      </c>
      <c r="L34">
        <v>0</v>
      </c>
      <c r="M34">
        <v>0</v>
      </c>
    </row>
    <row r="35" spans="1:13" x14ac:dyDescent="0.3">
      <c r="A35">
        <v>360</v>
      </c>
      <c r="B35">
        <v>0</v>
      </c>
      <c r="C35">
        <v>0</v>
      </c>
      <c r="D35">
        <v>0</v>
      </c>
      <c r="E35">
        <v>0</v>
      </c>
      <c r="F35">
        <v>0</v>
      </c>
      <c r="G35">
        <v>0</v>
      </c>
      <c r="H35">
        <v>0</v>
      </c>
      <c r="I35">
        <v>0</v>
      </c>
      <c r="J35">
        <v>0</v>
      </c>
      <c r="K35">
        <v>0</v>
      </c>
      <c r="L35">
        <v>0</v>
      </c>
      <c r="M35">
        <v>0</v>
      </c>
    </row>
    <row r="36" spans="1:13" x14ac:dyDescent="0.3">
      <c r="A36">
        <v>362</v>
      </c>
      <c r="B36">
        <v>0</v>
      </c>
      <c r="C36">
        <v>0</v>
      </c>
      <c r="D36">
        <v>0</v>
      </c>
      <c r="E36">
        <v>0</v>
      </c>
      <c r="F36">
        <v>0</v>
      </c>
      <c r="G36">
        <v>0</v>
      </c>
      <c r="H36">
        <v>0</v>
      </c>
      <c r="I36">
        <v>0</v>
      </c>
      <c r="J36">
        <v>0</v>
      </c>
      <c r="K36">
        <v>0</v>
      </c>
      <c r="L36">
        <v>0</v>
      </c>
      <c r="M36">
        <v>0</v>
      </c>
    </row>
    <row r="37" spans="1:13" x14ac:dyDescent="0.3">
      <c r="A37">
        <v>364</v>
      </c>
      <c r="B37">
        <v>0</v>
      </c>
      <c r="C37">
        <v>0</v>
      </c>
      <c r="D37">
        <v>0</v>
      </c>
      <c r="E37">
        <v>0</v>
      </c>
      <c r="F37">
        <v>0</v>
      </c>
      <c r="G37">
        <v>0</v>
      </c>
      <c r="H37">
        <v>0</v>
      </c>
      <c r="I37">
        <v>0</v>
      </c>
      <c r="J37">
        <v>0</v>
      </c>
      <c r="K37">
        <v>0</v>
      </c>
      <c r="L37">
        <v>0</v>
      </c>
      <c r="M37">
        <v>0</v>
      </c>
    </row>
    <row r="38" spans="1:13" x14ac:dyDescent="0.3">
      <c r="A38">
        <v>366</v>
      </c>
      <c r="B38">
        <v>0</v>
      </c>
      <c r="C38">
        <v>0</v>
      </c>
      <c r="D38">
        <v>0</v>
      </c>
      <c r="E38">
        <v>0</v>
      </c>
      <c r="F38">
        <v>0</v>
      </c>
      <c r="G38">
        <v>0</v>
      </c>
      <c r="H38">
        <v>0</v>
      </c>
      <c r="I38">
        <v>0</v>
      </c>
      <c r="J38">
        <v>0</v>
      </c>
      <c r="K38">
        <v>0</v>
      </c>
      <c r="L38">
        <v>0</v>
      </c>
      <c r="M38">
        <v>0</v>
      </c>
    </row>
    <row r="39" spans="1:13" x14ac:dyDescent="0.3">
      <c r="A39">
        <v>368</v>
      </c>
      <c r="B39">
        <v>0</v>
      </c>
      <c r="C39">
        <v>0</v>
      </c>
      <c r="D39">
        <v>0</v>
      </c>
      <c r="E39">
        <v>0</v>
      </c>
      <c r="F39">
        <v>0</v>
      </c>
      <c r="G39">
        <v>0</v>
      </c>
      <c r="H39">
        <v>0</v>
      </c>
      <c r="I39">
        <v>0</v>
      </c>
      <c r="J39">
        <v>0</v>
      </c>
      <c r="K39">
        <v>0</v>
      </c>
      <c r="L39">
        <v>0</v>
      </c>
      <c r="M39">
        <v>0</v>
      </c>
    </row>
    <row r="40" spans="1:13" x14ac:dyDescent="0.3">
      <c r="A40">
        <v>370</v>
      </c>
      <c r="B40">
        <v>0</v>
      </c>
      <c r="C40">
        <v>0</v>
      </c>
      <c r="D40">
        <v>0</v>
      </c>
      <c r="E40">
        <v>0</v>
      </c>
      <c r="F40">
        <v>0</v>
      </c>
      <c r="G40">
        <v>0</v>
      </c>
      <c r="H40">
        <v>0</v>
      </c>
      <c r="I40">
        <v>0</v>
      </c>
      <c r="J40">
        <v>0</v>
      </c>
      <c r="K40">
        <v>0</v>
      </c>
      <c r="L40">
        <v>0</v>
      </c>
      <c r="M40">
        <v>0</v>
      </c>
    </row>
    <row r="41" spans="1:13" x14ac:dyDescent="0.3">
      <c r="A41">
        <v>372</v>
      </c>
      <c r="B41">
        <v>0</v>
      </c>
      <c r="C41">
        <v>0</v>
      </c>
      <c r="D41">
        <v>0</v>
      </c>
      <c r="E41">
        <v>0</v>
      </c>
      <c r="F41">
        <v>0</v>
      </c>
      <c r="G41">
        <v>0</v>
      </c>
      <c r="H41">
        <v>0</v>
      </c>
      <c r="I41">
        <v>0</v>
      </c>
      <c r="J41">
        <v>0</v>
      </c>
      <c r="K41">
        <v>0</v>
      </c>
      <c r="L41">
        <v>0</v>
      </c>
      <c r="M41">
        <v>0</v>
      </c>
    </row>
    <row r="42" spans="1:13" x14ac:dyDescent="0.3">
      <c r="A42">
        <v>374</v>
      </c>
      <c r="B42">
        <v>0</v>
      </c>
      <c r="C42">
        <v>0</v>
      </c>
      <c r="D42">
        <v>0</v>
      </c>
      <c r="E42">
        <v>0</v>
      </c>
      <c r="F42">
        <v>0</v>
      </c>
      <c r="G42">
        <v>0</v>
      </c>
      <c r="H42">
        <v>0</v>
      </c>
      <c r="I42">
        <v>0</v>
      </c>
      <c r="J42">
        <v>0</v>
      </c>
      <c r="K42">
        <v>0</v>
      </c>
      <c r="L42">
        <v>0</v>
      </c>
      <c r="M42">
        <v>0</v>
      </c>
    </row>
    <row r="43" spans="1:13" x14ac:dyDescent="0.3">
      <c r="A43">
        <v>376</v>
      </c>
      <c r="B43">
        <v>0</v>
      </c>
      <c r="C43">
        <v>0</v>
      </c>
      <c r="D43">
        <v>0</v>
      </c>
      <c r="E43">
        <v>0</v>
      </c>
      <c r="F43">
        <v>0</v>
      </c>
      <c r="G43">
        <v>0</v>
      </c>
      <c r="H43">
        <v>0</v>
      </c>
      <c r="I43">
        <v>0</v>
      </c>
      <c r="J43">
        <v>0</v>
      </c>
      <c r="K43">
        <v>0</v>
      </c>
      <c r="L43">
        <v>0</v>
      </c>
      <c r="M43">
        <v>0</v>
      </c>
    </row>
    <row r="44" spans="1:13" x14ac:dyDescent="0.3">
      <c r="A44">
        <v>378</v>
      </c>
      <c r="B44">
        <v>0</v>
      </c>
      <c r="C44">
        <v>0</v>
      </c>
      <c r="D44">
        <v>0</v>
      </c>
      <c r="E44">
        <v>0</v>
      </c>
      <c r="F44">
        <v>0</v>
      </c>
      <c r="G44">
        <v>0</v>
      </c>
      <c r="H44">
        <v>0</v>
      </c>
      <c r="I44">
        <v>0</v>
      </c>
      <c r="J44">
        <v>0</v>
      </c>
      <c r="K44">
        <v>0</v>
      </c>
      <c r="L44">
        <v>0</v>
      </c>
      <c r="M44">
        <v>0</v>
      </c>
    </row>
    <row r="45" spans="1:13" x14ac:dyDescent="0.3">
      <c r="A45">
        <v>380</v>
      </c>
      <c r="B45">
        <v>0</v>
      </c>
      <c r="C45">
        <v>0</v>
      </c>
      <c r="D45">
        <v>0</v>
      </c>
      <c r="E45">
        <v>0</v>
      </c>
      <c r="F45">
        <v>0</v>
      </c>
      <c r="G45">
        <v>0</v>
      </c>
      <c r="H45">
        <v>0</v>
      </c>
      <c r="I45">
        <v>0</v>
      </c>
      <c r="J45">
        <v>0</v>
      </c>
      <c r="K45">
        <v>0</v>
      </c>
      <c r="L45">
        <v>0</v>
      </c>
      <c r="M45">
        <v>0</v>
      </c>
    </row>
    <row r="46" spans="1:13" x14ac:dyDescent="0.3">
      <c r="A46">
        <v>382</v>
      </c>
      <c r="B46">
        <v>0</v>
      </c>
      <c r="C46">
        <v>0</v>
      </c>
      <c r="D46">
        <v>0</v>
      </c>
      <c r="E46">
        <v>0</v>
      </c>
      <c r="F46">
        <v>0</v>
      </c>
      <c r="G46">
        <v>0</v>
      </c>
      <c r="H46">
        <v>0</v>
      </c>
      <c r="I46">
        <v>0</v>
      </c>
      <c r="J46">
        <v>0</v>
      </c>
      <c r="K46">
        <v>0</v>
      </c>
      <c r="L46">
        <v>0</v>
      </c>
      <c r="M46">
        <v>0</v>
      </c>
    </row>
    <row r="47" spans="1:13" x14ac:dyDescent="0.3">
      <c r="A47">
        <v>384</v>
      </c>
      <c r="B47">
        <v>0</v>
      </c>
      <c r="C47">
        <v>0</v>
      </c>
      <c r="D47">
        <v>0</v>
      </c>
      <c r="E47">
        <v>0</v>
      </c>
      <c r="F47">
        <v>0</v>
      </c>
      <c r="G47">
        <v>0</v>
      </c>
      <c r="H47">
        <v>0</v>
      </c>
      <c r="I47">
        <v>0</v>
      </c>
      <c r="J47">
        <v>0</v>
      </c>
      <c r="K47">
        <v>0</v>
      </c>
      <c r="L47">
        <v>0</v>
      </c>
      <c r="M47">
        <v>0</v>
      </c>
    </row>
    <row r="48" spans="1:13" x14ac:dyDescent="0.3">
      <c r="A48">
        <v>386</v>
      </c>
      <c r="B48">
        <v>0</v>
      </c>
      <c r="C48">
        <v>0</v>
      </c>
      <c r="D48">
        <v>0</v>
      </c>
      <c r="E48">
        <v>0</v>
      </c>
      <c r="F48">
        <v>0</v>
      </c>
      <c r="G48">
        <v>0</v>
      </c>
      <c r="H48">
        <v>0</v>
      </c>
      <c r="I48">
        <v>0</v>
      </c>
      <c r="J48">
        <v>6.3107952771419402</v>
      </c>
      <c r="K48">
        <v>0</v>
      </c>
      <c r="L48">
        <v>0</v>
      </c>
      <c r="M48">
        <v>0</v>
      </c>
    </row>
    <row r="49" spans="1:13" x14ac:dyDescent="0.3">
      <c r="A49">
        <v>388</v>
      </c>
      <c r="B49">
        <v>0</v>
      </c>
      <c r="C49">
        <v>0</v>
      </c>
      <c r="D49">
        <v>0</v>
      </c>
      <c r="E49">
        <v>0</v>
      </c>
      <c r="F49">
        <v>0</v>
      </c>
      <c r="G49">
        <v>0</v>
      </c>
      <c r="H49">
        <v>0</v>
      </c>
      <c r="I49">
        <v>0</v>
      </c>
      <c r="J49">
        <v>15.358377696776108</v>
      </c>
      <c r="K49">
        <v>0</v>
      </c>
      <c r="L49">
        <v>0</v>
      </c>
      <c r="M49">
        <v>0</v>
      </c>
    </row>
    <row r="50" spans="1:13" x14ac:dyDescent="0.3">
      <c r="A50">
        <v>390</v>
      </c>
      <c r="B50">
        <v>0</v>
      </c>
      <c r="C50">
        <v>0</v>
      </c>
      <c r="D50">
        <v>0</v>
      </c>
      <c r="E50">
        <v>0</v>
      </c>
      <c r="F50">
        <v>0</v>
      </c>
      <c r="G50">
        <v>0</v>
      </c>
      <c r="H50">
        <v>0</v>
      </c>
      <c r="I50">
        <v>0</v>
      </c>
      <c r="J50">
        <v>32.926330169243791</v>
      </c>
      <c r="K50">
        <v>0</v>
      </c>
      <c r="L50">
        <v>0</v>
      </c>
      <c r="M50">
        <v>0</v>
      </c>
    </row>
    <row r="51" spans="1:13" x14ac:dyDescent="0.3">
      <c r="A51">
        <v>392</v>
      </c>
      <c r="B51">
        <v>0</v>
      </c>
      <c r="C51">
        <v>0</v>
      </c>
      <c r="D51">
        <v>0</v>
      </c>
      <c r="E51">
        <v>0</v>
      </c>
      <c r="F51">
        <v>0</v>
      </c>
      <c r="G51">
        <v>0</v>
      </c>
      <c r="H51">
        <v>0</v>
      </c>
      <c r="I51">
        <v>0</v>
      </c>
      <c r="J51">
        <v>55.416570253540144</v>
      </c>
      <c r="K51">
        <v>0</v>
      </c>
      <c r="L51">
        <v>0</v>
      </c>
      <c r="M51">
        <v>0</v>
      </c>
    </row>
    <row r="52" spans="1:13" x14ac:dyDescent="0.3">
      <c r="A52">
        <v>394</v>
      </c>
      <c r="B52">
        <v>0</v>
      </c>
      <c r="C52">
        <v>0</v>
      </c>
      <c r="D52">
        <v>0</v>
      </c>
      <c r="E52">
        <v>0</v>
      </c>
      <c r="F52">
        <v>0</v>
      </c>
      <c r="G52">
        <v>0</v>
      </c>
      <c r="H52">
        <v>0</v>
      </c>
      <c r="I52">
        <v>0</v>
      </c>
      <c r="J52">
        <v>71.074560414196924</v>
      </c>
      <c r="K52">
        <v>0</v>
      </c>
      <c r="L52">
        <v>0</v>
      </c>
      <c r="M52">
        <v>0</v>
      </c>
    </row>
    <row r="53" spans="1:13" x14ac:dyDescent="0.3">
      <c r="A53">
        <v>396</v>
      </c>
      <c r="B53">
        <v>13.88459349464593</v>
      </c>
      <c r="C53">
        <v>0</v>
      </c>
      <c r="D53">
        <v>0</v>
      </c>
      <c r="E53">
        <v>0</v>
      </c>
      <c r="F53">
        <v>0</v>
      </c>
      <c r="G53">
        <v>0</v>
      </c>
      <c r="H53">
        <v>0</v>
      </c>
      <c r="I53">
        <v>0</v>
      </c>
      <c r="J53">
        <v>105.52291055930908</v>
      </c>
      <c r="K53">
        <v>0</v>
      </c>
      <c r="L53">
        <v>0</v>
      </c>
      <c r="M53">
        <v>0</v>
      </c>
    </row>
    <row r="54" spans="1:13" x14ac:dyDescent="0.3">
      <c r="A54">
        <v>398</v>
      </c>
      <c r="B54">
        <v>116.80440957173187</v>
      </c>
      <c r="C54">
        <v>0</v>
      </c>
      <c r="D54">
        <v>0</v>
      </c>
      <c r="E54">
        <v>0</v>
      </c>
      <c r="F54">
        <v>0</v>
      </c>
      <c r="G54">
        <v>0</v>
      </c>
      <c r="H54">
        <v>0</v>
      </c>
      <c r="I54">
        <v>0</v>
      </c>
      <c r="J54">
        <v>135.81908089736265</v>
      </c>
      <c r="K54">
        <v>0</v>
      </c>
      <c r="L54">
        <v>0</v>
      </c>
      <c r="M54">
        <v>0</v>
      </c>
    </row>
    <row r="55" spans="1:13" x14ac:dyDescent="0.3">
      <c r="A55">
        <v>400</v>
      </c>
      <c r="B55">
        <v>223.50931089927838</v>
      </c>
      <c r="C55">
        <v>0</v>
      </c>
      <c r="D55">
        <v>0</v>
      </c>
      <c r="E55">
        <v>0</v>
      </c>
      <c r="F55">
        <v>0</v>
      </c>
      <c r="G55">
        <v>0</v>
      </c>
      <c r="H55">
        <v>0</v>
      </c>
      <c r="I55">
        <v>0</v>
      </c>
      <c r="J55">
        <v>164.97115804470545</v>
      </c>
      <c r="K55">
        <v>0</v>
      </c>
      <c r="L55">
        <v>0</v>
      </c>
      <c r="M55">
        <v>0</v>
      </c>
    </row>
    <row r="56" spans="1:13" x14ac:dyDescent="0.3">
      <c r="A56">
        <v>402</v>
      </c>
      <c r="B56">
        <v>352.56263682558023</v>
      </c>
      <c r="C56">
        <v>0</v>
      </c>
      <c r="D56">
        <v>0</v>
      </c>
      <c r="E56">
        <v>0</v>
      </c>
      <c r="F56">
        <v>0</v>
      </c>
      <c r="G56">
        <v>0</v>
      </c>
      <c r="H56">
        <v>0</v>
      </c>
      <c r="I56">
        <v>0</v>
      </c>
      <c r="J56">
        <v>195.8681315697668</v>
      </c>
      <c r="K56">
        <v>0</v>
      </c>
      <c r="L56">
        <v>0</v>
      </c>
      <c r="M56">
        <v>0</v>
      </c>
    </row>
    <row r="57" spans="1:13" x14ac:dyDescent="0.3">
      <c r="A57">
        <v>404</v>
      </c>
      <c r="B57">
        <v>478.01066228011103</v>
      </c>
      <c r="C57">
        <v>0</v>
      </c>
      <c r="D57">
        <v>0</v>
      </c>
      <c r="E57">
        <v>0</v>
      </c>
      <c r="F57">
        <v>0</v>
      </c>
      <c r="G57">
        <v>0</v>
      </c>
      <c r="H57">
        <v>0</v>
      </c>
      <c r="I57">
        <v>0</v>
      </c>
      <c r="J57">
        <v>226.15558215403101</v>
      </c>
      <c r="K57">
        <v>0</v>
      </c>
      <c r="L57">
        <v>0</v>
      </c>
      <c r="M57">
        <v>0</v>
      </c>
    </row>
    <row r="58" spans="1:13" x14ac:dyDescent="0.3">
      <c r="A58">
        <v>406</v>
      </c>
      <c r="B58">
        <v>651.72889977946784</v>
      </c>
      <c r="C58">
        <v>0</v>
      </c>
      <c r="D58">
        <v>0</v>
      </c>
      <c r="E58">
        <v>0</v>
      </c>
      <c r="F58">
        <v>0</v>
      </c>
      <c r="G58">
        <v>0</v>
      </c>
      <c r="H58">
        <v>0</v>
      </c>
      <c r="I58">
        <v>0</v>
      </c>
      <c r="J58">
        <v>252.60810068971622</v>
      </c>
      <c r="K58">
        <v>0</v>
      </c>
      <c r="L58">
        <v>0</v>
      </c>
      <c r="M58">
        <v>0</v>
      </c>
    </row>
    <row r="59" spans="1:13" x14ac:dyDescent="0.3">
      <c r="A59">
        <v>408</v>
      </c>
      <c r="B59">
        <v>770.02866361728172</v>
      </c>
      <c r="C59">
        <v>0</v>
      </c>
      <c r="D59">
        <v>0</v>
      </c>
      <c r="E59">
        <v>0</v>
      </c>
      <c r="F59">
        <v>0</v>
      </c>
      <c r="G59">
        <v>0</v>
      </c>
      <c r="H59">
        <v>0</v>
      </c>
      <c r="I59">
        <v>0</v>
      </c>
      <c r="J59">
        <v>273.23597741258379</v>
      </c>
      <c r="K59">
        <v>0</v>
      </c>
      <c r="L59">
        <v>0</v>
      </c>
      <c r="M59">
        <v>4.967926862046979</v>
      </c>
    </row>
    <row r="60" spans="1:13" x14ac:dyDescent="0.3">
      <c r="A60">
        <v>410</v>
      </c>
      <c r="B60">
        <v>897.9907509904059</v>
      </c>
      <c r="C60">
        <v>0</v>
      </c>
      <c r="D60">
        <v>0</v>
      </c>
      <c r="E60">
        <v>0</v>
      </c>
      <c r="F60">
        <v>0</v>
      </c>
      <c r="G60">
        <v>0</v>
      </c>
      <c r="H60">
        <v>0</v>
      </c>
      <c r="I60">
        <v>0</v>
      </c>
      <c r="J60">
        <v>292.8230709751324</v>
      </c>
      <c r="K60">
        <v>0</v>
      </c>
      <c r="L60">
        <v>0</v>
      </c>
      <c r="M60">
        <v>7.3205767743783099</v>
      </c>
    </row>
    <row r="61" spans="1:13" x14ac:dyDescent="0.3">
      <c r="A61">
        <v>412</v>
      </c>
      <c r="B61">
        <v>949.5999861762474</v>
      </c>
      <c r="C61">
        <v>0</v>
      </c>
      <c r="D61">
        <v>0</v>
      </c>
      <c r="E61">
        <v>0</v>
      </c>
      <c r="F61">
        <v>0</v>
      </c>
      <c r="G61">
        <v>0</v>
      </c>
      <c r="H61">
        <v>0</v>
      </c>
      <c r="I61">
        <v>0</v>
      </c>
      <c r="J61">
        <v>304.54342991005916</v>
      </c>
      <c r="K61">
        <v>0</v>
      </c>
      <c r="L61">
        <v>0</v>
      </c>
      <c r="M61">
        <v>9.591919052285327</v>
      </c>
    </row>
    <row r="62" spans="1:13" x14ac:dyDescent="0.3">
      <c r="A62">
        <v>414</v>
      </c>
      <c r="B62">
        <v>985.37579976292955</v>
      </c>
      <c r="C62">
        <v>0</v>
      </c>
      <c r="D62">
        <v>0</v>
      </c>
      <c r="E62">
        <v>0</v>
      </c>
      <c r="F62">
        <v>0</v>
      </c>
      <c r="G62">
        <v>0</v>
      </c>
      <c r="H62">
        <v>0</v>
      </c>
      <c r="I62">
        <v>0</v>
      </c>
      <c r="J62">
        <v>322.18731400363089</v>
      </c>
      <c r="K62">
        <v>0</v>
      </c>
      <c r="L62">
        <v>0</v>
      </c>
      <c r="M62">
        <v>14.110393314027631</v>
      </c>
    </row>
    <row r="63" spans="1:13" x14ac:dyDescent="0.3">
      <c r="A63">
        <v>416</v>
      </c>
      <c r="B63">
        <v>1000.3642090058928</v>
      </c>
      <c r="C63">
        <v>0</v>
      </c>
      <c r="D63">
        <v>0</v>
      </c>
      <c r="E63">
        <v>0</v>
      </c>
      <c r="F63">
        <v>0</v>
      </c>
      <c r="G63">
        <v>0</v>
      </c>
      <c r="H63">
        <v>0</v>
      </c>
      <c r="I63">
        <v>0</v>
      </c>
      <c r="J63">
        <v>331.91807856416716</v>
      </c>
      <c r="K63">
        <v>0</v>
      </c>
      <c r="L63">
        <v>0</v>
      </c>
      <c r="M63">
        <v>18.439893253564843</v>
      </c>
    </row>
    <row r="64" spans="1:13" x14ac:dyDescent="0.3">
      <c r="A64">
        <v>418</v>
      </c>
      <c r="B64">
        <v>1007.7935753597873</v>
      </c>
      <c r="C64">
        <v>33.81857635435528</v>
      </c>
      <c r="D64">
        <v>0</v>
      </c>
      <c r="E64">
        <v>0</v>
      </c>
      <c r="F64">
        <v>0</v>
      </c>
      <c r="G64">
        <v>0</v>
      </c>
      <c r="H64">
        <v>0</v>
      </c>
      <c r="I64">
        <v>0</v>
      </c>
      <c r="J64">
        <v>342.69490705746682</v>
      </c>
      <c r="K64">
        <v>0</v>
      </c>
      <c r="L64">
        <v>0</v>
      </c>
      <c r="M64">
        <v>20.291145812613166</v>
      </c>
    </row>
    <row r="65" spans="1:13" x14ac:dyDescent="0.3">
      <c r="A65">
        <v>420</v>
      </c>
      <c r="B65">
        <v>989.6785312843042</v>
      </c>
      <c r="C65">
        <v>96.984087698239165</v>
      </c>
      <c r="D65">
        <v>0</v>
      </c>
      <c r="E65">
        <v>0</v>
      </c>
      <c r="F65">
        <v>0</v>
      </c>
      <c r="G65">
        <v>0</v>
      </c>
      <c r="H65">
        <v>0</v>
      </c>
      <c r="I65">
        <v>0</v>
      </c>
      <c r="J65">
        <v>343.85267456648432</v>
      </c>
      <c r="K65">
        <v>0</v>
      </c>
      <c r="L65">
        <v>0</v>
      </c>
      <c r="M65">
        <v>24.246021924559791</v>
      </c>
    </row>
    <row r="66" spans="1:13" x14ac:dyDescent="0.3">
      <c r="A66">
        <v>422</v>
      </c>
      <c r="B66">
        <v>942.89686066529964</v>
      </c>
      <c r="C66">
        <v>182.98226748070886</v>
      </c>
      <c r="D66">
        <v>0</v>
      </c>
      <c r="E66">
        <v>0</v>
      </c>
      <c r="F66">
        <v>0</v>
      </c>
      <c r="G66">
        <v>0</v>
      </c>
      <c r="H66">
        <v>0</v>
      </c>
      <c r="I66">
        <v>0</v>
      </c>
      <c r="J66">
        <v>361.65906984422452</v>
      </c>
      <c r="K66">
        <v>0</v>
      </c>
      <c r="L66">
        <v>0</v>
      </c>
      <c r="M66">
        <v>30.138255820352043</v>
      </c>
    </row>
    <row r="67" spans="1:13" x14ac:dyDescent="0.3">
      <c r="A67">
        <v>424</v>
      </c>
      <c r="B67">
        <v>878.531287038914</v>
      </c>
      <c r="C67">
        <v>308.95717510698648</v>
      </c>
      <c r="D67">
        <v>0</v>
      </c>
      <c r="E67">
        <v>0</v>
      </c>
      <c r="F67">
        <v>0</v>
      </c>
      <c r="G67">
        <v>0</v>
      </c>
      <c r="H67">
        <v>0</v>
      </c>
      <c r="I67">
        <v>0</v>
      </c>
      <c r="J67">
        <v>369.90791033217431</v>
      </c>
      <c r="K67">
        <v>0</v>
      </c>
      <c r="L67">
        <v>0</v>
      </c>
      <c r="M67">
        <v>33.62799184837948</v>
      </c>
    </row>
    <row r="68" spans="1:13" x14ac:dyDescent="0.3">
      <c r="A68">
        <v>426</v>
      </c>
      <c r="B68">
        <v>803.90261186243231</v>
      </c>
      <c r="C68">
        <v>452.32372022950153</v>
      </c>
      <c r="D68">
        <v>0</v>
      </c>
      <c r="E68">
        <v>0</v>
      </c>
      <c r="F68">
        <v>0</v>
      </c>
      <c r="G68">
        <v>0</v>
      </c>
      <c r="H68">
        <v>0</v>
      </c>
      <c r="I68">
        <v>0</v>
      </c>
      <c r="J68">
        <v>386.53117910521047</v>
      </c>
      <c r="K68">
        <v>0</v>
      </c>
      <c r="L68">
        <v>0</v>
      </c>
      <c r="M68">
        <v>39.064321292547859</v>
      </c>
    </row>
    <row r="69" spans="1:13" x14ac:dyDescent="0.3">
      <c r="A69">
        <v>428</v>
      </c>
      <c r="B69">
        <v>679.07816307196026</v>
      </c>
      <c r="C69">
        <v>636.76171967578466</v>
      </c>
      <c r="D69">
        <v>0</v>
      </c>
      <c r="E69">
        <v>0</v>
      </c>
      <c r="F69">
        <v>0</v>
      </c>
      <c r="G69">
        <v>0</v>
      </c>
      <c r="H69">
        <v>0</v>
      </c>
      <c r="I69">
        <v>0</v>
      </c>
      <c r="J69">
        <v>386.89319676503374</v>
      </c>
      <c r="K69">
        <v>0</v>
      </c>
      <c r="L69">
        <v>0</v>
      </c>
      <c r="M69">
        <v>44.331512129326782</v>
      </c>
    </row>
    <row r="70" spans="1:13" x14ac:dyDescent="0.3">
      <c r="A70">
        <v>430</v>
      </c>
      <c r="B70">
        <v>560.70466638930907</v>
      </c>
      <c r="C70">
        <v>836.10377814942899</v>
      </c>
      <c r="D70">
        <v>0</v>
      </c>
      <c r="E70">
        <v>0</v>
      </c>
      <c r="F70">
        <v>0</v>
      </c>
      <c r="G70">
        <v>0</v>
      </c>
      <c r="H70">
        <v>0</v>
      </c>
      <c r="I70">
        <v>0</v>
      </c>
      <c r="J70">
        <v>396.25771476276259</v>
      </c>
      <c r="K70">
        <v>0</v>
      </c>
      <c r="L70">
        <v>0</v>
      </c>
      <c r="M70">
        <v>49.532214345345324</v>
      </c>
    </row>
    <row r="71" spans="1:13" x14ac:dyDescent="0.3">
      <c r="A71">
        <v>432</v>
      </c>
      <c r="B71">
        <v>411.61867366950321</v>
      </c>
      <c r="C71">
        <v>1059.2840748935557</v>
      </c>
      <c r="D71">
        <v>0</v>
      </c>
      <c r="E71">
        <v>0</v>
      </c>
      <c r="F71">
        <v>0</v>
      </c>
      <c r="G71">
        <v>0</v>
      </c>
      <c r="H71">
        <v>0</v>
      </c>
      <c r="I71">
        <v>0</v>
      </c>
      <c r="J71">
        <v>401.86467666311688</v>
      </c>
      <c r="K71">
        <v>0</v>
      </c>
      <c r="L71">
        <v>0</v>
      </c>
      <c r="M71">
        <v>52.671583834486185</v>
      </c>
    </row>
    <row r="72" spans="1:13" x14ac:dyDescent="0.3">
      <c r="A72">
        <v>434</v>
      </c>
      <c r="B72">
        <v>276.8475923256994</v>
      </c>
      <c r="C72">
        <v>1266.9622454349717</v>
      </c>
      <c r="D72">
        <v>0</v>
      </c>
      <c r="E72">
        <v>0</v>
      </c>
      <c r="F72">
        <v>0</v>
      </c>
      <c r="G72">
        <v>0</v>
      </c>
      <c r="H72">
        <v>0</v>
      </c>
      <c r="I72">
        <v>0</v>
      </c>
      <c r="J72">
        <v>409.50373031509707</v>
      </c>
      <c r="K72">
        <v>0</v>
      </c>
      <c r="L72">
        <v>0</v>
      </c>
      <c r="M72">
        <v>57.676581734520717</v>
      </c>
    </row>
    <row r="73" spans="1:13" x14ac:dyDescent="0.3">
      <c r="A73">
        <v>436</v>
      </c>
      <c r="B73">
        <v>165.21766044541417</v>
      </c>
      <c r="C73">
        <v>1431.8863905269227</v>
      </c>
      <c r="D73">
        <v>0</v>
      </c>
      <c r="E73">
        <v>0</v>
      </c>
      <c r="F73">
        <v>0</v>
      </c>
      <c r="G73">
        <v>0</v>
      </c>
      <c r="H73">
        <v>0</v>
      </c>
      <c r="I73">
        <v>0</v>
      </c>
      <c r="J73">
        <v>417.79178503438067</v>
      </c>
      <c r="K73">
        <v>0</v>
      </c>
      <c r="L73">
        <v>0</v>
      </c>
      <c r="M73">
        <v>64.567821323495195</v>
      </c>
    </row>
    <row r="74" spans="1:13" x14ac:dyDescent="0.3">
      <c r="A74">
        <v>438</v>
      </c>
      <c r="B74">
        <v>88.153335312259799</v>
      </c>
      <c r="C74">
        <v>1573.6308154677868</v>
      </c>
      <c r="D74">
        <v>0</v>
      </c>
      <c r="E74">
        <v>0</v>
      </c>
      <c r="F74">
        <v>0</v>
      </c>
      <c r="G74">
        <v>0</v>
      </c>
      <c r="H74">
        <v>0</v>
      </c>
      <c r="I74">
        <v>0</v>
      </c>
      <c r="J74">
        <v>425.76185352942503</v>
      </c>
      <c r="K74">
        <v>0</v>
      </c>
      <c r="L74">
        <v>0</v>
      </c>
      <c r="M74">
        <v>69.397306522417296</v>
      </c>
    </row>
    <row r="75" spans="1:13" x14ac:dyDescent="0.3">
      <c r="A75">
        <v>440</v>
      </c>
      <c r="B75">
        <v>38.947187738654563</v>
      </c>
      <c r="C75">
        <v>1680.2929567248109</v>
      </c>
      <c r="D75">
        <v>0</v>
      </c>
      <c r="E75">
        <v>0</v>
      </c>
      <c r="F75">
        <v>0</v>
      </c>
      <c r="G75">
        <v>0</v>
      </c>
      <c r="H75">
        <v>0</v>
      </c>
      <c r="I75">
        <v>0</v>
      </c>
      <c r="J75">
        <v>432.12832110031007</v>
      </c>
      <c r="K75">
        <v>0</v>
      </c>
      <c r="L75">
        <v>0</v>
      </c>
      <c r="M75">
        <v>76.039747489754149</v>
      </c>
    </row>
    <row r="76" spans="1:13" x14ac:dyDescent="0.3">
      <c r="A76">
        <v>442</v>
      </c>
      <c r="B76">
        <v>3.663108823064904</v>
      </c>
      <c r="C76">
        <v>1747.3029086019594</v>
      </c>
      <c r="D76">
        <v>12.820880880727167</v>
      </c>
      <c r="E76">
        <v>0</v>
      </c>
      <c r="F76">
        <v>0</v>
      </c>
      <c r="G76">
        <v>0</v>
      </c>
      <c r="H76">
        <v>0</v>
      </c>
      <c r="I76">
        <v>0</v>
      </c>
      <c r="J76">
        <v>439.57305876778855</v>
      </c>
      <c r="K76">
        <v>0</v>
      </c>
      <c r="L76">
        <v>0</v>
      </c>
      <c r="M76">
        <v>82.419948518960354</v>
      </c>
    </row>
    <row r="77" spans="1:13" x14ac:dyDescent="0.3">
      <c r="A77">
        <v>444</v>
      </c>
      <c r="B77">
        <v>0</v>
      </c>
      <c r="C77">
        <v>1771.472074963541</v>
      </c>
      <c r="D77">
        <v>48.855716061302978</v>
      </c>
      <c r="E77">
        <v>0</v>
      </c>
      <c r="F77">
        <v>0</v>
      </c>
      <c r="G77">
        <v>0</v>
      </c>
      <c r="H77">
        <v>0</v>
      </c>
      <c r="I77">
        <v>0</v>
      </c>
      <c r="J77">
        <v>443.32038648219361</v>
      </c>
      <c r="K77">
        <v>0</v>
      </c>
      <c r="L77">
        <v>0</v>
      </c>
      <c r="M77">
        <v>86.854606331205275</v>
      </c>
    </row>
    <row r="78" spans="1:13" x14ac:dyDescent="0.3">
      <c r="A78">
        <v>446</v>
      </c>
      <c r="B78">
        <v>0</v>
      </c>
      <c r="C78">
        <v>1766.7142899301195</v>
      </c>
      <c r="D78">
        <v>107.07359332909814</v>
      </c>
      <c r="E78">
        <v>0</v>
      </c>
      <c r="F78">
        <v>0</v>
      </c>
      <c r="G78">
        <v>0</v>
      </c>
      <c r="H78">
        <v>0</v>
      </c>
      <c r="I78">
        <v>0</v>
      </c>
      <c r="J78">
        <v>456.84733153748545</v>
      </c>
      <c r="K78">
        <v>0</v>
      </c>
      <c r="L78">
        <v>0</v>
      </c>
      <c r="M78">
        <v>92.797114218551727</v>
      </c>
    </row>
    <row r="79" spans="1:13" x14ac:dyDescent="0.3">
      <c r="A79">
        <v>448</v>
      </c>
      <c r="B79">
        <v>0</v>
      </c>
      <c r="C79">
        <v>1745.6423418318113</v>
      </c>
      <c r="D79">
        <v>167.34210138650059</v>
      </c>
      <c r="E79">
        <v>0</v>
      </c>
      <c r="F79">
        <v>0</v>
      </c>
      <c r="G79">
        <v>0</v>
      </c>
      <c r="H79">
        <v>0</v>
      </c>
      <c r="I79">
        <v>0</v>
      </c>
      <c r="J79">
        <v>465.0348922740647</v>
      </c>
      <c r="K79">
        <v>0</v>
      </c>
      <c r="L79">
        <v>0</v>
      </c>
      <c r="M79">
        <v>100.40526083190035</v>
      </c>
    </row>
    <row r="80" spans="1:13" x14ac:dyDescent="0.3">
      <c r="A80">
        <v>450</v>
      </c>
      <c r="B80">
        <v>0</v>
      </c>
      <c r="C80">
        <v>1692.2270389696314</v>
      </c>
      <c r="D80">
        <v>260.87775523683933</v>
      </c>
      <c r="E80">
        <v>0</v>
      </c>
      <c r="F80">
        <v>0</v>
      </c>
      <c r="G80">
        <v>0</v>
      </c>
      <c r="H80">
        <v>0</v>
      </c>
      <c r="I80">
        <v>0</v>
      </c>
      <c r="J80">
        <v>473.05832949613534</v>
      </c>
      <c r="K80">
        <v>0</v>
      </c>
      <c r="L80">
        <v>0</v>
      </c>
      <c r="M80">
        <v>106.090287129648</v>
      </c>
    </row>
    <row r="81" spans="1:13" x14ac:dyDescent="0.3">
      <c r="A81">
        <v>452</v>
      </c>
      <c r="B81">
        <v>0</v>
      </c>
      <c r="C81">
        <v>1587.3431290702238</v>
      </c>
      <c r="D81">
        <v>369.34932115811483</v>
      </c>
      <c r="E81">
        <v>0</v>
      </c>
      <c r="F81">
        <v>0</v>
      </c>
      <c r="G81">
        <v>0</v>
      </c>
      <c r="H81">
        <v>0</v>
      </c>
      <c r="I81">
        <v>0</v>
      </c>
      <c r="J81">
        <v>479.29516559587927</v>
      </c>
      <c r="K81">
        <v>0</v>
      </c>
      <c r="L81">
        <v>0</v>
      </c>
      <c r="M81">
        <v>113.38165207644455</v>
      </c>
    </row>
    <row r="82" spans="1:13" x14ac:dyDescent="0.3">
      <c r="A82">
        <v>454</v>
      </c>
      <c r="B82">
        <v>0</v>
      </c>
      <c r="C82">
        <v>1481.2521150989523</v>
      </c>
      <c r="D82">
        <v>496.01561652396106</v>
      </c>
      <c r="E82">
        <v>0</v>
      </c>
      <c r="F82">
        <v>0</v>
      </c>
      <c r="G82">
        <v>0</v>
      </c>
      <c r="H82">
        <v>0</v>
      </c>
      <c r="I82">
        <v>0</v>
      </c>
      <c r="J82">
        <v>484.1248311963318</v>
      </c>
      <c r="K82">
        <v>0</v>
      </c>
      <c r="L82">
        <v>0</v>
      </c>
      <c r="M82">
        <v>120.60653689452478</v>
      </c>
    </row>
    <row r="83" spans="1:13" x14ac:dyDescent="0.3">
      <c r="A83">
        <v>456</v>
      </c>
      <c r="B83">
        <v>0</v>
      </c>
      <c r="C83">
        <v>1320.0377304495671</v>
      </c>
      <c r="D83">
        <v>678.49267570181314</v>
      </c>
      <c r="E83">
        <v>0</v>
      </c>
      <c r="F83">
        <v>0</v>
      </c>
      <c r="G83">
        <v>0</v>
      </c>
      <c r="H83">
        <v>0</v>
      </c>
      <c r="I83">
        <v>1.6794373160935971</v>
      </c>
      <c r="J83">
        <v>493.75457093151749</v>
      </c>
      <c r="K83">
        <v>0</v>
      </c>
      <c r="L83">
        <v>0</v>
      </c>
      <c r="M83">
        <v>125.95779870701978</v>
      </c>
    </row>
    <row r="84" spans="1:13" x14ac:dyDescent="0.3">
      <c r="A84">
        <v>458</v>
      </c>
      <c r="B84">
        <v>0</v>
      </c>
      <c r="C84">
        <v>1122.0702013435571</v>
      </c>
      <c r="D84">
        <v>889.34452995378228</v>
      </c>
      <c r="E84">
        <v>0</v>
      </c>
      <c r="F84">
        <v>0</v>
      </c>
      <c r="G84">
        <v>0</v>
      </c>
      <c r="H84">
        <v>0</v>
      </c>
      <c r="I84">
        <v>0</v>
      </c>
      <c r="J84">
        <v>502.02251971222847</v>
      </c>
      <c r="K84">
        <v>0</v>
      </c>
      <c r="L84">
        <v>0</v>
      </c>
      <c r="M84">
        <v>132.98609793701416</v>
      </c>
    </row>
    <row r="85" spans="1:13" x14ac:dyDescent="0.3">
      <c r="A85">
        <v>460</v>
      </c>
      <c r="B85">
        <v>0</v>
      </c>
      <c r="C85">
        <v>915.77344087338395</v>
      </c>
      <c r="D85">
        <v>1096.951639607327</v>
      </c>
      <c r="E85">
        <v>0</v>
      </c>
      <c r="F85">
        <v>0</v>
      </c>
      <c r="G85">
        <v>0</v>
      </c>
      <c r="H85">
        <v>0</v>
      </c>
      <c r="I85">
        <v>3.2941490678898706</v>
      </c>
      <c r="J85">
        <v>507.29895645504013</v>
      </c>
      <c r="K85">
        <v>0</v>
      </c>
      <c r="L85">
        <v>0</v>
      </c>
      <c r="M85">
        <v>140.00133538531952</v>
      </c>
    </row>
    <row r="86" spans="1:13" x14ac:dyDescent="0.3">
      <c r="A86">
        <v>462</v>
      </c>
      <c r="B86">
        <v>0</v>
      </c>
      <c r="C86">
        <v>694.01443198948368</v>
      </c>
      <c r="D86">
        <v>1357.0023364312019</v>
      </c>
      <c r="E86">
        <v>0</v>
      </c>
      <c r="F86">
        <v>0</v>
      </c>
      <c r="G86">
        <v>0</v>
      </c>
      <c r="H86">
        <v>0</v>
      </c>
      <c r="I86">
        <v>6.5319005363716105</v>
      </c>
      <c r="J86">
        <v>517.65311750745013</v>
      </c>
      <c r="K86">
        <v>0</v>
      </c>
      <c r="L86">
        <v>0</v>
      </c>
      <c r="M86">
        <v>146.96776206836122</v>
      </c>
    </row>
    <row r="87" spans="1:13" x14ac:dyDescent="0.3">
      <c r="A87">
        <v>464</v>
      </c>
      <c r="B87">
        <v>0</v>
      </c>
      <c r="C87">
        <v>476.04965181831449</v>
      </c>
      <c r="D87">
        <v>1614.3588532750325</v>
      </c>
      <c r="E87">
        <v>0</v>
      </c>
      <c r="F87">
        <v>0</v>
      </c>
      <c r="G87">
        <v>0</v>
      </c>
      <c r="H87">
        <v>0</v>
      </c>
      <c r="I87">
        <v>1.6192165027833827</v>
      </c>
      <c r="J87">
        <v>524.62614690181601</v>
      </c>
      <c r="K87">
        <v>0</v>
      </c>
      <c r="L87">
        <v>0</v>
      </c>
      <c r="M87">
        <v>153.82556776442135</v>
      </c>
    </row>
    <row r="88" spans="1:13" x14ac:dyDescent="0.3">
      <c r="A88">
        <v>466</v>
      </c>
      <c r="B88">
        <v>0</v>
      </c>
      <c r="C88">
        <v>319.80634530279434</v>
      </c>
      <c r="D88">
        <v>1875.4472611475428</v>
      </c>
      <c r="E88">
        <v>0</v>
      </c>
      <c r="F88">
        <v>0</v>
      </c>
      <c r="G88">
        <v>0</v>
      </c>
      <c r="H88">
        <v>0</v>
      </c>
      <c r="I88">
        <v>8.0353353091154354</v>
      </c>
      <c r="J88">
        <v>528.72506333979561</v>
      </c>
      <c r="K88">
        <v>0</v>
      </c>
      <c r="L88">
        <v>0</v>
      </c>
      <c r="M88">
        <v>162.31377324413182</v>
      </c>
    </row>
    <row r="89" spans="1:13" x14ac:dyDescent="0.3">
      <c r="A89">
        <v>468</v>
      </c>
      <c r="B89">
        <v>0</v>
      </c>
      <c r="C89">
        <v>191.49202644370064</v>
      </c>
      <c r="D89">
        <v>2104.8165239936766</v>
      </c>
      <c r="E89">
        <v>0</v>
      </c>
      <c r="F89">
        <v>0</v>
      </c>
      <c r="G89">
        <v>0</v>
      </c>
      <c r="H89">
        <v>0</v>
      </c>
      <c r="I89">
        <v>4.787300661092516</v>
      </c>
      <c r="J89">
        <v>537.77344092939268</v>
      </c>
      <c r="K89">
        <v>0</v>
      </c>
      <c r="L89">
        <v>0</v>
      </c>
      <c r="M89">
        <v>169.15129002526891</v>
      </c>
    </row>
    <row r="90" spans="1:13" x14ac:dyDescent="0.3">
      <c r="A90">
        <v>470</v>
      </c>
      <c r="B90">
        <v>0</v>
      </c>
      <c r="C90">
        <v>112.52949407977556</v>
      </c>
      <c r="D90">
        <v>2234.7406570772328</v>
      </c>
      <c r="E90">
        <v>0</v>
      </c>
      <c r="F90">
        <v>0</v>
      </c>
      <c r="G90">
        <v>0</v>
      </c>
      <c r="H90">
        <v>0</v>
      </c>
      <c r="I90">
        <v>4.754767355483474</v>
      </c>
      <c r="J90">
        <v>545.21332342877167</v>
      </c>
      <c r="K90">
        <v>0</v>
      </c>
      <c r="L90">
        <v>0</v>
      </c>
      <c r="M90">
        <v>174.3414697010607</v>
      </c>
    </row>
    <row r="91" spans="1:13" x14ac:dyDescent="0.3">
      <c r="A91">
        <v>472</v>
      </c>
      <c r="B91">
        <v>0</v>
      </c>
      <c r="C91">
        <v>66.187989143593455</v>
      </c>
      <c r="D91">
        <v>2289.7892434676496</v>
      </c>
      <c r="E91">
        <v>11.031331523932243</v>
      </c>
      <c r="F91">
        <v>0</v>
      </c>
      <c r="G91">
        <v>0</v>
      </c>
      <c r="H91">
        <v>0</v>
      </c>
      <c r="I91">
        <v>6.3036180136755675</v>
      </c>
      <c r="J91">
        <v>549.99067169319324</v>
      </c>
      <c r="K91">
        <v>0</v>
      </c>
      <c r="L91">
        <v>0</v>
      </c>
      <c r="M91">
        <v>181.22901789317254</v>
      </c>
    </row>
    <row r="92" spans="1:13" x14ac:dyDescent="0.3">
      <c r="A92">
        <v>474</v>
      </c>
      <c r="B92">
        <v>0</v>
      </c>
      <c r="C92">
        <v>39.141524207143995</v>
      </c>
      <c r="D92">
        <v>2325.0065379043531</v>
      </c>
      <c r="E92">
        <v>25.050575492572154</v>
      </c>
      <c r="F92">
        <v>0</v>
      </c>
      <c r="G92">
        <v>0</v>
      </c>
      <c r="H92">
        <v>0</v>
      </c>
      <c r="I92">
        <v>0</v>
      </c>
      <c r="J92">
        <v>558.94096567801614</v>
      </c>
      <c r="K92">
        <v>0</v>
      </c>
      <c r="L92">
        <v>0</v>
      </c>
      <c r="M92">
        <v>189.44497716257692</v>
      </c>
    </row>
    <row r="93" spans="1:13" x14ac:dyDescent="0.3">
      <c r="A93">
        <v>476</v>
      </c>
      <c r="B93">
        <v>0</v>
      </c>
      <c r="C93">
        <v>0</v>
      </c>
      <c r="D93">
        <v>2352.2025744770976</v>
      </c>
      <c r="E93">
        <v>59.155326161568304</v>
      </c>
      <c r="F93">
        <v>0</v>
      </c>
      <c r="G93">
        <v>0</v>
      </c>
      <c r="H93">
        <v>0</v>
      </c>
      <c r="I93">
        <v>0</v>
      </c>
      <c r="J93">
        <v>566.64575586344381</v>
      </c>
      <c r="K93">
        <v>0</v>
      </c>
      <c r="L93">
        <v>0</v>
      </c>
      <c r="M93">
        <v>196.14660779888439</v>
      </c>
    </row>
    <row r="94" spans="1:13" x14ac:dyDescent="0.3">
      <c r="A94">
        <v>478</v>
      </c>
      <c r="B94">
        <v>0</v>
      </c>
      <c r="C94">
        <v>0</v>
      </c>
      <c r="D94">
        <v>2348.1910034785087</v>
      </c>
      <c r="E94">
        <v>89.838442085589378</v>
      </c>
      <c r="F94">
        <v>0</v>
      </c>
      <c r="G94">
        <v>0</v>
      </c>
      <c r="H94">
        <v>0</v>
      </c>
      <c r="I94">
        <v>0</v>
      </c>
      <c r="J94">
        <v>570.00942564649813</v>
      </c>
      <c r="K94">
        <v>0</v>
      </c>
      <c r="L94">
        <v>0</v>
      </c>
      <c r="M94">
        <v>202.91096402090017</v>
      </c>
    </row>
    <row r="95" spans="1:13" x14ac:dyDescent="0.3">
      <c r="A95">
        <v>480</v>
      </c>
      <c r="B95">
        <v>0</v>
      </c>
      <c r="C95">
        <v>0</v>
      </c>
      <c r="D95">
        <v>2316.8771640273326</v>
      </c>
      <c r="E95">
        <v>146.44266838496117</v>
      </c>
      <c r="F95">
        <v>0</v>
      </c>
      <c r="G95">
        <v>0</v>
      </c>
      <c r="H95">
        <v>0</v>
      </c>
      <c r="I95">
        <v>0</v>
      </c>
      <c r="J95">
        <v>578.0631646774782</v>
      </c>
      <c r="K95">
        <v>0</v>
      </c>
      <c r="L95">
        <v>0</v>
      </c>
      <c r="M95">
        <v>209.64424105636544</v>
      </c>
    </row>
    <row r="96" spans="1:13" x14ac:dyDescent="0.3">
      <c r="A96">
        <v>482</v>
      </c>
      <c r="B96">
        <v>0</v>
      </c>
      <c r="C96">
        <v>0</v>
      </c>
      <c r="D96">
        <v>2268.9781970985687</v>
      </c>
      <c r="E96">
        <v>196.50149474195993</v>
      </c>
      <c r="F96">
        <v>0</v>
      </c>
      <c r="G96">
        <v>0</v>
      </c>
      <c r="H96">
        <v>0</v>
      </c>
      <c r="I96">
        <v>0</v>
      </c>
      <c r="J96">
        <v>584.89898044286508</v>
      </c>
      <c r="K96">
        <v>0</v>
      </c>
      <c r="L96">
        <v>0</v>
      </c>
      <c r="M96">
        <v>217.99384572936182</v>
      </c>
    </row>
    <row r="97" spans="1:13" x14ac:dyDescent="0.3">
      <c r="A97">
        <v>484</v>
      </c>
      <c r="B97">
        <v>0</v>
      </c>
      <c r="C97">
        <v>0</v>
      </c>
      <c r="D97">
        <v>2188.7881396489875</v>
      </c>
      <c r="E97">
        <v>285.8263841580731</v>
      </c>
      <c r="F97">
        <v>0</v>
      </c>
      <c r="G97">
        <v>0</v>
      </c>
      <c r="H97">
        <v>0</v>
      </c>
      <c r="I97">
        <v>0</v>
      </c>
      <c r="J97">
        <v>593.05153504455814</v>
      </c>
      <c r="K97">
        <v>0</v>
      </c>
      <c r="L97">
        <v>0</v>
      </c>
      <c r="M97">
        <v>224.68705064832483</v>
      </c>
    </row>
    <row r="98" spans="1:13" x14ac:dyDescent="0.3">
      <c r="A98">
        <v>486</v>
      </c>
      <c r="B98">
        <v>0</v>
      </c>
      <c r="C98">
        <v>0</v>
      </c>
      <c r="D98">
        <v>2079.3009021612706</v>
      </c>
      <c r="E98">
        <v>382.34763841939849</v>
      </c>
      <c r="F98">
        <v>0</v>
      </c>
      <c r="G98">
        <v>0</v>
      </c>
      <c r="H98">
        <v>0</v>
      </c>
      <c r="I98">
        <v>0</v>
      </c>
      <c r="J98">
        <v>598.65586413873939</v>
      </c>
      <c r="K98">
        <v>0</v>
      </c>
      <c r="L98">
        <v>0</v>
      </c>
      <c r="M98">
        <v>231.54119936154808</v>
      </c>
    </row>
    <row r="99" spans="1:13" x14ac:dyDescent="0.3">
      <c r="A99">
        <v>488</v>
      </c>
      <c r="B99">
        <v>0</v>
      </c>
      <c r="C99">
        <v>0</v>
      </c>
      <c r="D99">
        <v>1933.0047139531637</v>
      </c>
      <c r="E99">
        <v>523.4588903562335</v>
      </c>
      <c r="F99">
        <v>0</v>
      </c>
      <c r="G99">
        <v>0</v>
      </c>
      <c r="H99">
        <v>0</v>
      </c>
      <c r="I99">
        <v>0</v>
      </c>
      <c r="J99">
        <v>605.39158623807873</v>
      </c>
      <c r="K99">
        <v>0</v>
      </c>
      <c r="L99">
        <v>0</v>
      </c>
      <c r="M99">
        <v>239.72899906169536</v>
      </c>
    </row>
    <row r="100" spans="1:13" x14ac:dyDescent="0.3">
      <c r="A100">
        <v>490</v>
      </c>
      <c r="B100">
        <v>0</v>
      </c>
      <c r="C100">
        <v>0</v>
      </c>
      <c r="D100">
        <v>1778.2970856374484</v>
      </c>
      <c r="E100">
        <v>689.54376790023514</v>
      </c>
      <c r="F100">
        <v>0</v>
      </c>
      <c r="G100">
        <v>0</v>
      </c>
      <c r="H100">
        <v>0</v>
      </c>
      <c r="I100">
        <v>0</v>
      </c>
      <c r="J100">
        <v>612.42374122718252</v>
      </c>
      <c r="K100">
        <v>0</v>
      </c>
      <c r="L100">
        <v>0</v>
      </c>
      <c r="M100">
        <v>246.48165387661913</v>
      </c>
    </row>
    <row r="101" spans="1:13" x14ac:dyDescent="0.3">
      <c r="A101">
        <v>492</v>
      </c>
      <c r="B101">
        <v>0</v>
      </c>
      <c r="C101">
        <v>0</v>
      </c>
      <c r="D101">
        <v>1602.2358263007793</v>
      </c>
      <c r="E101">
        <v>883.26452889205711</v>
      </c>
      <c r="F101">
        <v>0</v>
      </c>
      <c r="G101">
        <v>0</v>
      </c>
      <c r="H101">
        <v>0</v>
      </c>
      <c r="I101">
        <v>0</v>
      </c>
      <c r="J101">
        <v>620.99826945994459</v>
      </c>
      <c r="K101">
        <v>0</v>
      </c>
      <c r="L101">
        <v>0</v>
      </c>
      <c r="M101">
        <v>253.22259531376378</v>
      </c>
    </row>
    <row r="102" spans="1:13" x14ac:dyDescent="0.3">
      <c r="A102">
        <v>494</v>
      </c>
      <c r="B102">
        <v>0</v>
      </c>
      <c r="C102">
        <v>0</v>
      </c>
      <c r="D102">
        <v>1405.6975532412196</v>
      </c>
      <c r="E102">
        <v>1097.4964854182781</v>
      </c>
      <c r="F102">
        <v>0</v>
      </c>
      <c r="G102">
        <v>0</v>
      </c>
      <c r="H102">
        <v>0</v>
      </c>
      <c r="I102">
        <v>0</v>
      </c>
      <c r="J102">
        <v>623.91923486107601</v>
      </c>
      <c r="K102">
        <v>0</v>
      </c>
      <c r="L102">
        <v>0</v>
      </c>
      <c r="M102">
        <v>261.59505268874028</v>
      </c>
    </row>
    <row r="103" spans="1:13" x14ac:dyDescent="0.3">
      <c r="A103">
        <v>496</v>
      </c>
      <c r="B103">
        <v>0</v>
      </c>
      <c r="C103">
        <v>0</v>
      </c>
      <c r="D103">
        <v>1175.1098482108528</v>
      </c>
      <c r="E103">
        <v>1356.4724650903338</v>
      </c>
      <c r="F103">
        <v>0</v>
      </c>
      <c r="G103">
        <v>0</v>
      </c>
      <c r="H103">
        <v>0</v>
      </c>
      <c r="I103">
        <v>0</v>
      </c>
      <c r="J103">
        <v>632.52086217471913</v>
      </c>
      <c r="K103">
        <v>0</v>
      </c>
      <c r="L103">
        <v>0</v>
      </c>
      <c r="M103">
        <v>268.29676381344723</v>
      </c>
    </row>
    <row r="104" spans="1:13" x14ac:dyDescent="0.3">
      <c r="A104">
        <v>498</v>
      </c>
      <c r="B104">
        <v>0</v>
      </c>
      <c r="C104">
        <v>0</v>
      </c>
      <c r="D104">
        <v>958.48731216305725</v>
      </c>
      <c r="E104">
        <v>1646.3253208916162</v>
      </c>
      <c r="F104">
        <v>0</v>
      </c>
      <c r="G104">
        <v>0</v>
      </c>
      <c r="H104">
        <v>1.4953000189751282</v>
      </c>
      <c r="I104">
        <v>0</v>
      </c>
      <c r="J104">
        <v>638.49310810237978</v>
      </c>
      <c r="K104">
        <v>0</v>
      </c>
      <c r="L104">
        <v>0</v>
      </c>
      <c r="M104">
        <v>276.63050351039874</v>
      </c>
    </row>
    <row r="105" spans="1:13" x14ac:dyDescent="0.3">
      <c r="A105">
        <v>500</v>
      </c>
      <c r="B105">
        <v>0</v>
      </c>
      <c r="C105">
        <v>0</v>
      </c>
      <c r="D105">
        <v>738.65876574898493</v>
      </c>
      <c r="E105">
        <v>1933.9429503246149</v>
      </c>
      <c r="F105">
        <v>0</v>
      </c>
      <c r="G105">
        <v>0</v>
      </c>
      <c r="H105">
        <v>0</v>
      </c>
      <c r="I105">
        <v>0</v>
      </c>
      <c r="J105">
        <v>647.63212996981713</v>
      </c>
      <c r="K105">
        <v>0</v>
      </c>
      <c r="L105">
        <v>0</v>
      </c>
      <c r="M105">
        <v>283.52558685314574</v>
      </c>
    </row>
    <row r="106" spans="1:13" x14ac:dyDescent="0.3">
      <c r="A106">
        <v>502</v>
      </c>
      <c r="B106">
        <v>0</v>
      </c>
      <c r="C106">
        <v>0</v>
      </c>
      <c r="D106">
        <v>561.51342371128419</v>
      </c>
      <c r="E106">
        <v>2196.902652451311</v>
      </c>
      <c r="F106">
        <v>0</v>
      </c>
      <c r="G106">
        <v>0</v>
      </c>
      <c r="H106">
        <v>0</v>
      </c>
      <c r="I106">
        <v>0</v>
      </c>
      <c r="J106">
        <v>653.85780639059351</v>
      </c>
      <c r="K106">
        <v>0</v>
      </c>
      <c r="L106">
        <v>0</v>
      </c>
      <c r="M106">
        <v>290.43797778169869</v>
      </c>
    </row>
    <row r="107" spans="1:13" x14ac:dyDescent="0.3">
      <c r="A107">
        <v>504</v>
      </c>
      <c r="B107">
        <v>0</v>
      </c>
      <c r="C107">
        <v>0</v>
      </c>
      <c r="D107">
        <v>417.92529599555911</v>
      </c>
      <c r="E107">
        <v>2436.1624015684188</v>
      </c>
      <c r="F107">
        <v>0</v>
      </c>
      <c r="G107">
        <v>0</v>
      </c>
      <c r="H107">
        <v>0</v>
      </c>
      <c r="I107">
        <v>5.9491145337446127</v>
      </c>
      <c r="J107">
        <v>661.83899187908821</v>
      </c>
      <c r="K107">
        <v>0</v>
      </c>
      <c r="L107">
        <v>0</v>
      </c>
      <c r="M107">
        <v>297.45572668723065</v>
      </c>
    </row>
    <row r="108" spans="1:13" x14ac:dyDescent="0.3">
      <c r="A108">
        <v>506</v>
      </c>
      <c r="B108">
        <v>0</v>
      </c>
      <c r="C108">
        <v>0</v>
      </c>
      <c r="D108">
        <v>338.00233386039895</v>
      </c>
      <c r="E108">
        <v>2598.6672940955345</v>
      </c>
      <c r="F108">
        <v>2.926427132990467</v>
      </c>
      <c r="G108">
        <v>0</v>
      </c>
      <c r="H108">
        <v>0</v>
      </c>
      <c r="I108">
        <v>5.8528542659809339</v>
      </c>
      <c r="J108">
        <v>668.68859988832173</v>
      </c>
      <c r="K108">
        <v>0</v>
      </c>
      <c r="L108">
        <v>0</v>
      </c>
      <c r="M108">
        <v>302.88520826451338</v>
      </c>
    </row>
    <row r="109" spans="1:13" x14ac:dyDescent="0.3">
      <c r="A109">
        <v>508</v>
      </c>
      <c r="B109">
        <v>0</v>
      </c>
      <c r="C109">
        <v>0</v>
      </c>
      <c r="D109">
        <v>295.19167974072121</v>
      </c>
      <c r="E109">
        <v>2726.6014090060817</v>
      </c>
      <c r="F109">
        <v>25.668841716584449</v>
      </c>
      <c r="G109">
        <v>0</v>
      </c>
      <c r="H109">
        <v>0</v>
      </c>
      <c r="I109">
        <v>5.7041870481298771</v>
      </c>
      <c r="J109">
        <v>668.8159313932282</v>
      </c>
      <c r="K109">
        <v>0</v>
      </c>
      <c r="L109">
        <v>0</v>
      </c>
      <c r="M109">
        <v>309.45214736104589</v>
      </c>
    </row>
    <row r="110" spans="1:13" x14ac:dyDescent="0.3">
      <c r="A110">
        <v>510</v>
      </c>
      <c r="B110">
        <v>0</v>
      </c>
      <c r="C110">
        <v>0</v>
      </c>
      <c r="D110">
        <v>235.11943822533334</v>
      </c>
      <c r="E110">
        <v>2869.5902520754539</v>
      </c>
      <c r="F110">
        <v>39.658700423550201</v>
      </c>
      <c r="G110">
        <v>0</v>
      </c>
      <c r="H110">
        <v>0</v>
      </c>
      <c r="I110">
        <v>5.6655286319357439</v>
      </c>
      <c r="J110">
        <v>677.03067151632138</v>
      </c>
      <c r="K110">
        <v>0</v>
      </c>
      <c r="L110">
        <v>0</v>
      </c>
      <c r="M110">
        <v>315.85322123041772</v>
      </c>
    </row>
    <row r="111" spans="1:13" x14ac:dyDescent="0.3">
      <c r="A111">
        <v>512</v>
      </c>
      <c r="B111">
        <v>0</v>
      </c>
      <c r="C111">
        <v>0</v>
      </c>
      <c r="D111">
        <v>170.68575646207958</v>
      </c>
      <c r="E111">
        <v>2966.5466598326725</v>
      </c>
      <c r="F111">
        <v>73.35255649610032</v>
      </c>
      <c r="G111">
        <v>0</v>
      </c>
      <c r="H111">
        <v>0</v>
      </c>
      <c r="I111">
        <v>4.2318782593904034</v>
      </c>
      <c r="J111">
        <v>684.15365193478181</v>
      </c>
      <c r="K111">
        <v>0</v>
      </c>
      <c r="L111">
        <v>0</v>
      </c>
      <c r="M111">
        <v>323.03337380013409</v>
      </c>
    </row>
    <row r="112" spans="1:13" x14ac:dyDescent="0.3">
      <c r="A112">
        <v>514</v>
      </c>
      <c r="B112">
        <v>0</v>
      </c>
      <c r="C112">
        <v>0</v>
      </c>
      <c r="D112">
        <v>120.58092009066362</v>
      </c>
      <c r="E112">
        <v>3003.3061724907152</v>
      </c>
      <c r="F112">
        <v>106.55988287081904</v>
      </c>
      <c r="G112">
        <v>0</v>
      </c>
      <c r="H112">
        <v>4.2063111659533821</v>
      </c>
      <c r="I112">
        <v>2.8042074439689215</v>
      </c>
      <c r="J112">
        <v>689.83503121635476</v>
      </c>
      <c r="K112">
        <v>0</v>
      </c>
      <c r="L112">
        <v>0</v>
      </c>
      <c r="M112">
        <v>329.49437466634834</v>
      </c>
    </row>
    <row r="113" spans="1:13" x14ac:dyDescent="0.3">
      <c r="A113">
        <v>516</v>
      </c>
      <c r="B113">
        <v>0</v>
      </c>
      <c r="C113">
        <v>0</v>
      </c>
      <c r="D113">
        <v>73.670348347974411</v>
      </c>
      <c r="E113">
        <v>2994.0741573874875</v>
      </c>
      <c r="F113">
        <v>157.07074270417183</v>
      </c>
      <c r="G113">
        <v>0</v>
      </c>
      <c r="H113">
        <v>9.7300460082230344</v>
      </c>
      <c r="I113">
        <v>0</v>
      </c>
      <c r="J113">
        <v>690.83326658383555</v>
      </c>
      <c r="K113">
        <v>0</v>
      </c>
      <c r="L113">
        <v>0</v>
      </c>
      <c r="M113">
        <v>336.38159056999632</v>
      </c>
    </row>
    <row r="114" spans="1:13" x14ac:dyDescent="0.3">
      <c r="A114">
        <v>518</v>
      </c>
      <c r="B114">
        <v>0</v>
      </c>
      <c r="C114">
        <v>0</v>
      </c>
      <c r="D114">
        <v>35.862802465649189</v>
      </c>
      <c r="E114">
        <v>2960.0605419724293</v>
      </c>
      <c r="F114">
        <v>213.79747623752402</v>
      </c>
      <c r="G114">
        <v>0</v>
      </c>
      <c r="H114">
        <v>9.6553698945978592</v>
      </c>
      <c r="I114">
        <v>0</v>
      </c>
      <c r="J114">
        <v>699.32464808015914</v>
      </c>
      <c r="K114">
        <v>0</v>
      </c>
      <c r="L114">
        <v>0</v>
      </c>
      <c r="M114">
        <v>343.4553005364096</v>
      </c>
    </row>
    <row r="115" spans="1:13" x14ac:dyDescent="0.3">
      <c r="A115">
        <v>520</v>
      </c>
      <c r="B115">
        <v>0</v>
      </c>
      <c r="C115">
        <v>0</v>
      </c>
      <c r="D115">
        <v>10.965532430277056</v>
      </c>
      <c r="E115">
        <v>2885.3057207166498</v>
      </c>
      <c r="F115">
        <v>286.47453474098808</v>
      </c>
      <c r="G115">
        <v>0</v>
      </c>
      <c r="H115">
        <v>6.8534577689231595</v>
      </c>
      <c r="I115">
        <v>1.370691553784632</v>
      </c>
      <c r="J115">
        <v>703.16476709151618</v>
      </c>
      <c r="K115">
        <v>0</v>
      </c>
      <c r="L115">
        <v>0</v>
      </c>
      <c r="M115">
        <v>349.52634621508116</v>
      </c>
    </row>
    <row r="116" spans="1:13" x14ac:dyDescent="0.3">
      <c r="A116">
        <v>522</v>
      </c>
      <c r="B116">
        <v>0</v>
      </c>
      <c r="C116">
        <v>0</v>
      </c>
      <c r="D116">
        <v>10.93473314170695</v>
      </c>
      <c r="E116">
        <v>2804.7590508478329</v>
      </c>
      <c r="F116">
        <v>379.98197667431651</v>
      </c>
      <c r="G116">
        <v>0</v>
      </c>
      <c r="H116">
        <v>12.301574784420319</v>
      </c>
      <c r="I116">
        <v>4.1005249281401062</v>
      </c>
      <c r="J116">
        <v>710.75765421095173</v>
      </c>
      <c r="K116">
        <v>0</v>
      </c>
      <c r="L116">
        <v>0</v>
      </c>
      <c r="M116">
        <v>355.37882710547586</v>
      </c>
    </row>
    <row r="117" spans="1:13" x14ac:dyDescent="0.3">
      <c r="A117">
        <v>524</v>
      </c>
      <c r="B117">
        <v>0</v>
      </c>
      <c r="C117">
        <v>0</v>
      </c>
      <c r="D117">
        <v>4.1097100814325973</v>
      </c>
      <c r="E117">
        <v>2705.5591369431268</v>
      </c>
      <c r="F117">
        <v>497.27491985334427</v>
      </c>
      <c r="G117">
        <v>0</v>
      </c>
      <c r="H117">
        <v>12.329130244297794</v>
      </c>
      <c r="I117">
        <v>5.4796134419101303</v>
      </c>
      <c r="J117">
        <v>713.71965080879443</v>
      </c>
      <c r="K117">
        <v>0</v>
      </c>
      <c r="L117">
        <v>0</v>
      </c>
      <c r="M117">
        <v>361.65448716606858</v>
      </c>
    </row>
    <row r="118" spans="1:13" x14ac:dyDescent="0.3">
      <c r="A118">
        <v>526</v>
      </c>
      <c r="B118">
        <v>0</v>
      </c>
      <c r="C118">
        <v>0</v>
      </c>
      <c r="D118">
        <v>4.1253882459253655</v>
      </c>
      <c r="E118">
        <v>2556.3655830584185</v>
      </c>
      <c r="F118">
        <v>658.68698993275007</v>
      </c>
      <c r="G118">
        <v>0</v>
      </c>
      <c r="H118">
        <v>9.6259059071591864</v>
      </c>
      <c r="I118">
        <v>8.2507764918507309</v>
      </c>
      <c r="J118">
        <v>730.19371952878976</v>
      </c>
      <c r="K118">
        <v>0</v>
      </c>
      <c r="L118">
        <v>0</v>
      </c>
      <c r="M118">
        <v>372.66007154859136</v>
      </c>
    </row>
    <row r="119" spans="1:13" x14ac:dyDescent="0.3">
      <c r="A119">
        <v>528</v>
      </c>
      <c r="B119">
        <v>0</v>
      </c>
      <c r="C119">
        <v>0</v>
      </c>
      <c r="D119">
        <v>0</v>
      </c>
      <c r="E119">
        <v>2381.9376637156761</v>
      </c>
      <c r="F119">
        <v>843.2861142580166</v>
      </c>
      <c r="G119">
        <v>0</v>
      </c>
      <c r="H119">
        <v>13.824362528819943</v>
      </c>
      <c r="I119">
        <v>5.5297450115279769</v>
      </c>
      <c r="J119">
        <v>736.838522786103</v>
      </c>
      <c r="K119">
        <v>0</v>
      </c>
      <c r="L119">
        <v>0</v>
      </c>
      <c r="M119">
        <v>380.16996954254842</v>
      </c>
    </row>
    <row r="120" spans="1:13" x14ac:dyDescent="0.3">
      <c r="A120">
        <v>530</v>
      </c>
      <c r="B120">
        <v>0</v>
      </c>
      <c r="C120">
        <v>0</v>
      </c>
      <c r="D120">
        <v>0</v>
      </c>
      <c r="E120">
        <v>2176.3143782693323</v>
      </c>
      <c r="F120">
        <v>1049.0951361913706</v>
      </c>
      <c r="G120">
        <v>0</v>
      </c>
      <c r="H120">
        <v>12.555659874630765</v>
      </c>
      <c r="I120">
        <v>2.7901466388068363</v>
      </c>
      <c r="J120">
        <v>743.57407924202187</v>
      </c>
      <c r="K120">
        <v>0</v>
      </c>
      <c r="L120">
        <v>0</v>
      </c>
      <c r="M120">
        <v>387.83038279415024</v>
      </c>
    </row>
    <row r="121" spans="1:13" x14ac:dyDescent="0.3">
      <c r="A121">
        <v>532</v>
      </c>
      <c r="B121">
        <v>0</v>
      </c>
      <c r="C121">
        <v>0</v>
      </c>
      <c r="D121">
        <v>0</v>
      </c>
      <c r="E121">
        <v>1925.8865862535235</v>
      </c>
      <c r="F121">
        <v>1302.1460252034376</v>
      </c>
      <c r="G121">
        <v>0</v>
      </c>
      <c r="H121">
        <v>12.614977639215219</v>
      </c>
      <c r="I121">
        <v>0</v>
      </c>
      <c r="J121">
        <v>747.08700907796799</v>
      </c>
      <c r="K121">
        <v>0</v>
      </c>
      <c r="L121">
        <v>0</v>
      </c>
      <c r="M121">
        <v>393.86763517994183</v>
      </c>
    </row>
    <row r="122" spans="1:13" x14ac:dyDescent="0.3">
      <c r="A122">
        <v>534</v>
      </c>
      <c r="B122">
        <v>0</v>
      </c>
      <c r="C122">
        <v>0</v>
      </c>
      <c r="D122">
        <v>0</v>
      </c>
      <c r="E122">
        <v>1652.059293923629</v>
      </c>
      <c r="F122">
        <v>1578.8222237752666</v>
      </c>
      <c r="G122">
        <v>0</v>
      </c>
      <c r="H122">
        <v>11.26724156128647</v>
      </c>
      <c r="I122">
        <v>0</v>
      </c>
      <c r="J122">
        <v>749.27156382555029</v>
      </c>
      <c r="K122">
        <v>0</v>
      </c>
      <c r="L122">
        <v>0</v>
      </c>
      <c r="M122">
        <v>399.98707542566973</v>
      </c>
    </row>
    <row r="123" spans="1:13" x14ac:dyDescent="0.3">
      <c r="A123">
        <v>536</v>
      </c>
      <c r="B123">
        <v>0</v>
      </c>
      <c r="C123">
        <v>0</v>
      </c>
      <c r="D123">
        <v>0</v>
      </c>
      <c r="E123">
        <v>1387.1106082972194</v>
      </c>
      <c r="F123">
        <v>1829.439997320791</v>
      </c>
      <c r="G123">
        <v>0</v>
      </c>
      <c r="H123">
        <v>11.451893566953309</v>
      </c>
      <c r="I123">
        <v>0</v>
      </c>
      <c r="J123">
        <v>760.11943550652586</v>
      </c>
      <c r="K123">
        <v>0</v>
      </c>
      <c r="L123">
        <v>0</v>
      </c>
      <c r="M123">
        <v>407.97370832271167</v>
      </c>
    </row>
    <row r="124" spans="1:13" x14ac:dyDescent="0.3">
      <c r="A124">
        <v>538</v>
      </c>
      <c r="B124">
        <v>7.1726117440663169</v>
      </c>
      <c r="C124">
        <v>0</v>
      </c>
      <c r="D124">
        <v>0</v>
      </c>
      <c r="E124">
        <v>1297.3461492079953</v>
      </c>
      <c r="F124">
        <v>1958.1230061301046</v>
      </c>
      <c r="G124">
        <v>2.6897294040248694</v>
      </c>
      <c r="H124">
        <v>20.621258764190664</v>
      </c>
      <c r="I124">
        <v>4.4828823400414484</v>
      </c>
      <c r="J124">
        <v>779.12495069920374</v>
      </c>
      <c r="K124">
        <v>0</v>
      </c>
      <c r="L124">
        <v>0.89657646800828961</v>
      </c>
      <c r="M124">
        <v>413.32175175182152</v>
      </c>
    </row>
    <row r="125" spans="1:13" x14ac:dyDescent="0.3">
      <c r="A125">
        <v>540</v>
      </c>
      <c r="B125">
        <v>10.384481744528841</v>
      </c>
      <c r="C125">
        <v>0</v>
      </c>
      <c r="D125">
        <v>0</v>
      </c>
      <c r="E125">
        <v>1014.2177170489834</v>
      </c>
      <c r="F125">
        <v>2270.7400081369733</v>
      </c>
      <c r="G125">
        <v>0</v>
      </c>
      <c r="H125">
        <v>19.903590010346946</v>
      </c>
      <c r="I125">
        <v>6.0576143509751565</v>
      </c>
      <c r="J125">
        <v>787.48986562677044</v>
      </c>
      <c r="K125">
        <v>0</v>
      </c>
      <c r="L125">
        <v>0.86537347871073678</v>
      </c>
      <c r="M125">
        <v>421.43688413212874</v>
      </c>
    </row>
    <row r="126" spans="1:13" x14ac:dyDescent="0.3">
      <c r="A126">
        <v>542</v>
      </c>
      <c r="B126">
        <v>12.497261035328881</v>
      </c>
      <c r="C126">
        <v>6.6652058855087359</v>
      </c>
      <c r="D126">
        <v>0</v>
      </c>
      <c r="E126">
        <v>812.32196729637724</v>
      </c>
      <c r="F126">
        <v>2580.2678284275694</v>
      </c>
      <c r="G126">
        <v>0</v>
      </c>
      <c r="H126">
        <v>20.828768392214801</v>
      </c>
      <c r="I126">
        <v>5.8320551498201443</v>
      </c>
      <c r="J126">
        <v>793.99265111122816</v>
      </c>
      <c r="K126">
        <v>0</v>
      </c>
      <c r="L126">
        <v>0.83315073568859199</v>
      </c>
      <c r="M126">
        <v>427.40632740824776</v>
      </c>
    </row>
    <row r="127" spans="1:13" x14ac:dyDescent="0.3">
      <c r="A127">
        <v>544</v>
      </c>
      <c r="B127">
        <v>15.182591308621966</v>
      </c>
      <c r="C127">
        <v>3.1963350123414664</v>
      </c>
      <c r="D127">
        <v>0</v>
      </c>
      <c r="E127">
        <v>656.84684503617132</v>
      </c>
      <c r="F127">
        <v>2912.6602799961615</v>
      </c>
      <c r="G127">
        <v>2.3972512592560999</v>
      </c>
      <c r="H127">
        <v>18.378926320963433</v>
      </c>
      <c r="I127">
        <v>8.7899212839390319</v>
      </c>
      <c r="J127">
        <v>800.68192059153739</v>
      </c>
      <c r="K127">
        <v>0</v>
      </c>
      <c r="L127">
        <v>0.79908375308536661</v>
      </c>
      <c r="M127">
        <v>434.70156167843948</v>
      </c>
    </row>
    <row r="128" spans="1:13" x14ac:dyDescent="0.3">
      <c r="A128">
        <v>546</v>
      </c>
      <c r="B128">
        <v>14.587890249538999</v>
      </c>
      <c r="C128">
        <v>11.516755460162367</v>
      </c>
      <c r="D128">
        <v>0.76778369734415797</v>
      </c>
      <c r="E128">
        <v>532.07410225950139</v>
      </c>
      <c r="F128">
        <v>3224.6915288454629</v>
      </c>
      <c r="G128">
        <v>34.550266380487109</v>
      </c>
      <c r="H128">
        <v>13.052322854850685</v>
      </c>
      <c r="I128">
        <v>7.677836973441579</v>
      </c>
      <c r="J128">
        <v>806.94066590871</v>
      </c>
      <c r="K128">
        <v>0</v>
      </c>
      <c r="L128">
        <v>1.5355673946883159</v>
      </c>
      <c r="M128">
        <v>441.47562597289078</v>
      </c>
    </row>
    <row r="129" spans="1:13" x14ac:dyDescent="0.3">
      <c r="A129">
        <v>548</v>
      </c>
      <c r="B129">
        <v>19.890259044853916</v>
      </c>
      <c r="C129">
        <v>14.733525218410309</v>
      </c>
      <c r="D129">
        <v>3.6833813046025772</v>
      </c>
      <c r="E129">
        <v>443.47910907415024</v>
      </c>
      <c r="F129">
        <v>3477.1119515448327</v>
      </c>
      <c r="G129">
        <v>75.140978613892571</v>
      </c>
      <c r="H129">
        <v>10.313467652887216</v>
      </c>
      <c r="I129">
        <v>4.4200575655230923</v>
      </c>
      <c r="J129">
        <v>812.55391579532852</v>
      </c>
      <c r="K129">
        <v>0</v>
      </c>
      <c r="L129">
        <v>1.4733525218410308</v>
      </c>
      <c r="M129">
        <v>446.42581411783232</v>
      </c>
    </row>
    <row r="130" spans="1:13" x14ac:dyDescent="0.3">
      <c r="A130">
        <v>550</v>
      </c>
      <c r="B130">
        <v>24.027116392461789</v>
      </c>
      <c r="C130">
        <v>19.080357135190244</v>
      </c>
      <c r="D130">
        <v>7.0667989389593497</v>
      </c>
      <c r="E130">
        <v>383.72718238549271</v>
      </c>
      <c r="F130">
        <v>3616.7876969593949</v>
      </c>
      <c r="G130">
        <v>122.96230153789269</v>
      </c>
      <c r="H130">
        <v>8.4801587267512204</v>
      </c>
      <c r="I130">
        <v>5.65343915116748</v>
      </c>
      <c r="J130">
        <v>821.16203670707637</v>
      </c>
      <c r="K130">
        <v>0</v>
      </c>
      <c r="L130">
        <v>2.1200396816878051</v>
      </c>
      <c r="M130">
        <v>454.39517177508617</v>
      </c>
    </row>
    <row r="131" spans="1:13" x14ac:dyDescent="0.3">
      <c r="A131">
        <v>552</v>
      </c>
      <c r="B131">
        <v>25.20514360645268</v>
      </c>
      <c r="C131">
        <v>19.755382826679128</v>
      </c>
      <c r="D131">
        <v>8.8558612671320223</v>
      </c>
      <c r="E131">
        <v>324.94198649399806</v>
      </c>
      <c r="F131">
        <v>3662.9204641052988</v>
      </c>
      <c r="G131">
        <v>183.92942631735738</v>
      </c>
      <c r="H131">
        <v>5.4497607797735528</v>
      </c>
      <c r="I131">
        <v>4.0873205848301648</v>
      </c>
      <c r="J131">
        <v>827.68241842810835</v>
      </c>
      <c r="K131">
        <v>0</v>
      </c>
      <c r="L131">
        <v>2.7248803898867764</v>
      </c>
      <c r="M131">
        <v>460.50478589086521</v>
      </c>
    </row>
    <row r="132" spans="1:13" x14ac:dyDescent="0.3">
      <c r="A132">
        <v>554</v>
      </c>
      <c r="B132">
        <v>27.873639626674045</v>
      </c>
      <c r="C132">
        <v>17.918768331433313</v>
      </c>
      <c r="D132">
        <v>9.2912132088913477</v>
      </c>
      <c r="E132">
        <v>264.7995764534034</v>
      </c>
      <c r="F132">
        <v>3664.0562947349381</v>
      </c>
      <c r="G132">
        <v>254.8447051581627</v>
      </c>
      <c r="H132">
        <v>6.6365808634938208</v>
      </c>
      <c r="I132">
        <v>7.9638970361925843</v>
      </c>
      <c r="J132">
        <v>836.20918880022134</v>
      </c>
      <c r="K132">
        <v>0</v>
      </c>
      <c r="L132">
        <v>3.3182904317469104</v>
      </c>
      <c r="M132">
        <v>467.21529278996496</v>
      </c>
    </row>
    <row r="133" spans="1:13" x14ac:dyDescent="0.3">
      <c r="A133">
        <v>556</v>
      </c>
      <c r="B133">
        <v>33.844375657317713</v>
      </c>
      <c r="C133">
        <v>20.176454718785557</v>
      </c>
      <c r="D133">
        <v>12.366214182481471</v>
      </c>
      <c r="E133">
        <v>214.78161474836239</v>
      </c>
      <c r="F133">
        <v>3637.6195297836284</v>
      </c>
      <c r="G133">
        <v>347.55570386553188</v>
      </c>
      <c r="H133">
        <v>8.4610939143294281</v>
      </c>
      <c r="I133">
        <v>9.1119472923547686</v>
      </c>
      <c r="J133">
        <v>842.20427116479084</v>
      </c>
      <c r="K133">
        <v>0</v>
      </c>
      <c r="L133">
        <v>2.6034135121013624</v>
      </c>
      <c r="M133">
        <v>473.82125920244795</v>
      </c>
    </row>
    <row r="134" spans="1:13" x14ac:dyDescent="0.3">
      <c r="A134">
        <v>558</v>
      </c>
      <c r="B134">
        <v>33.118266554407661</v>
      </c>
      <c r="C134">
        <v>19.743581984358418</v>
      </c>
      <c r="D134">
        <v>15.285353794341999</v>
      </c>
      <c r="E134">
        <v>171.32334044491657</v>
      </c>
      <c r="F134">
        <v>3569.1301109788569</v>
      </c>
      <c r="G134">
        <v>456.64994460596722</v>
      </c>
      <c r="H134">
        <v>11.464015345756499</v>
      </c>
      <c r="I134">
        <v>11.464015345756499</v>
      </c>
      <c r="J134">
        <v>847.70024584455007</v>
      </c>
      <c r="K134">
        <v>0</v>
      </c>
      <c r="L134">
        <v>2.5475589657236664</v>
      </c>
      <c r="M134">
        <v>480.21486503891117</v>
      </c>
    </row>
    <row r="135" spans="1:13" x14ac:dyDescent="0.3">
      <c r="A135">
        <v>560</v>
      </c>
      <c r="B135">
        <v>33.001417603329429</v>
      </c>
      <c r="C135">
        <v>18.68004769999779</v>
      </c>
      <c r="D135">
        <v>18.68004769999779</v>
      </c>
      <c r="E135">
        <v>133.87367518331752</v>
      </c>
      <c r="F135">
        <v>3484.4515643062541</v>
      </c>
      <c r="G135">
        <v>580.94948346993124</v>
      </c>
      <c r="H135">
        <v>14.944038159998232</v>
      </c>
      <c r="I135">
        <v>14.32136990333164</v>
      </c>
      <c r="J135">
        <v>853.67817988989907</v>
      </c>
      <c r="K135">
        <v>0</v>
      </c>
      <c r="L135">
        <v>2.4906730266663724</v>
      </c>
      <c r="M135">
        <v>486.30390845660918</v>
      </c>
    </row>
    <row r="136" spans="1:13" x14ac:dyDescent="0.3">
      <c r="A136">
        <v>562</v>
      </c>
      <c r="B136">
        <v>34.471768330312109</v>
      </c>
      <c r="C136">
        <v>13.909660905213659</v>
      </c>
      <c r="D136">
        <v>24.795482483206957</v>
      </c>
      <c r="E136">
        <v>112.48682297259741</v>
      </c>
      <c r="F136">
        <v>3377.0237606396986</v>
      </c>
      <c r="G136">
        <v>731.16434932188315</v>
      </c>
      <c r="H136">
        <v>20.56210742509845</v>
      </c>
      <c r="I136">
        <v>17.538268097878088</v>
      </c>
      <c r="J136">
        <v>860.58467252691457</v>
      </c>
      <c r="K136">
        <v>0</v>
      </c>
      <c r="L136">
        <v>3.0238393272203603</v>
      </c>
      <c r="M136">
        <v>492.88581033691878</v>
      </c>
    </row>
    <row r="137" spans="1:13" x14ac:dyDescent="0.3">
      <c r="A137">
        <v>564</v>
      </c>
      <c r="B137">
        <v>41.848198494239234</v>
      </c>
      <c r="C137">
        <v>15.111849456253058</v>
      </c>
      <c r="D137">
        <v>29.0612489543328</v>
      </c>
      <c r="E137">
        <v>93.57722163295162</v>
      </c>
      <c r="F137">
        <v>3236.8419085335877</v>
      </c>
      <c r="G137">
        <v>931.12241649682301</v>
      </c>
      <c r="H137">
        <v>24.411449121639556</v>
      </c>
      <c r="I137">
        <v>21.505324226206273</v>
      </c>
      <c r="J137">
        <v>867.18766879729083</v>
      </c>
      <c r="K137">
        <v>0</v>
      </c>
      <c r="L137">
        <v>2.9061248954332801</v>
      </c>
      <c r="M137">
        <v>499.27225703543758</v>
      </c>
    </row>
    <row r="138" spans="1:13" x14ac:dyDescent="0.3">
      <c r="A138">
        <v>566</v>
      </c>
      <c r="B138">
        <v>45.131152301435137</v>
      </c>
      <c r="C138">
        <v>13.929367994270105</v>
      </c>
      <c r="D138">
        <v>30.644609587394232</v>
      </c>
      <c r="E138">
        <v>69.089665251579717</v>
      </c>
      <c r="F138">
        <v>3071.7042300964436</v>
      </c>
      <c r="G138">
        <v>1146.665573288315</v>
      </c>
      <c r="H138">
        <v>32.31613374670664</v>
      </c>
      <c r="I138">
        <v>25.630037109456989</v>
      </c>
      <c r="J138">
        <v>874.20713532039167</v>
      </c>
      <c r="K138">
        <v>0</v>
      </c>
      <c r="L138">
        <v>2.7858735988540206</v>
      </c>
      <c r="M138">
        <v>505.9146455518902</v>
      </c>
    </row>
    <row r="139" spans="1:13" x14ac:dyDescent="0.3">
      <c r="A139">
        <v>568</v>
      </c>
      <c r="B139">
        <v>48.330375094159812</v>
      </c>
      <c r="C139">
        <v>12.351095857396396</v>
      </c>
      <c r="D139">
        <v>37.590291739902078</v>
      </c>
      <c r="E139">
        <v>59.070458448417547</v>
      </c>
      <c r="F139">
        <v>2868.6762639222416</v>
      </c>
      <c r="G139">
        <v>1395.1368277180802</v>
      </c>
      <c r="H139">
        <v>41.349320913892285</v>
      </c>
      <c r="I139">
        <v>26.313204217931457</v>
      </c>
      <c r="J139">
        <v>879.61282671370861</v>
      </c>
      <c r="K139">
        <v>0</v>
      </c>
      <c r="L139">
        <v>3.2220250062773208</v>
      </c>
      <c r="M139">
        <v>512.30197599809401</v>
      </c>
    </row>
    <row r="140" spans="1:13" x14ac:dyDescent="0.3">
      <c r="A140">
        <v>570</v>
      </c>
      <c r="B140">
        <v>50.028378298708077</v>
      </c>
      <c r="C140">
        <v>16.154997158957819</v>
      </c>
      <c r="D140">
        <v>43.253702070758024</v>
      </c>
      <c r="E140">
        <v>52.63402300176579</v>
      </c>
      <c r="F140">
        <v>2626.4898606821744</v>
      </c>
      <c r="G140">
        <v>1680.6408334722246</v>
      </c>
      <c r="H140">
        <v>52.11289406115425</v>
      </c>
      <c r="I140">
        <v>30.225478555469468</v>
      </c>
      <c r="J140">
        <v>884.87694115839906</v>
      </c>
      <c r="K140">
        <v>0</v>
      </c>
      <c r="L140">
        <v>3.6479025842807973</v>
      </c>
      <c r="M140">
        <v>519.04442484909634</v>
      </c>
    </row>
    <row r="141" spans="1:13" x14ac:dyDescent="0.3">
      <c r="A141">
        <v>572</v>
      </c>
      <c r="B141">
        <v>51.852984996131262</v>
      </c>
      <c r="C141">
        <v>12.709064950032172</v>
      </c>
      <c r="D141">
        <v>46.769359016118393</v>
      </c>
      <c r="E141">
        <v>52.869710192133837</v>
      </c>
      <c r="F141">
        <v>2369.4780692839981</v>
      </c>
      <c r="G141">
        <v>2000.9151857330651</v>
      </c>
      <c r="H141">
        <v>64.053687348162157</v>
      </c>
      <c r="I141">
        <v>31.518481076079787</v>
      </c>
      <c r="J141">
        <v>890.65127169825462</v>
      </c>
      <c r="K141">
        <v>0</v>
      </c>
      <c r="L141">
        <v>3.5585381860090086</v>
      </c>
      <c r="M141">
        <v>525.1385637353294</v>
      </c>
    </row>
    <row r="142" spans="1:13" x14ac:dyDescent="0.3">
      <c r="A142">
        <v>574</v>
      </c>
      <c r="B142">
        <v>54.80322229269742</v>
      </c>
      <c r="C142">
        <v>13.949911129050252</v>
      </c>
      <c r="D142">
        <v>51.813955622186647</v>
      </c>
      <c r="E142">
        <v>51.315744510434854</v>
      </c>
      <c r="F142">
        <v>2096.9705693633036</v>
      </c>
      <c r="G142">
        <v>2341.0940141216834</v>
      </c>
      <c r="H142">
        <v>79.215566768535354</v>
      </c>
      <c r="I142">
        <v>33.380144487370245</v>
      </c>
      <c r="J142">
        <v>895.78357892972679</v>
      </c>
      <c r="K142">
        <v>0</v>
      </c>
      <c r="L142">
        <v>3.9856888940143573</v>
      </c>
      <c r="M142">
        <v>530.59483401566138</v>
      </c>
    </row>
    <row r="143" spans="1:13" x14ac:dyDescent="0.3">
      <c r="A143">
        <v>576</v>
      </c>
      <c r="B143">
        <v>52.921276051983924</v>
      </c>
      <c r="C143">
        <v>15.680378089476717</v>
      </c>
      <c r="D143">
        <v>56.35135875905695</v>
      </c>
      <c r="E143">
        <v>50.471216975503182</v>
      </c>
      <c r="F143">
        <v>1816.4737993028184</v>
      </c>
      <c r="G143">
        <v>2700.4551140970684</v>
      </c>
      <c r="H143">
        <v>99.472398505117937</v>
      </c>
      <c r="I143">
        <v>32.830791624841879</v>
      </c>
      <c r="J143">
        <v>902.60176377550351</v>
      </c>
      <c r="K143">
        <v>0</v>
      </c>
      <c r="L143">
        <v>4.9001181529614737</v>
      </c>
      <c r="M143">
        <v>537.54296137987365</v>
      </c>
    </row>
    <row r="144" spans="1:13" x14ac:dyDescent="0.3">
      <c r="A144">
        <v>578</v>
      </c>
      <c r="B144">
        <v>51.722343122573037</v>
      </c>
      <c r="C144">
        <v>16.918523451308939</v>
      </c>
      <c r="D144">
        <v>60.423298040389064</v>
      </c>
      <c r="E144">
        <v>50.755570353926814</v>
      </c>
      <c r="F144">
        <v>1518.3166331588966</v>
      </c>
      <c r="G144">
        <v>3068.0533812987956</v>
      </c>
      <c r="H144">
        <v>121.81336884942435</v>
      </c>
      <c r="I144">
        <v>31.420114981002314</v>
      </c>
      <c r="J144">
        <v>907.31624337448216</v>
      </c>
      <c r="K144">
        <v>0</v>
      </c>
      <c r="L144">
        <v>5.3172502275542373</v>
      </c>
      <c r="M144">
        <v>542.84290959485531</v>
      </c>
    </row>
    <row r="145" spans="1:13" x14ac:dyDescent="0.3">
      <c r="A145">
        <v>580</v>
      </c>
      <c r="B145">
        <v>52.154737642368637</v>
      </c>
      <c r="C145">
        <v>16.268450273766362</v>
      </c>
      <c r="D145">
        <v>62.681381937158633</v>
      </c>
      <c r="E145">
        <v>48.805350821299093</v>
      </c>
      <c r="F145">
        <v>1243.579478279964</v>
      </c>
      <c r="G145">
        <v>3416.3745574909362</v>
      </c>
      <c r="H145">
        <v>145.9375686323159</v>
      </c>
      <c r="I145">
        <v>28.709029894881819</v>
      </c>
      <c r="J145">
        <v>914.38260215198591</v>
      </c>
      <c r="K145">
        <v>0</v>
      </c>
      <c r="L145">
        <v>6.2202898105577269</v>
      </c>
      <c r="M145">
        <v>549.29943865540542</v>
      </c>
    </row>
    <row r="146" spans="1:13" x14ac:dyDescent="0.3">
      <c r="A146">
        <v>582</v>
      </c>
      <c r="B146">
        <v>51.234487054955736</v>
      </c>
      <c r="C146">
        <v>19.924522743593901</v>
      </c>
      <c r="D146">
        <v>71.633403197206633</v>
      </c>
      <c r="E146">
        <v>42.695405879129787</v>
      </c>
      <c r="F146">
        <v>1028.0104948897138</v>
      </c>
      <c r="G146">
        <v>3713.5515246869772</v>
      </c>
      <c r="H146">
        <v>177.8975244963741</v>
      </c>
      <c r="I146">
        <v>27.040423723448864</v>
      </c>
      <c r="J146">
        <v>919.37440659726133</v>
      </c>
      <c r="K146">
        <v>0</v>
      </c>
      <c r="L146">
        <v>6.1671141825409688</v>
      </c>
      <c r="M146">
        <v>555.04027642868721</v>
      </c>
    </row>
    <row r="147" spans="1:13" x14ac:dyDescent="0.3">
      <c r="A147">
        <v>584</v>
      </c>
      <c r="B147">
        <v>47.572179362985722</v>
      </c>
      <c r="C147">
        <v>18.840467074449787</v>
      </c>
      <c r="D147">
        <v>77.245915005244143</v>
      </c>
      <c r="E147">
        <v>34.854864087732111</v>
      </c>
      <c r="F147">
        <v>863.36440368666149</v>
      </c>
      <c r="G147">
        <v>3938.5996419137286</v>
      </c>
      <c r="H147">
        <v>216.1943596793113</v>
      </c>
      <c r="I147">
        <v>22.608560489339744</v>
      </c>
      <c r="J147">
        <v>923.65389832490098</v>
      </c>
      <c r="K147">
        <v>0</v>
      </c>
      <c r="L147">
        <v>5.6521401223349361</v>
      </c>
      <c r="M147">
        <v>560.50389546488123</v>
      </c>
    </row>
    <row r="148" spans="1:13" x14ac:dyDescent="0.3">
      <c r="A148">
        <v>586</v>
      </c>
      <c r="B148">
        <v>49.189518897125183</v>
      </c>
      <c r="C148">
        <v>21.081222384482221</v>
      </c>
      <c r="D148">
        <v>84.324889537928883</v>
      </c>
      <c r="E148">
        <v>25.297466861378666</v>
      </c>
      <c r="F148">
        <v>721.44627715783611</v>
      </c>
      <c r="G148">
        <v>4082.2615968528467</v>
      </c>
      <c r="H148">
        <v>260.47021435049146</v>
      </c>
      <c r="I148">
        <v>21.549693993026274</v>
      </c>
      <c r="J148">
        <v>926.16837009158564</v>
      </c>
      <c r="K148">
        <v>0</v>
      </c>
      <c r="L148">
        <v>4.6847160854404946</v>
      </c>
      <c r="M148">
        <v>565.44523151266765</v>
      </c>
    </row>
    <row r="149" spans="1:13" x14ac:dyDescent="0.3">
      <c r="A149">
        <v>588</v>
      </c>
      <c r="B149">
        <v>45.235971408117273</v>
      </c>
      <c r="C149">
        <v>22.384810593707517</v>
      </c>
      <c r="D149">
        <v>87.207491271318887</v>
      </c>
      <c r="E149">
        <v>23.783861255814237</v>
      </c>
      <c r="F149">
        <v>588.53397852622686</v>
      </c>
      <c r="G149">
        <v>4148.1852131464238</v>
      </c>
      <c r="H149">
        <v>314.786398974012</v>
      </c>
      <c r="I149">
        <v>19.586709269494079</v>
      </c>
      <c r="J149">
        <v>930.36869030096864</v>
      </c>
      <c r="K149">
        <v>0</v>
      </c>
      <c r="L149">
        <v>4.1971519863201596</v>
      </c>
      <c r="M149">
        <v>570.34631991883953</v>
      </c>
    </row>
    <row r="150" spans="1:13" x14ac:dyDescent="0.3">
      <c r="A150">
        <v>590</v>
      </c>
      <c r="B150">
        <v>44.126759714324329</v>
      </c>
      <c r="C150">
        <v>24.618086998517779</v>
      </c>
      <c r="D150">
        <v>92.898441503840687</v>
      </c>
      <c r="E150">
        <v>23.224610375960172</v>
      </c>
      <c r="F150">
        <v>498.86463087562447</v>
      </c>
      <c r="G150">
        <v>4138.1610767885832</v>
      </c>
      <c r="H150">
        <v>376.23868809055472</v>
      </c>
      <c r="I150">
        <v>16.257227263172119</v>
      </c>
      <c r="J150">
        <v>934.09382932111805</v>
      </c>
      <c r="K150">
        <v>0</v>
      </c>
      <c r="L150">
        <v>4.1804298676728306</v>
      </c>
      <c r="M150">
        <v>575.50584511629302</v>
      </c>
    </row>
    <row r="151" spans="1:13" x14ac:dyDescent="0.3">
      <c r="A151">
        <v>592</v>
      </c>
      <c r="B151">
        <v>45.326704268334666</v>
      </c>
      <c r="C151">
        <v>21.738317353180911</v>
      </c>
      <c r="D151">
        <v>92.503478098642162</v>
      </c>
      <c r="E151">
        <v>24.513421696140178</v>
      </c>
      <c r="F151">
        <v>431.99124272065893</v>
      </c>
      <c r="G151">
        <v>4095.1289754268892</v>
      </c>
      <c r="H151">
        <v>447.71683399742807</v>
      </c>
      <c r="I151">
        <v>12.950486933809904</v>
      </c>
      <c r="J151">
        <v>942.61044182516378</v>
      </c>
      <c r="K151">
        <v>0</v>
      </c>
      <c r="L151">
        <v>4.1626565144388978</v>
      </c>
      <c r="M151">
        <v>581.38435984996602</v>
      </c>
    </row>
    <row r="152" spans="1:13" x14ac:dyDescent="0.3">
      <c r="A152">
        <v>594</v>
      </c>
      <c r="B152">
        <v>45.6060168843483</v>
      </c>
      <c r="C152">
        <v>22.572675023566333</v>
      </c>
      <c r="D152">
        <v>92.594034280343521</v>
      </c>
      <c r="E152">
        <v>27.179343395722725</v>
      </c>
      <c r="F152">
        <v>350.56746312110164</v>
      </c>
      <c r="G152">
        <v>4032.2168261484921</v>
      </c>
      <c r="H152">
        <v>528.84552912355412</v>
      </c>
      <c r="I152">
        <v>11.056004093175348</v>
      </c>
      <c r="J152">
        <v>949.89501833864858</v>
      </c>
      <c r="K152">
        <v>0</v>
      </c>
      <c r="L152">
        <v>4.6066683721563946</v>
      </c>
      <c r="M152">
        <v>587.810884287156</v>
      </c>
    </row>
    <row r="153" spans="1:13" x14ac:dyDescent="0.3">
      <c r="A153">
        <v>596</v>
      </c>
      <c r="B153">
        <v>48.159492133602441</v>
      </c>
      <c r="C153">
        <v>16.970487704221814</v>
      </c>
      <c r="D153">
        <v>88.521733159859721</v>
      </c>
      <c r="E153">
        <v>25.685062471254632</v>
      </c>
      <c r="F153">
        <v>258.22661020207784</v>
      </c>
      <c r="G153">
        <v>3937.6118092093047</v>
      </c>
      <c r="H153">
        <v>621.94544126823723</v>
      </c>
      <c r="I153">
        <v>9.1732365968766558</v>
      </c>
      <c r="J153">
        <v>955.8512533945476</v>
      </c>
      <c r="K153">
        <v>0</v>
      </c>
      <c r="L153">
        <v>5.0452801282821609</v>
      </c>
      <c r="M153">
        <v>593.50840781791965</v>
      </c>
    </row>
    <row r="154" spans="1:13" x14ac:dyDescent="0.3">
      <c r="A154">
        <v>598</v>
      </c>
      <c r="B154">
        <v>44.266975199982518</v>
      </c>
      <c r="C154">
        <v>14.147177641231529</v>
      </c>
      <c r="D154">
        <v>82.601263002029242</v>
      </c>
      <c r="E154">
        <v>30.576158127822982</v>
      </c>
      <c r="F154">
        <v>193.49688128652153</v>
      </c>
      <c r="G154">
        <v>3784.141838744898</v>
      </c>
      <c r="H154">
        <v>726.06966539352777</v>
      </c>
      <c r="I154">
        <v>7.758129674223742</v>
      </c>
      <c r="J154">
        <v>960.63899789652805</v>
      </c>
      <c r="K154">
        <v>0</v>
      </c>
      <c r="L154">
        <v>5.9326873979358021</v>
      </c>
      <c r="M154">
        <v>599.20142719151602</v>
      </c>
    </row>
    <row r="155" spans="1:13" x14ac:dyDescent="0.3">
      <c r="A155">
        <v>600</v>
      </c>
      <c r="B155">
        <v>46.467157808492487</v>
      </c>
      <c r="C155">
        <v>14.869490498717594</v>
      </c>
      <c r="D155">
        <v>70.258342606440635</v>
      </c>
      <c r="E155">
        <v>36.430251721858113</v>
      </c>
      <c r="F155">
        <v>136.05583806326598</v>
      </c>
      <c r="G155">
        <v>3557.1538645557166</v>
      </c>
      <c r="H155">
        <v>876.18472763693433</v>
      </c>
      <c r="I155">
        <v>10.408643349102316</v>
      </c>
      <c r="J155">
        <v>963.91472157936812</v>
      </c>
      <c r="K155">
        <v>0</v>
      </c>
      <c r="L155">
        <v>5.9477961994870379</v>
      </c>
      <c r="M155">
        <v>604.81652603533814</v>
      </c>
    </row>
    <row r="156" spans="1:13" x14ac:dyDescent="0.3">
      <c r="A156">
        <v>602</v>
      </c>
      <c r="B156">
        <v>46.680154869005904</v>
      </c>
      <c r="C156">
        <v>13.128793556907912</v>
      </c>
      <c r="D156">
        <v>54.703306487116294</v>
      </c>
      <c r="E156">
        <v>36.833559701324972</v>
      </c>
      <c r="F156">
        <v>87.525290379386078</v>
      </c>
      <c r="G156">
        <v>3349.665800561088</v>
      </c>
      <c r="H156">
        <v>1006.1761506530257</v>
      </c>
      <c r="I156">
        <v>11.305350007337367</v>
      </c>
      <c r="J156">
        <v>970.07196837152901</v>
      </c>
      <c r="K156">
        <v>0</v>
      </c>
      <c r="L156">
        <v>6.1997080685398469</v>
      </c>
      <c r="M156">
        <v>609.75952297638969</v>
      </c>
    </row>
    <row r="157" spans="1:13" x14ac:dyDescent="0.3">
      <c r="A157">
        <v>604</v>
      </c>
      <c r="B157">
        <v>45.718249399473279</v>
      </c>
      <c r="C157">
        <v>12.501083820168477</v>
      </c>
      <c r="D157">
        <v>45.718249399473279</v>
      </c>
      <c r="E157">
        <v>42.503684988572815</v>
      </c>
      <c r="F157">
        <v>53.576073515007764</v>
      </c>
      <c r="G157">
        <v>3090.625094169081</v>
      </c>
      <c r="H157">
        <v>1156.1716664538674</v>
      </c>
      <c r="I157">
        <v>12.858257643601862</v>
      </c>
      <c r="J157">
        <v>974.7273641497078</v>
      </c>
      <c r="K157">
        <v>0</v>
      </c>
      <c r="L157">
        <v>6.0719549983675458</v>
      </c>
      <c r="M157">
        <v>615.41049777572243</v>
      </c>
    </row>
    <row r="158" spans="1:13" x14ac:dyDescent="0.3">
      <c r="A158">
        <v>606</v>
      </c>
      <c r="B158">
        <v>43.425660343305651</v>
      </c>
      <c r="C158">
        <v>16.109519159613384</v>
      </c>
      <c r="D158">
        <v>45.176695034567977</v>
      </c>
      <c r="E158">
        <v>44.476281158063045</v>
      </c>
      <c r="F158">
        <v>40.9742117755384</v>
      </c>
      <c r="G158">
        <v>2821.9675084383625</v>
      </c>
      <c r="H158">
        <v>1306.2718796816941</v>
      </c>
      <c r="I158">
        <v>14.708691406603528</v>
      </c>
      <c r="J158">
        <v>980.22922016864936</v>
      </c>
      <c r="K158">
        <v>0</v>
      </c>
      <c r="L158">
        <v>5.6033110120394385</v>
      </c>
      <c r="M158">
        <v>620.56669458336785</v>
      </c>
    </row>
    <row r="159" spans="1:13" x14ac:dyDescent="0.3">
      <c r="A159">
        <v>608</v>
      </c>
      <c r="B159">
        <v>45.281208767088948</v>
      </c>
      <c r="C159">
        <v>16.465894097123254</v>
      </c>
      <c r="D159">
        <v>46.996406068872631</v>
      </c>
      <c r="E159">
        <v>46.653366608515896</v>
      </c>
      <c r="F159">
        <v>34.646985496030183</v>
      </c>
      <c r="G159">
        <v>2549.1262299108939</v>
      </c>
      <c r="H159">
        <v>1467.5228114061103</v>
      </c>
      <c r="I159">
        <v>16.808933557479993</v>
      </c>
      <c r="J159">
        <v>985.89540906525497</v>
      </c>
      <c r="K159">
        <v>0</v>
      </c>
      <c r="L159">
        <v>5.1455919053510168</v>
      </c>
      <c r="M159">
        <v>626.04701515104045</v>
      </c>
    </row>
    <row r="160" spans="1:13" x14ac:dyDescent="0.3">
      <c r="A160">
        <v>610</v>
      </c>
      <c r="B160">
        <v>45.326079111342239</v>
      </c>
      <c r="C160">
        <v>21.152170251959713</v>
      </c>
      <c r="D160">
        <v>49.690812655397416</v>
      </c>
      <c r="E160">
        <v>49.355063921239321</v>
      </c>
      <c r="F160">
        <v>28.202893669279614</v>
      </c>
      <c r="G160">
        <v>2282.4198948067001</v>
      </c>
      <c r="H160">
        <v>1641.4755612989052</v>
      </c>
      <c r="I160">
        <v>20.144924049485439</v>
      </c>
      <c r="J160">
        <v>991.80176070299979</v>
      </c>
      <c r="K160">
        <v>0</v>
      </c>
      <c r="L160">
        <v>5.0362310123713598</v>
      </c>
      <c r="M160">
        <v>631.54336895136851</v>
      </c>
    </row>
    <row r="161" spans="1:13" x14ac:dyDescent="0.3">
      <c r="A161">
        <v>612</v>
      </c>
      <c r="B161">
        <v>49.597466772518487</v>
      </c>
      <c r="C161">
        <v>25.291423453535916</v>
      </c>
      <c r="D161">
        <v>51.896687086476298</v>
      </c>
      <c r="E161">
        <v>51.239766996774065</v>
      </c>
      <c r="F161">
        <v>24.306043318982571</v>
      </c>
      <c r="G161">
        <v>1995.7232325153796</v>
      </c>
      <c r="H161">
        <v>1818.0263482509258</v>
      </c>
      <c r="I161">
        <v>24.634503363833684</v>
      </c>
      <c r="J161">
        <v>996.54777607828521</v>
      </c>
      <c r="K161">
        <v>0</v>
      </c>
      <c r="L161">
        <v>4.9269006727667364</v>
      </c>
      <c r="M161">
        <v>636.5555669214624</v>
      </c>
    </row>
    <row r="162" spans="1:13" x14ac:dyDescent="0.3">
      <c r="A162">
        <v>614</v>
      </c>
      <c r="B162">
        <v>48.876942620984032</v>
      </c>
      <c r="C162">
        <v>29.261853805983861</v>
      </c>
      <c r="D162">
        <v>54.02188394950867</v>
      </c>
      <c r="E162">
        <v>55.951236947705404</v>
      </c>
      <c r="F162">
        <v>25.081588976557597</v>
      </c>
      <c r="G162">
        <v>1695.9012854149325</v>
      </c>
      <c r="H162">
        <v>1981.123970315017</v>
      </c>
      <c r="I162">
        <v>29.261853805983861</v>
      </c>
      <c r="J162">
        <v>1001.0126472310742</v>
      </c>
      <c r="K162">
        <v>0</v>
      </c>
      <c r="L162">
        <v>5.1449413285246353</v>
      </c>
      <c r="M162">
        <v>641.8314307334482</v>
      </c>
    </row>
    <row r="163" spans="1:13" x14ac:dyDescent="0.3">
      <c r="A163">
        <v>616</v>
      </c>
      <c r="B163">
        <v>52.441952319257112</v>
      </c>
      <c r="C163">
        <v>31.402366658237792</v>
      </c>
      <c r="D163">
        <v>55.58218898508089</v>
      </c>
      <c r="E163">
        <v>57.780354651157531</v>
      </c>
      <c r="F163">
        <v>26.377987992919746</v>
      </c>
      <c r="G163">
        <v>1409.3382156217122</v>
      </c>
      <c r="H163">
        <v>2121.2298677639628</v>
      </c>
      <c r="I163">
        <v>35.798697990391084</v>
      </c>
      <c r="J163">
        <v>1004.8757330636093</v>
      </c>
      <c r="K163">
        <v>0</v>
      </c>
      <c r="L163">
        <v>5.0243786653180464</v>
      </c>
      <c r="M163">
        <v>646.88875315969847</v>
      </c>
    </row>
    <row r="164" spans="1:13" x14ac:dyDescent="0.3">
      <c r="A164">
        <v>618</v>
      </c>
      <c r="B164">
        <v>52.837473534320075</v>
      </c>
      <c r="C164">
        <v>37.784937469310286</v>
      </c>
      <c r="D164">
        <v>58.674171192181014</v>
      </c>
      <c r="E164">
        <v>62.053311941468927</v>
      </c>
      <c r="F164">
        <v>28.26190444858981</v>
      </c>
      <c r="G164">
        <v>1205.4316636550695</v>
      </c>
      <c r="H164">
        <v>2218.2523046007282</v>
      </c>
      <c r="I164">
        <v>43.314440513599592</v>
      </c>
      <c r="J164">
        <v>1009.7486948099424</v>
      </c>
      <c r="K164">
        <v>0</v>
      </c>
      <c r="L164">
        <v>5.2223084307176819</v>
      </c>
      <c r="M164">
        <v>651.55977538542379</v>
      </c>
    </row>
    <row r="165" spans="1:13" x14ac:dyDescent="0.3">
      <c r="A165">
        <v>620</v>
      </c>
      <c r="B165">
        <v>55.013619553593344</v>
      </c>
      <c r="C165">
        <v>42.387542934735855</v>
      </c>
      <c r="D165">
        <v>61.927899606777203</v>
      </c>
      <c r="E165">
        <v>63.431003966165008</v>
      </c>
      <c r="F165">
        <v>30.663328931511042</v>
      </c>
      <c r="G165">
        <v>1018.5035139211708</v>
      </c>
      <c r="H165">
        <v>2284.1173845256953</v>
      </c>
      <c r="I165">
        <v>53.209894322327983</v>
      </c>
      <c r="J165">
        <v>1014.5954425867625</v>
      </c>
      <c r="K165">
        <v>0</v>
      </c>
      <c r="L165">
        <v>5.411175693796066</v>
      </c>
      <c r="M165">
        <v>656.85660505246699</v>
      </c>
    </row>
    <row r="166" spans="1:13" x14ac:dyDescent="0.3">
      <c r="A166">
        <v>622</v>
      </c>
      <c r="B166">
        <v>57.339675169248835</v>
      </c>
      <c r="C166">
        <v>43.519343205378604</v>
      </c>
      <c r="D166">
        <v>65.573064424320464</v>
      </c>
      <c r="E166">
        <v>64.984965191815348</v>
      </c>
      <c r="F166">
        <v>33.521656252791622</v>
      </c>
      <c r="G166">
        <v>813.34123855457585</v>
      </c>
      <c r="H166">
        <v>2318.2871745351681</v>
      </c>
      <c r="I166">
        <v>64.102816343057668</v>
      </c>
      <c r="J166">
        <v>1020.3521683963767</v>
      </c>
      <c r="K166">
        <v>0</v>
      </c>
      <c r="L166">
        <v>5.8809923250511629</v>
      </c>
      <c r="M166">
        <v>662.19973580076089</v>
      </c>
    </row>
    <row r="167" spans="1:13" x14ac:dyDescent="0.3">
      <c r="A167">
        <v>624</v>
      </c>
      <c r="B167">
        <v>58.75561621797857</v>
      </c>
      <c r="C167">
        <v>49.251031241540858</v>
      </c>
      <c r="D167">
        <v>65.38002392882909</v>
      </c>
      <c r="E167">
        <v>64.227953022594221</v>
      </c>
      <c r="F167">
        <v>35.714198093281091</v>
      </c>
      <c r="G167">
        <v>634.21503388229803</v>
      </c>
      <c r="H167">
        <v>2320.8468406101538</v>
      </c>
      <c r="I167">
        <v>79.492892530206291</v>
      </c>
      <c r="J167">
        <v>1027.07121290839</v>
      </c>
      <c r="K167">
        <v>0</v>
      </c>
      <c r="L167">
        <v>6.0483722577330878</v>
      </c>
      <c r="M167">
        <v>667.91310788966814</v>
      </c>
    </row>
    <row r="168" spans="1:13" x14ac:dyDescent="0.3">
      <c r="A168">
        <v>626</v>
      </c>
      <c r="B168">
        <v>59.524330878399816</v>
      </c>
      <c r="C168">
        <v>51.625367539086099</v>
      </c>
      <c r="D168">
        <v>65.448553382885095</v>
      </c>
      <c r="E168">
        <v>66.29487088352586</v>
      </c>
      <c r="F168">
        <v>38.64849919592784</v>
      </c>
      <c r="G168">
        <v>523.02421539598697</v>
      </c>
      <c r="H168">
        <v>2316.653105087295</v>
      </c>
      <c r="I168">
        <v>97.890724240780742</v>
      </c>
      <c r="J168">
        <v>1032.5073507817219</v>
      </c>
      <c r="K168">
        <v>0</v>
      </c>
      <c r="L168">
        <v>6.2063283380322085</v>
      </c>
      <c r="M168">
        <v>673.66873051004154</v>
      </c>
    </row>
    <row r="169" spans="1:13" x14ac:dyDescent="0.3">
      <c r="A169">
        <v>628</v>
      </c>
      <c r="B169">
        <v>60.80149136242224</v>
      </c>
      <c r="C169">
        <v>52.510378903910116</v>
      </c>
      <c r="D169">
        <v>67.43438132923194</v>
      </c>
      <c r="E169">
        <v>70.750826312636789</v>
      </c>
      <c r="F169">
        <v>42.284673538411838</v>
      </c>
      <c r="G169">
        <v>453.52385148061325</v>
      </c>
      <c r="H169">
        <v>2299.954595991263</v>
      </c>
      <c r="I169">
        <v>120.49750106370954</v>
      </c>
      <c r="J169">
        <v>1037.7709093904343</v>
      </c>
      <c r="K169">
        <v>0</v>
      </c>
      <c r="L169">
        <v>6.6328899668096994</v>
      </c>
      <c r="M169">
        <v>679.04211035214291</v>
      </c>
    </row>
    <row r="170" spans="1:13" x14ac:dyDescent="0.3">
      <c r="A170">
        <v>630</v>
      </c>
      <c r="B170">
        <v>64.371414435106004</v>
      </c>
      <c r="C170">
        <v>55.986902470869502</v>
      </c>
      <c r="D170">
        <v>69.780776992677929</v>
      </c>
      <c r="E170">
        <v>71.674053887828109</v>
      </c>
      <c r="F170">
        <v>46.520517995118617</v>
      </c>
      <c r="G170">
        <v>386.22848661063597</v>
      </c>
      <c r="H170">
        <v>2264.0886984717322</v>
      </c>
      <c r="I170">
        <v>150.38027910049971</v>
      </c>
      <c r="J170">
        <v>1040.2204198210825</v>
      </c>
      <c r="K170">
        <v>0</v>
      </c>
      <c r="L170">
        <v>7.032171324843512</v>
      </c>
      <c r="M170">
        <v>683.74342727709222</v>
      </c>
    </row>
    <row r="171" spans="1:13" x14ac:dyDescent="0.3">
      <c r="A171">
        <v>632</v>
      </c>
      <c r="B171">
        <v>67.338637509701471</v>
      </c>
      <c r="C171">
        <v>60.180593364969425</v>
      </c>
      <c r="D171">
        <v>71.315328701219272</v>
      </c>
      <c r="E171">
        <v>72.640892431725206</v>
      </c>
      <c r="F171">
        <v>48.250519790416014</v>
      </c>
      <c r="G171">
        <v>310.18191293838862</v>
      </c>
      <c r="H171">
        <v>2222.7052633123508</v>
      </c>
      <c r="I171">
        <v>182.39756931761656</v>
      </c>
      <c r="J171">
        <v>1043.4837686542714</v>
      </c>
      <c r="K171">
        <v>0</v>
      </c>
      <c r="L171">
        <v>7.4231568908332326</v>
      </c>
      <c r="M171">
        <v>687.17223789427635</v>
      </c>
    </row>
    <row r="172" spans="1:13" x14ac:dyDescent="0.3">
      <c r="A172">
        <v>634</v>
      </c>
      <c r="B172">
        <v>69.390897650805684</v>
      </c>
      <c r="C172">
        <v>62.893622589868812</v>
      </c>
      <c r="D172">
        <v>72.50958968005537</v>
      </c>
      <c r="E172">
        <v>67.311769631305879</v>
      </c>
      <c r="F172">
        <v>53.277655499682261</v>
      </c>
      <c r="G172">
        <v>237.02059422297668</v>
      </c>
      <c r="H172">
        <v>2166.7112873212245</v>
      </c>
      <c r="I172">
        <v>225.8452811181653</v>
      </c>
      <c r="J172">
        <v>1046.3211758132722</v>
      </c>
      <c r="K172">
        <v>0</v>
      </c>
      <c r="L172">
        <v>7.2769480682492844</v>
      </c>
      <c r="M172">
        <v>692.08973949099448</v>
      </c>
    </row>
    <row r="173" spans="1:13" x14ac:dyDescent="0.3">
      <c r="A173">
        <v>636</v>
      </c>
      <c r="B173">
        <v>71.397072448472414</v>
      </c>
      <c r="C173">
        <v>65.532312925919328</v>
      </c>
      <c r="D173">
        <v>72.927009715225395</v>
      </c>
      <c r="E173">
        <v>63.237407025789864</v>
      </c>
      <c r="F173">
        <v>56.86266841431911</v>
      </c>
      <c r="G173">
        <v>190.47718971074607</v>
      </c>
      <c r="H173">
        <v>2104.1737208742657</v>
      </c>
      <c r="I173">
        <v>278.70357209350129</v>
      </c>
      <c r="J173">
        <v>1050.8119127148386</v>
      </c>
      <c r="K173">
        <v>0</v>
      </c>
      <c r="L173">
        <v>6.6297281559295822</v>
      </c>
      <c r="M173">
        <v>696.37644591706487</v>
      </c>
    </row>
    <row r="174" spans="1:13" x14ac:dyDescent="0.3">
      <c r="A174">
        <v>638</v>
      </c>
      <c r="B174">
        <v>73.344321227189354</v>
      </c>
      <c r="C174">
        <v>68.087561002715034</v>
      </c>
      <c r="D174">
        <v>75.346896550798618</v>
      </c>
      <c r="E174">
        <v>57.824362469217547</v>
      </c>
      <c r="F174">
        <v>61.078547370082603</v>
      </c>
      <c r="G174">
        <v>163.71053270505746</v>
      </c>
      <c r="H174">
        <v>2035.1171726179164</v>
      </c>
      <c r="I174">
        <v>345.44424332259837</v>
      </c>
      <c r="J174">
        <v>1055.1068736266318</v>
      </c>
      <c r="K174">
        <v>0</v>
      </c>
      <c r="L174">
        <v>5.7574040553766386</v>
      </c>
      <c r="M174">
        <v>700.90136326324296</v>
      </c>
    </row>
    <row r="175" spans="1:13" x14ac:dyDescent="0.3">
      <c r="A175">
        <v>640</v>
      </c>
      <c r="B175">
        <v>76.186873636068256</v>
      </c>
      <c r="C175">
        <v>71.517355574502787</v>
      </c>
      <c r="D175">
        <v>77.661458287088948</v>
      </c>
      <c r="E175">
        <v>57.754565498309809</v>
      </c>
      <c r="F175">
        <v>66.35630929593043</v>
      </c>
      <c r="G175">
        <v>141.5601264979849</v>
      </c>
      <c r="H175">
        <v>1951.3670215173613</v>
      </c>
      <c r="I175">
        <v>428.12107701300295</v>
      </c>
      <c r="J175">
        <v>1060.4721281923696</v>
      </c>
      <c r="K175">
        <v>0</v>
      </c>
      <c r="L175">
        <v>5.4068103870758124</v>
      </c>
      <c r="M175">
        <v>705.8345196218969</v>
      </c>
    </row>
    <row r="176" spans="1:13" x14ac:dyDescent="0.3">
      <c r="A176">
        <v>642</v>
      </c>
      <c r="B176">
        <v>77.796670945112098</v>
      </c>
      <c r="C176">
        <v>74.897416127281829</v>
      </c>
      <c r="D176">
        <v>79.246298354027218</v>
      </c>
      <c r="E176">
        <v>58.468305492910332</v>
      </c>
      <c r="F176">
        <v>69.582115627926342</v>
      </c>
      <c r="G176">
        <v>110.17168307755004</v>
      </c>
      <c r="H176">
        <v>1852.8654331616913</v>
      </c>
      <c r="I176">
        <v>521.38265807314247</v>
      </c>
      <c r="J176">
        <v>1065.9593546889271</v>
      </c>
      <c r="K176">
        <v>0</v>
      </c>
      <c r="L176">
        <v>5.3153004993554847</v>
      </c>
      <c r="M176">
        <v>711.04224407287234</v>
      </c>
    </row>
    <row r="177" spans="1:13" x14ac:dyDescent="0.3">
      <c r="A177">
        <v>644</v>
      </c>
      <c r="B177">
        <v>79.121207496537252</v>
      </c>
      <c r="C177">
        <v>77.220397706830653</v>
      </c>
      <c r="D177">
        <v>81.259618509957193</v>
      </c>
      <c r="E177">
        <v>58.925103480904625</v>
      </c>
      <c r="F177">
        <v>71.755569561424181</v>
      </c>
      <c r="G177">
        <v>81.972422181097159</v>
      </c>
      <c r="H177">
        <v>1741.6169698186729</v>
      </c>
      <c r="I177">
        <v>631.78165385373143</v>
      </c>
      <c r="J177">
        <v>1070.8687152759562</v>
      </c>
      <c r="K177">
        <v>0</v>
      </c>
      <c r="L177">
        <v>5.2272269216931528</v>
      </c>
      <c r="M177">
        <v>716.13008827196188</v>
      </c>
    </row>
    <row r="178" spans="1:13" x14ac:dyDescent="0.3">
      <c r="A178">
        <v>646</v>
      </c>
      <c r="B178">
        <v>78.330615321277719</v>
      </c>
      <c r="C178">
        <v>78.096792588975404</v>
      </c>
      <c r="D178">
        <v>79.967374447393979</v>
      </c>
      <c r="E178">
        <v>59.157151272487347</v>
      </c>
      <c r="F178">
        <v>73.420337942928967</v>
      </c>
      <c r="G178">
        <v>65.236542312347709</v>
      </c>
      <c r="H178">
        <v>1614.7797892798328</v>
      </c>
      <c r="I178">
        <v>762.72975277017292</v>
      </c>
      <c r="J178">
        <v>1075.8183913229814</v>
      </c>
      <c r="K178">
        <v>0</v>
      </c>
      <c r="L178">
        <v>5.144100110651074</v>
      </c>
      <c r="M178">
        <v>721.34312915266196</v>
      </c>
    </row>
    <row r="179" spans="1:13" x14ac:dyDescent="0.3">
      <c r="A179">
        <v>648</v>
      </c>
      <c r="B179">
        <v>76.203360730102943</v>
      </c>
      <c r="C179">
        <v>75.282474195600187</v>
      </c>
      <c r="D179">
        <v>78.045133799108456</v>
      </c>
      <c r="E179">
        <v>59.85762474267905</v>
      </c>
      <c r="F179">
        <v>78.045133799108456</v>
      </c>
      <c r="G179">
        <v>60.087846376304739</v>
      </c>
      <c r="H179">
        <v>1478.4833311441726</v>
      </c>
      <c r="I179">
        <v>906.15234995071069</v>
      </c>
      <c r="J179">
        <v>1079.9696833381056</v>
      </c>
      <c r="K179">
        <v>0</v>
      </c>
      <c r="L179">
        <v>5.0648759397651508</v>
      </c>
      <c r="M179">
        <v>725.88881082179648</v>
      </c>
    </row>
    <row r="180" spans="1:13" x14ac:dyDescent="0.3">
      <c r="A180">
        <v>650</v>
      </c>
      <c r="B180">
        <v>74.842575209957261</v>
      </c>
      <c r="C180">
        <v>76.203349304683755</v>
      </c>
      <c r="D180">
        <v>75.522962257320515</v>
      </c>
      <c r="E180">
        <v>61.008038580237894</v>
      </c>
      <c r="F180">
        <v>82.780424095861832</v>
      </c>
      <c r="G180">
        <v>58.513286073239321</v>
      </c>
      <c r="H180">
        <v>1345.8055796845042</v>
      </c>
      <c r="I180">
        <v>1068.8880514076625</v>
      </c>
      <c r="J180">
        <v>1083.8565664496539</v>
      </c>
      <c r="K180">
        <v>0</v>
      </c>
      <c r="L180">
        <v>4.9895050139971513</v>
      </c>
      <c r="M180">
        <v>730.50889318567386</v>
      </c>
    </row>
    <row r="181" spans="1:13" x14ac:dyDescent="0.3">
      <c r="A181">
        <v>652</v>
      </c>
      <c r="B181">
        <v>75.834364353626071</v>
      </c>
      <c r="C181">
        <v>75.386963973958657</v>
      </c>
      <c r="D181">
        <v>74.268463024790137</v>
      </c>
      <c r="E181">
        <v>62.636053153437459</v>
      </c>
      <c r="F181">
        <v>86.124573085976508</v>
      </c>
      <c r="G181">
        <v>57.043548407594827</v>
      </c>
      <c r="H181">
        <v>1224.5348391497023</v>
      </c>
      <c r="I181">
        <v>1236.6146494007223</v>
      </c>
      <c r="J181">
        <v>1087.1829225918075</v>
      </c>
      <c r="K181">
        <v>0</v>
      </c>
      <c r="L181">
        <v>4.9214041763415146</v>
      </c>
      <c r="M181">
        <v>734.40772322405417</v>
      </c>
    </row>
    <row r="182" spans="1:13" x14ac:dyDescent="0.3">
      <c r="A182">
        <v>654</v>
      </c>
      <c r="B182">
        <v>76.114415250382535</v>
      </c>
      <c r="C182">
        <v>71.701985380795151</v>
      </c>
      <c r="D182">
        <v>73.246335835150731</v>
      </c>
      <c r="E182">
        <v>62.87712564162036</v>
      </c>
      <c r="F182">
        <v>90.2341908330622</v>
      </c>
      <c r="G182">
        <v>55.596616356801164</v>
      </c>
      <c r="H182">
        <v>1088.9876918141688</v>
      </c>
      <c r="I182">
        <v>1418.3755815788677</v>
      </c>
      <c r="J182">
        <v>1089.4289348011275</v>
      </c>
      <c r="K182">
        <v>0</v>
      </c>
      <c r="L182">
        <v>4.8536728565461331</v>
      </c>
      <c r="M182">
        <v>738.19951718197103</v>
      </c>
    </row>
    <row r="183" spans="1:13" x14ac:dyDescent="0.3">
      <c r="A183">
        <v>656</v>
      </c>
      <c r="B183">
        <v>73.376394537157239</v>
      </c>
      <c r="C183">
        <v>65.102498417240398</v>
      </c>
      <c r="D183">
        <v>69.892648802455398</v>
      </c>
      <c r="E183">
        <v>64.884764308821516</v>
      </c>
      <c r="F183">
        <v>93.843400728530455</v>
      </c>
      <c r="G183">
        <v>53.562590671040589</v>
      </c>
      <c r="H183">
        <v>945.61923286312719</v>
      </c>
      <c r="I183">
        <v>1611.4501364080138</v>
      </c>
      <c r="J183">
        <v>1094.3316289132113</v>
      </c>
      <c r="K183">
        <v>0</v>
      </c>
      <c r="L183">
        <v>5.0078844936338758</v>
      </c>
      <c r="M183">
        <v>742.47330970832684</v>
      </c>
    </row>
    <row r="184" spans="1:13" x14ac:dyDescent="0.3">
      <c r="A184">
        <v>658</v>
      </c>
      <c r="B184">
        <v>73.496602937666054</v>
      </c>
      <c r="C184">
        <v>60.602462071408858</v>
      </c>
      <c r="D184">
        <v>63.825997287973152</v>
      </c>
      <c r="E184">
        <v>64.040899635744111</v>
      </c>
      <c r="F184">
        <v>101.21900580011905</v>
      </c>
      <c r="G184">
        <v>53.510684594967394</v>
      </c>
      <c r="H184">
        <v>823.9356013538353</v>
      </c>
      <c r="I184">
        <v>1818.2887644900366</v>
      </c>
      <c r="J184">
        <v>1099.4404111961976</v>
      </c>
      <c r="K184">
        <v>0</v>
      </c>
      <c r="L184">
        <v>4.942753998731928</v>
      </c>
      <c r="M184">
        <v>746.78565850406301</v>
      </c>
    </row>
    <row r="185" spans="1:13" x14ac:dyDescent="0.3">
      <c r="A185">
        <v>660</v>
      </c>
      <c r="B185">
        <v>72.403984025931408</v>
      </c>
      <c r="C185">
        <v>59.664280091749937</v>
      </c>
      <c r="D185">
        <v>59.027294895040853</v>
      </c>
      <c r="E185">
        <v>66.034132058840669</v>
      </c>
      <c r="F185">
        <v>107.43816984493048</v>
      </c>
      <c r="G185">
        <v>56.05469731039851</v>
      </c>
      <c r="H185">
        <v>742.08775416607125</v>
      </c>
      <c r="I185">
        <v>2025.1882687370494</v>
      </c>
      <c r="J185">
        <v>1104.5323310935344</v>
      </c>
      <c r="K185">
        <v>0</v>
      </c>
      <c r="L185">
        <v>5.0958815736725924</v>
      </c>
      <c r="M185">
        <v>751.43020371780426</v>
      </c>
    </row>
    <row r="186" spans="1:13" x14ac:dyDescent="0.3">
      <c r="A186">
        <v>662</v>
      </c>
      <c r="B186">
        <v>74.040769548094445</v>
      </c>
      <c r="C186">
        <v>59.568211194500911</v>
      </c>
      <c r="D186">
        <v>55.583013966699795</v>
      </c>
      <c r="E186">
        <v>67.119111205071462</v>
      </c>
      <c r="F186">
        <v>111.58552237843129</v>
      </c>
      <c r="G186">
        <v>57.890233414374123</v>
      </c>
      <c r="H186">
        <v>665.1084425977549</v>
      </c>
      <c r="I186">
        <v>2245.344017032156</v>
      </c>
      <c r="J186">
        <v>1109.7725543313534</v>
      </c>
      <c r="K186">
        <v>0</v>
      </c>
      <c r="L186">
        <v>5.2436805628962073</v>
      </c>
      <c r="M186">
        <v>755.71924272460137</v>
      </c>
    </row>
    <row r="187" spans="1:13" x14ac:dyDescent="0.3">
      <c r="A187">
        <v>664</v>
      </c>
      <c r="B187">
        <v>76.127762869671272</v>
      </c>
      <c r="C187">
        <v>62.437211508912945</v>
      </c>
      <c r="D187">
        <v>56.214233617659161</v>
      </c>
      <c r="E187">
        <v>68.452756803791601</v>
      </c>
      <c r="F187">
        <v>114.29536060269447</v>
      </c>
      <c r="G187">
        <v>64.096672279913946</v>
      </c>
      <c r="H187">
        <v>576.24775273010027</v>
      </c>
      <c r="I187">
        <v>2445.6303112627365</v>
      </c>
      <c r="J187">
        <v>1114.1204751308021</v>
      </c>
      <c r="K187">
        <v>0</v>
      </c>
      <c r="L187">
        <v>5.3932475057532772</v>
      </c>
      <c r="M187">
        <v>760.24046571483711</v>
      </c>
    </row>
    <row r="188" spans="1:13" x14ac:dyDescent="0.3">
      <c r="A188">
        <v>666</v>
      </c>
      <c r="B188">
        <v>78.584912926376376</v>
      </c>
      <c r="C188">
        <v>61.965127163879025</v>
      </c>
      <c r="D188">
        <v>56.220016036102159</v>
      </c>
      <c r="E188">
        <v>70.377611315266563</v>
      </c>
      <c r="F188">
        <v>118.18514319998117</v>
      </c>
      <c r="G188">
        <v>66.479143049989418</v>
      </c>
      <c r="H188">
        <v>486.69298553881134</v>
      </c>
      <c r="I188">
        <v>2625.1054203134709</v>
      </c>
      <c r="J188">
        <v>1118.6552095942664</v>
      </c>
      <c r="K188">
        <v>0</v>
      </c>
      <c r="L188">
        <v>5.3347460472213726</v>
      </c>
      <c r="M188">
        <v>764.71532761515596</v>
      </c>
    </row>
    <row r="189" spans="1:13" x14ac:dyDescent="0.3">
      <c r="A189">
        <v>668</v>
      </c>
      <c r="B189">
        <v>80.804151459600604</v>
      </c>
      <c r="C189">
        <v>63.953034446668809</v>
      </c>
      <c r="D189">
        <v>56.035039705652672</v>
      </c>
      <c r="E189">
        <v>69.840774125885943</v>
      </c>
      <c r="F189">
        <v>124.8606863006391</v>
      </c>
      <c r="G189">
        <v>66.389340520827631</v>
      </c>
      <c r="H189">
        <v>426.35356297779208</v>
      </c>
      <c r="I189">
        <v>2773.3284144174477</v>
      </c>
      <c r="J189">
        <v>1122.5280236686726</v>
      </c>
      <c r="K189">
        <v>0</v>
      </c>
      <c r="L189">
        <v>5.6847141730372286</v>
      </c>
      <c r="M189">
        <v>768.85759190328508</v>
      </c>
    </row>
    <row r="190" spans="1:13" x14ac:dyDescent="0.3">
      <c r="A190">
        <v>670</v>
      </c>
      <c r="B190">
        <v>82.37533033307578</v>
      </c>
      <c r="C190">
        <v>64.292940747766465</v>
      </c>
      <c r="D190">
        <v>55.050830515275031</v>
      </c>
      <c r="E190">
        <v>71.726812021726957</v>
      </c>
      <c r="F190">
        <v>132.40327485243154</v>
      </c>
      <c r="G190">
        <v>65.699348826623847</v>
      </c>
      <c r="H190">
        <v>387.76679888496642</v>
      </c>
      <c r="I190">
        <v>2890.9722638112862</v>
      </c>
      <c r="J190">
        <v>1125.7292094054233</v>
      </c>
      <c r="K190">
        <v>0</v>
      </c>
      <c r="L190">
        <v>5.8265477552663363</v>
      </c>
      <c r="M190">
        <v>772.92169705205492</v>
      </c>
    </row>
    <row r="191" spans="1:13" x14ac:dyDescent="0.3">
      <c r="A191">
        <v>672</v>
      </c>
      <c r="B191">
        <v>84.594632574860981</v>
      </c>
      <c r="C191">
        <v>65.685244116950869</v>
      </c>
      <c r="D191">
        <v>55.732934402261343</v>
      </c>
      <c r="E191">
        <v>70.860445168589422</v>
      </c>
      <c r="F191">
        <v>138.93424361706579</v>
      </c>
      <c r="G191">
        <v>68.073798448476353</v>
      </c>
      <c r="H191">
        <v>351.31653292854031</v>
      </c>
      <c r="I191">
        <v>2963.001648257366</v>
      </c>
      <c r="J191">
        <v>1129.5871526172614</v>
      </c>
      <c r="K191">
        <v>0</v>
      </c>
      <c r="L191">
        <v>6.1704320231075069</v>
      </c>
      <c r="M191">
        <v>776.87729632866444</v>
      </c>
    </row>
    <row r="192" spans="1:13" x14ac:dyDescent="0.3">
      <c r="A192">
        <v>674</v>
      </c>
      <c r="B192">
        <v>87.580066401071051</v>
      </c>
      <c r="C192">
        <v>66.671311809824346</v>
      </c>
      <c r="D192">
        <v>56.611439317809442</v>
      </c>
      <c r="E192">
        <v>73.180641069363418</v>
      </c>
      <c r="F192">
        <v>144.38875812068468</v>
      </c>
      <c r="G192">
        <v>70.419107444104412</v>
      </c>
      <c r="H192">
        <v>306.53023240374864</v>
      </c>
      <c r="I192">
        <v>2985.2178489049757</v>
      </c>
      <c r="J192">
        <v>1131.439776748972</v>
      </c>
      <c r="K192">
        <v>0</v>
      </c>
      <c r="L192">
        <v>6.3120768577348505</v>
      </c>
      <c r="M192">
        <v>780.9222587428834</v>
      </c>
    </row>
    <row r="193" spans="1:13" x14ac:dyDescent="0.3">
      <c r="A193">
        <v>676</v>
      </c>
      <c r="B193">
        <v>90.946819343536561</v>
      </c>
      <c r="C193">
        <v>69.628102551180675</v>
      </c>
      <c r="D193">
        <v>58.675367318410693</v>
      </c>
      <c r="E193">
        <v>74.322131936653548</v>
      </c>
      <c r="F193">
        <v>149.81777121967528</v>
      </c>
      <c r="G193">
        <v>68.650179762540503</v>
      </c>
      <c r="H193">
        <v>268.73318231832093</v>
      </c>
      <c r="I193">
        <v>2998.3112699707858</v>
      </c>
      <c r="J193">
        <v>1136.7374495153431</v>
      </c>
      <c r="K193">
        <v>0</v>
      </c>
      <c r="L193">
        <v>6.6498749627532119</v>
      </c>
      <c r="M193">
        <v>785.27199927806316</v>
      </c>
    </row>
    <row r="194" spans="1:13" x14ac:dyDescent="0.3">
      <c r="A194">
        <v>678</v>
      </c>
      <c r="B194">
        <v>93.851967219691346</v>
      </c>
      <c r="C194">
        <v>71.746338577036767</v>
      </c>
      <c r="D194">
        <v>60.305706209347122</v>
      </c>
      <c r="E194">
        <v>72.909792716123846</v>
      </c>
      <c r="F194">
        <v>156.6784907303938</v>
      </c>
      <c r="G194">
        <v>63.989977649789552</v>
      </c>
      <c r="H194">
        <v>246.45836846328035</v>
      </c>
      <c r="I194">
        <v>3009.8558578182833</v>
      </c>
      <c r="J194">
        <v>1140.7667833748847</v>
      </c>
      <c r="K194">
        <v>0</v>
      </c>
      <c r="L194">
        <v>7.174633857703677</v>
      </c>
      <c r="M194">
        <v>789.98536044012917</v>
      </c>
    </row>
    <row r="195" spans="1:13" x14ac:dyDescent="0.3">
      <c r="A195">
        <v>680</v>
      </c>
      <c r="B195">
        <v>95.602608505809158</v>
      </c>
      <c r="C195">
        <v>72.711843088925278</v>
      </c>
      <c r="D195">
        <v>61.170280693857769</v>
      </c>
      <c r="E195">
        <v>70.018811863409525</v>
      </c>
      <c r="F195">
        <v>162.35131102394956</v>
      </c>
      <c r="G195">
        <v>59.439046334597641</v>
      </c>
      <c r="H195">
        <v>233.90899787336807</v>
      </c>
      <c r="I195">
        <v>3005.6152070488292</v>
      </c>
      <c r="J195">
        <v>1146.8465833232076</v>
      </c>
      <c r="K195">
        <v>0</v>
      </c>
      <c r="L195">
        <v>7.309656183542752</v>
      </c>
      <c r="M195">
        <v>794.6365709003976</v>
      </c>
    </row>
    <row r="196" spans="1:13" x14ac:dyDescent="0.3">
      <c r="A196">
        <v>682</v>
      </c>
      <c r="B196">
        <v>94.878882101947511</v>
      </c>
      <c r="C196">
        <v>73.115919205323749</v>
      </c>
      <c r="D196">
        <v>61.852631390404412</v>
      </c>
      <c r="E196">
        <v>67.388823706212222</v>
      </c>
      <c r="F196">
        <v>170.85834905682702</v>
      </c>
      <c r="G196">
        <v>58.989083640848662</v>
      </c>
      <c r="H196">
        <v>218.9659512493638</v>
      </c>
      <c r="I196">
        <v>2974.0806926886125</v>
      </c>
      <c r="J196">
        <v>1150.9552921381119</v>
      </c>
      <c r="K196">
        <v>0</v>
      </c>
      <c r="L196">
        <v>7.445224148844976</v>
      </c>
      <c r="M196">
        <v>799.31162849266457</v>
      </c>
    </row>
    <row r="197" spans="1:13" x14ac:dyDescent="0.3">
      <c r="A197">
        <v>684</v>
      </c>
      <c r="B197">
        <v>93.848567782399385</v>
      </c>
      <c r="C197">
        <v>74.510075027238301</v>
      </c>
      <c r="D197">
        <v>63.324084119841203</v>
      </c>
      <c r="E197">
        <v>66.926352378155528</v>
      </c>
      <c r="F197">
        <v>177.6487030547641</v>
      </c>
      <c r="G197">
        <v>61.996932656251715</v>
      </c>
      <c r="H197">
        <v>195.47045128010862</v>
      </c>
      <c r="I197">
        <v>2930.350431605586</v>
      </c>
      <c r="J197">
        <v>1155.5697386539885</v>
      </c>
      <c r="K197">
        <v>0</v>
      </c>
      <c r="L197">
        <v>7.3941295828557099</v>
      </c>
      <c r="M197">
        <v>804.06419386900166</v>
      </c>
    </row>
    <row r="198" spans="1:13" x14ac:dyDescent="0.3">
      <c r="A198">
        <v>686</v>
      </c>
      <c r="B198">
        <v>94.215323149984783</v>
      </c>
      <c r="C198">
        <v>76.502842397787646</v>
      </c>
      <c r="D198">
        <v>66.139156851289314</v>
      </c>
      <c r="E198">
        <v>68.400324606888944</v>
      </c>
      <c r="F198">
        <v>179.95126721647094</v>
      </c>
      <c r="G198">
        <v>65.008572973489507</v>
      </c>
      <c r="H198">
        <v>169.58758166997262</v>
      </c>
      <c r="I198">
        <v>2873.1904947819357</v>
      </c>
      <c r="J198">
        <v>1159.7906279763126</v>
      </c>
      <c r="K198">
        <v>0</v>
      </c>
      <c r="L198">
        <v>7.3487952056988126</v>
      </c>
      <c r="M198">
        <v>808.17904198056942</v>
      </c>
    </row>
    <row r="199" spans="1:13" x14ac:dyDescent="0.3">
      <c r="A199">
        <v>688</v>
      </c>
      <c r="B199">
        <v>93.830718977820609</v>
      </c>
      <c r="C199">
        <v>78.660482975418475</v>
      </c>
      <c r="D199">
        <v>69.108852899831945</v>
      </c>
      <c r="E199">
        <v>68.734279171377565</v>
      </c>
      <c r="F199">
        <v>176.04965237355563</v>
      </c>
      <c r="G199">
        <v>68.54699230715039</v>
      </c>
      <c r="H199">
        <v>153.7625155305204</v>
      </c>
      <c r="I199">
        <v>2795.8183091834453</v>
      </c>
      <c r="J199">
        <v>1162.6768531223759</v>
      </c>
      <c r="K199">
        <v>0</v>
      </c>
      <c r="L199">
        <v>7.3041877048602872</v>
      </c>
      <c r="M199">
        <v>812.26313015330936</v>
      </c>
    </row>
    <row r="200" spans="1:13" x14ac:dyDescent="0.3">
      <c r="A200">
        <v>690</v>
      </c>
      <c r="B200">
        <v>94.580550541175285</v>
      </c>
      <c r="C200">
        <v>81.361615327743309</v>
      </c>
      <c r="D200">
        <v>70.74923071977679</v>
      </c>
      <c r="E200">
        <v>67.025586997683277</v>
      </c>
      <c r="F200">
        <v>166.07451000537077</v>
      </c>
      <c r="G200">
        <v>71.493959464195498</v>
      </c>
      <c r="H200">
        <v>145.59446953385645</v>
      </c>
      <c r="I200">
        <v>2705.599528473148</v>
      </c>
      <c r="J200">
        <v>1165.3143028291656</v>
      </c>
      <c r="K200">
        <v>0</v>
      </c>
      <c r="L200">
        <v>7.074923071977679</v>
      </c>
      <c r="M200">
        <v>815.47797513847991</v>
      </c>
    </row>
    <row r="201" spans="1:13" x14ac:dyDescent="0.3">
      <c r="A201">
        <v>692</v>
      </c>
      <c r="B201">
        <v>92.394263819859546</v>
      </c>
      <c r="C201">
        <v>83.321480398670928</v>
      </c>
      <c r="D201">
        <v>73.878379286821556</v>
      </c>
      <c r="E201">
        <v>64.99075471096333</v>
      </c>
      <c r="F201">
        <v>155.90374776817984</v>
      </c>
      <c r="G201">
        <v>74.433855822812703</v>
      </c>
      <c r="H201">
        <v>137.75818092580261</v>
      </c>
      <c r="I201">
        <v>2605.9255891797661</v>
      </c>
      <c r="J201">
        <v>1168.1671551893664</v>
      </c>
      <c r="K201">
        <v>0</v>
      </c>
      <c r="L201">
        <v>6.850877277224054</v>
      </c>
      <c r="M201">
        <v>819.14273174160053</v>
      </c>
    </row>
    <row r="202" spans="1:13" x14ac:dyDescent="0.3">
      <c r="A202">
        <v>694</v>
      </c>
      <c r="B202">
        <v>86.947634041154458</v>
      </c>
      <c r="C202">
        <v>84.184467705100829</v>
      </c>
      <c r="D202">
        <v>77.552868498572096</v>
      </c>
      <c r="E202">
        <v>61.894925927601484</v>
      </c>
      <c r="F202">
        <v>151.78993739387982</v>
      </c>
      <c r="G202">
        <v>78.473923943923296</v>
      </c>
      <c r="H202">
        <v>124.89511838962441</v>
      </c>
      <c r="I202">
        <v>2494.4023571001535</v>
      </c>
      <c r="J202">
        <v>1171.2141043086019</v>
      </c>
      <c r="K202">
        <v>0</v>
      </c>
      <c r="L202">
        <v>6.6315992065287306</v>
      </c>
      <c r="M202">
        <v>823.05514596584362</v>
      </c>
    </row>
    <row r="203" spans="1:13" x14ac:dyDescent="0.3">
      <c r="A203">
        <v>696</v>
      </c>
      <c r="B203">
        <v>83.234659381634259</v>
      </c>
      <c r="C203">
        <v>85.618030685513645</v>
      </c>
      <c r="D203">
        <v>79.934606807032011</v>
      </c>
      <c r="E203">
        <v>62.884335171587118</v>
      </c>
      <c r="F203">
        <v>149.6023833819682</v>
      </c>
      <c r="G203">
        <v>83.051323127489681</v>
      </c>
      <c r="H203">
        <v>110.36842499503044</v>
      </c>
      <c r="I203">
        <v>2368.7044035478293</v>
      </c>
      <c r="J203">
        <v>1173.9020352876744</v>
      </c>
      <c r="K203">
        <v>0</v>
      </c>
      <c r="L203">
        <v>6.4167688950599091</v>
      </c>
      <c r="M203">
        <v>826.47983368371627</v>
      </c>
    </row>
    <row r="204" spans="1:13" x14ac:dyDescent="0.3">
      <c r="A204">
        <v>698</v>
      </c>
      <c r="B204">
        <v>80.098902040178942</v>
      </c>
      <c r="C204">
        <v>87.579665100879026</v>
      </c>
      <c r="D204">
        <v>83.748054752715561</v>
      </c>
      <c r="E204">
        <v>63.495257198137288</v>
      </c>
      <c r="F204">
        <v>147.24331195085284</v>
      </c>
      <c r="G204">
        <v>87.032292193998529</v>
      </c>
      <c r="H204">
        <v>101.62890304414503</v>
      </c>
      <c r="I204">
        <v>2222.1515442991781</v>
      </c>
      <c r="J204">
        <v>1177.3991226999422</v>
      </c>
      <c r="K204">
        <v>0</v>
      </c>
      <c r="L204">
        <v>6.3860172469390948</v>
      </c>
      <c r="M204">
        <v>829.99978446645548</v>
      </c>
    </row>
    <row r="205" spans="1:13" x14ac:dyDescent="0.3">
      <c r="A205">
        <v>700</v>
      </c>
      <c r="B205">
        <v>78.845337087479891</v>
      </c>
      <c r="C205">
        <v>89.200600253347062</v>
      </c>
      <c r="D205">
        <v>87.747229984453426</v>
      </c>
      <c r="E205">
        <v>64.129963114931812</v>
      </c>
      <c r="F205">
        <v>142.79362891879998</v>
      </c>
      <c r="G205">
        <v>90.472299238629006</v>
      </c>
      <c r="H205">
        <v>98.102493150320612</v>
      </c>
      <c r="I205">
        <v>2060.5156987239561</v>
      </c>
      <c r="J205">
        <v>1180.6816721924697</v>
      </c>
      <c r="K205">
        <v>0</v>
      </c>
      <c r="L205">
        <v>6.5401662100213738</v>
      </c>
      <c r="M205">
        <v>833.50784921050172</v>
      </c>
    </row>
    <row r="206" spans="1:13" x14ac:dyDescent="0.3">
      <c r="A206">
        <v>702</v>
      </c>
      <c r="B206">
        <v>76.735957083701649</v>
      </c>
      <c r="C206">
        <v>92.300325737471312</v>
      </c>
      <c r="D206">
        <v>91.576401614040165</v>
      </c>
      <c r="E206">
        <v>66.420038324807791</v>
      </c>
      <c r="F206">
        <v>132.4781145879</v>
      </c>
      <c r="G206">
        <v>91.214439552324606</v>
      </c>
      <c r="H206">
        <v>95.919946354627044</v>
      </c>
      <c r="I206">
        <v>1883.2886071061305</v>
      </c>
      <c r="J206">
        <v>1184.5208469642153</v>
      </c>
      <c r="K206">
        <v>0</v>
      </c>
      <c r="L206">
        <v>6.6962981417381151</v>
      </c>
      <c r="M206">
        <v>837.0372677172644</v>
      </c>
    </row>
    <row r="207" spans="1:13" x14ac:dyDescent="0.3">
      <c r="A207">
        <v>704</v>
      </c>
      <c r="B207">
        <v>75.918507618710038</v>
      </c>
      <c r="C207">
        <v>93.049762307017531</v>
      </c>
      <c r="D207">
        <v>95.754697257802917</v>
      </c>
      <c r="E207">
        <v>67.623373769634838</v>
      </c>
      <c r="F207">
        <v>121.54174378862368</v>
      </c>
      <c r="G207">
        <v>90.34482735623213</v>
      </c>
      <c r="H207">
        <v>91.607130333265332</v>
      </c>
      <c r="I207">
        <v>1698.3384910997888</v>
      </c>
      <c r="J207">
        <v>1188.0074303849447</v>
      </c>
      <c r="K207">
        <v>0</v>
      </c>
      <c r="L207">
        <v>6.8525018753229965</v>
      </c>
      <c r="M207">
        <v>840.69378270410027</v>
      </c>
    </row>
    <row r="208" spans="1:13" x14ac:dyDescent="0.3">
      <c r="A208">
        <v>706</v>
      </c>
      <c r="B208">
        <v>74.954703025245934</v>
      </c>
      <c r="C208">
        <v>94.547179355585982</v>
      </c>
      <c r="D208">
        <v>99.400361565853714</v>
      </c>
      <c r="E208">
        <v>68.124298433017287</v>
      </c>
      <c r="F208">
        <v>115.75738308934864</v>
      </c>
      <c r="G208">
        <v>91.13197705947168</v>
      </c>
      <c r="H208">
        <v>82.683845063820456</v>
      </c>
      <c r="I208">
        <v>1528.3929012557942</v>
      </c>
      <c r="J208">
        <v>1190.4676214297453</v>
      </c>
      <c r="K208">
        <v>0</v>
      </c>
      <c r="L208">
        <v>7.0101520814978207</v>
      </c>
      <c r="M208">
        <v>844.09420960804528</v>
      </c>
    </row>
    <row r="209" spans="1:13" x14ac:dyDescent="0.3">
      <c r="A209">
        <v>708</v>
      </c>
      <c r="B209">
        <v>73.287030163943555</v>
      </c>
      <c r="C209">
        <v>91.922363017366862</v>
      </c>
      <c r="D209">
        <v>102.31514480100678</v>
      </c>
      <c r="E209">
        <v>67.91145337930223</v>
      </c>
      <c r="F209">
        <v>114.67897140568186</v>
      </c>
      <c r="G209">
        <v>93.535036052759253</v>
      </c>
      <c r="H209">
        <v>75.25807498497872</v>
      </c>
      <c r="I209">
        <v>1372.205567226112</v>
      </c>
      <c r="J209">
        <v>1193.5572320831982</v>
      </c>
      <c r="K209">
        <v>0</v>
      </c>
      <c r="L209">
        <v>6.9882498200337384</v>
      </c>
      <c r="M209">
        <v>847.19090125947469</v>
      </c>
    </row>
    <row r="210" spans="1:13" x14ac:dyDescent="0.3">
      <c r="A210">
        <v>710</v>
      </c>
      <c r="B210">
        <v>72.360885599260115</v>
      </c>
      <c r="C210">
        <v>89.870433225747746</v>
      </c>
      <c r="D210">
        <v>104.87861690559427</v>
      </c>
      <c r="E210">
        <v>69.680852799287521</v>
      </c>
      <c r="F210">
        <v>113.8120595721696</v>
      </c>
      <c r="G210">
        <v>99.16121359898608</v>
      </c>
      <c r="H210">
        <v>72.360885599260115</v>
      </c>
      <c r="I210">
        <v>1200.4760255343917</v>
      </c>
      <c r="J210">
        <v>1195.294628787778</v>
      </c>
      <c r="K210">
        <v>0</v>
      </c>
      <c r="L210">
        <v>7.3254229865917635</v>
      </c>
      <c r="M210">
        <v>850.46374185797072</v>
      </c>
    </row>
    <row r="211" spans="1:13" x14ac:dyDescent="0.3">
      <c r="A211">
        <v>712</v>
      </c>
      <c r="B211">
        <v>72.909359068862145</v>
      </c>
      <c r="C211">
        <v>88.061670855789487</v>
      </c>
      <c r="D211">
        <v>107.13575745815686</v>
      </c>
      <c r="E211">
        <v>72.909359068862145</v>
      </c>
      <c r="F211">
        <v>113.55320715614961</v>
      </c>
      <c r="G211">
        <v>106.95749496654594</v>
      </c>
      <c r="H211">
        <v>71.483259135974876</v>
      </c>
      <c r="I211">
        <v>1017.1657771318519</v>
      </c>
      <c r="J211">
        <v>1197.7456811337036</v>
      </c>
      <c r="K211">
        <v>0</v>
      </c>
      <c r="L211">
        <v>7.4870246476582158</v>
      </c>
      <c r="M211">
        <v>853.52080983303665</v>
      </c>
    </row>
    <row r="212" spans="1:13" x14ac:dyDescent="0.3">
      <c r="A212">
        <v>714</v>
      </c>
      <c r="B212">
        <v>74.191941816988688</v>
      </c>
      <c r="C212">
        <v>87.002061267404002</v>
      </c>
      <c r="D212">
        <v>109.06393365423038</v>
      </c>
      <c r="E212">
        <v>74.72569679408933</v>
      </c>
      <c r="F212">
        <v>113.68981012243592</v>
      </c>
      <c r="G212">
        <v>116.3585850079391</v>
      </c>
      <c r="H212">
        <v>71.70108525718571</v>
      </c>
      <c r="I212">
        <v>850.09376019561626</v>
      </c>
      <c r="J212">
        <v>1199.3474335451338</v>
      </c>
      <c r="K212">
        <v>0</v>
      </c>
      <c r="L212">
        <v>7.8284063308093579</v>
      </c>
      <c r="M212">
        <v>856.49881992082396</v>
      </c>
    </row>
    <row r="213" spans="1:13" x14ac:dyDescent="0.3">
      <c r="A213">
        <v>716</v>
      </c>
      <c r="B213">
        <v>77.990751141568211</v>
      </c>
      <c r="C213">
        <v>87.93945743753136</v>
      </c>
      <c r="D213">
        <v>111.2123239513023</v>
      </c>
      <c r="E213">
        <v>76.924818324143601</v>
      </c>
      <c r="F213">
        <v>111.56763489044384</v>
      </c>
      <c r="G213">
        <v>123.64820682125622</v>
      </c>
      <c r="H213">
        <v>69.1079776630297</v>
      </c>
      <c r="I213">
        <v>727.67680336187573</v>
      </c>
      <c r="J213">
        <v>1202.0169071158327</v>
      </c>
      <c r="K213">
        <v>0</v>
      </c>
      <c r="L213">
        <v>8.3498070698262108</v>
      </c>
      <c r="M213">
        <v>860.03012819209971</v>
      </c>
    </row>
    <row r="214" spans="1:13" x14ac:dyDescent="0.3">
      <c r="A214">
        <v>718</v>
      </c>
      <c r="B214">
        <v>81.28834376947529</v>
      </c>
      <c r="C214">
        <v>89.452675239771921</v>
      </c>
      <c r="D214">
        <v>112.52578591669723</v>
      </c>
      <c r="E214">
        <v>80.223430969001811</v>
      </c>
      <c r="F214">
        <v>110.57344578249587</v>
      </c>
      <c r="G214">
        <v>131.5167308584742</v>
      </c>
      <c r="H214">
        <v>64.42722442864526</v>
      </c>
      <c r="I214">
        <v>642.67487508574231</v>
      </c>
      <c r="J214">
        <v>1205.6587756027197</v>
      </c>
      <c r="K214">
        <v>0</v>
      </c>
      <c r="L214">
        <v>8.696787870533381</v>
      </c>
      <c r="M214">
        <v>863.46679571724292</v>
      </c>
    </row>
    <row r="215" spans="1:13" x14ac:dyDescent="0.3">
      <c r="A215">
        <v>720</v>
      </c>
      <c r="B215">
        <v>85.468838102887077</v>
      </c>
      <c r="C215">
        <v>92.916330219736167</v>
      </c>
      <c r="D215">
        <v>112.59898795712301</v>
      </c>
      <c r="E215">
        <v>81.745092044462552</v>
      </c>
      <c r="F215">
        <v>112.59898795712301</v>
      </c>
      <c r="G215">
        <v>139.90645905223633</v>
      </c>
      <c r="H215">
        <v>61.353149343566244</v>
      </c>
      <c r="I215">
        <v>557.85262380017173</v>
      </c>
      <c r="J215">
        <v>1209.3308627835891</v>
      </c>
      <c r="K215">
        <v>0</v>
      </c>
      <c r="L215">
        <v>9.0433832847453139</v>
      </c>
      <c r="M215">
        <v>867.27818913116323</v>
      </c>
    </row>
    <row r="216" spans="1:13" x14ac:dyDescent="0.3">
      <c r="A216">
        <v>722</v>
      </c>
      <c r="B216">
        <v>88.049289288145729</v>
      </c>
      <c r="C216">
        <v>94.604266559094214</v>
      </c>
      <c r="D216">
        <v>108.77719038817199</v>
      </c>
      <c r="E216">
        <v>82.025796660787663</v>
      </c>
      <c r="F216">
        <v>116.39513694630129</v>
      </c>
      <c r="G216">
        <v>152.53609271044962</v>
      </c>
      <c r="H216">
        <v>59.703441629990166</v>
      </c>
      <c r="I216">
        <v>461.15150908861835</v>
      </c>
      <c r="J216">
        <v>1213.0251182211948</v>
      </c>
      <c r="K216">
        <v>0</v>
      </c>
      <c r="L216">
        <v>9.3895620367640316</v>
      </c>
      <c r="M216">
        <v>870.74900774896639</v>
      </c>
    </row>
    <row r="217" spans="1:13" x14ac:dyDescent="0.3">
      <c r="A217">
        <v>724</v>
      </c>
      <c r="B217">
        <v>91.042040745950459</v>
      </c>
      <c r="C217">
        <v>94.761657196660479</v>
      </c>
      <c r="D217">
        <v>102.90938846964438</v>
      </c>
      <c r="E217">
        <v>80.59168976538416</v>
      </c>
      <c r="F217">
        <v>119.73622479428504</v>
      </c>
      <c r="G217">
        <v>168.44548783929744</v>
      </c>
      <c r="H217">
        <v>59.690987804251556</v>
      </c>
      <c r="I217">
        <v>372.49301884967662</v>
      </c>
      <c r="J217">
        <v>1215.6060810106185</v>
      </c>
      <c r="K217">
        <v>0</v>
      </c>
      <c r="L217">
        <v>9.7418526090024802</v>
      </c>
      <c r="M217">
        <v>874.10986591685889</v>
      </c>
    </row>
    <row r="218" spans="1:13" x14ac:dyDescent="0.3">
      <c r="A218">
        <v>726</v>
      </c>
      <c r="B218">
        <v>94.056793054361933</v>
      </c>
      <c r="C218">
        <v>94.588187365403499</v>
      </c>
      <c r="D218">
        <v>97.245158920611473</v>
      </c>
      <c r="E218">
        <v>81.126198152349829</v>
      </c>
      <c r="F218">
        <v>121.86642866553862</v>
      </c>
      <c r="G218">
        <v>188.11358610872387</v>
      </c>
      <c r="H218">
        <v>58.276242777561343</v>
      </c>
      <c r="I218">
        <v>313.52264351453971</v>
      </c>
      <c r="J218">
        <v>1218.8414180923999</v>
      </c>
      <c r="K218">
        <v>0</v>
      </c>
      <c r="L218">
        <v>10.096491909790263</v>
      </c>
      <c r="M218">
        <v>877.15487609265585</v>
      </c>
    </row>
    <row r="219" spans="1:13" x14ac:dyDescent="0.3">
      <c r="A219">
        <v>728</v>
      </c>
      <c r="B219">
        <v>96.576296147338667</v>
      </c>
      <c r="C219">
        <v>96.044683507995501</v>
      </c>
      <c r="D219">
        <v>96.399091934224273</v>
      </c>
      <c r="E219">
        <v>81.691142245730504</v>
      </c>
      <c r="F219">
        <v>124.22015339318237</v>
      </c>
      <c r="G219">
        <v>204.67086614711218</v>
      </c>
      <c r="H219">
        <v>53.870080786772384</v>
      </c>
      <c r="I219">
        <v>278.74222722892426</v>
      </c>
      <c r="J219">
        <v>1219.8738030794116</v>
      </c>
      <c r="K219">
        <v>0</v>
      </c>
      <c r="L219">
        <v>10.632252786862971</v>
      </c>
      <c r="M219">
        <v>879.99612232602522</v>
      </c>
    </row>
    <row r="220" spans="1:13" x14ac:dyDescent="0.3">
      <c r="A220">
        <v>730</v>
      </c>
      <c r="B220">
        <v>100.86954067317471</v>
      </c>
      <c r="C220">
        <v>97.855863711058774</v>
      </c>
      <c r="D220">
        <v>97.324038364803016</v>
      </c>
      <c r="E220">
        <v>83.319304246734831</v>
      </c>
      <c r="F220">
        <v>123.38348033133497</v>
      </c>
      <c r="G220">
        <v>209.53918642476717</v>
      </c>
      <c r="H220">
        <v>49.459757201785145</v>
      </c>
      <c r="I220">
        <v>249.7806376247859</v>
      </c>
      <c r="J220">
        <v>1220.1846194261186</v>
      </c>
      <c r="K220">
        <v>0</v>
      </c>
      <c r="L220">
        <v>10.813782040533667</v>
      </c>
      <c r="M220">
        <v>882.29824943829624</v>
      </c>
    </row>
    <row r="221" spans="1:13" x14ac:dyDescent="0.3">
      <c r="A221">
        <v>732</v>
      </c>
      <c r="B221">
        <v>105.40442442512777</v>
      </c>
      <c r="C221">
        <v>101.67800537979497</v>
      </c>
      <c r="D221">
        <v>99.371174542207996</v>
      </c>
      <c r="E221">
        <v>85.175292464749717</v>
      </c>
      <c r="F221">
        <v>120.66499765839542</v>
      </c>
      <c r="G221">
        <v>186.85329784454467</v>
      </c>
      <c r="H221">
        <v>46.66896232964411</v>
      </c>
      <c r="I221">
        <v>218.79403251882582</v>
      </c>
      <c r="J221">
        <v>1220.490961609476</v>
      </c>
      <c r="K221">
        <v>0</v>
      </c>
      <c r="L221">
        <v>11.001808610030169</v>
      </c>
      <c r="M221">
        <v>884.04855637371475</v>
      </c>
    </row>
    <row r="222" spans="1:13" x14ac:dyDescent="0.3">
      <c r="A222">
        <v>734</v>
      </c>
      <c r="B222">
        <v>109.62680742806378</v>
      </c>
      <c r="C222">
        <v>106.42861855658056</v>
      </c>
      <c r="D222">
        <v>102.34204388746312</v>
      </c>
      <c r="E222">
        <v>85.285036572885929</v>
      </c>
      <c r="F222">
        <v>119.57672836156715</v>
      </c>
      <c r="G222">
        <v>140.18727886668125</v>
      </c>
      <c r="H222">
        <v>46.906770115087262</v>
      </c>
      <c r="I222">
        <v>178.56554532447993</v>
      </c>
      <c r="J222">
        <v>1220.2867316303762</v>
      </c>
      <c r="K222">
        <v>0</v>
      </c>
      <c r="L222">
        <v>10.838306731137585</v>
      </c>
      <c r="M222">
        <v>885.54296308179892</v>
      </c>
    </row>
    <row r="223" spans="1:13" x14ac:dyDescent="0.3">
      <c r="A223">
        <v>736</v>
      </c>
      <c r="B223">
        <v>114.25631558651943</v>
      </c>
      <c r="C223">
        <v>109.80708211352413</v>
      </c>
      <c r="D223">
        <v>105.35784864052883</v>
      </c>
      <c r="E223">
        <v>86.671068053948545</v>
      </c>
      <c r="F223">
        <v>120.12930377087324</v>
      </c>
      <c r="G223">
        <v>107.31551136864677</v>
      </c>
      <c r="H223">
        <v>48.051721508349296</v>
      </c>
      <c r="I223">
        <v>141.66359378017052</v>
      </c>
      <c r="J223">
        <v>1220.3357569731522</v>
      </c>
      <c r="K223">
        <v>0</v>
      </c>
      <c r="L223">
        <v>10.50019099626892</v>
      </c>
      <c r="M223">
        <v>886.82121583742423</v>
      </c>
    </row>
    <row r="224" spans="1:13" x14ac:dyDescent="0.3">
      <c r="A224">
        <v>738</v>
      </c>
      <c r="B224">
        <v>115.74242260336473</v>
      </c>
      <c r="C224">
        <v>112.88898845597822</v>
      </c>
      <c r="D224">
        <v>106.46876162435861</v>
      </c>
      <c r="E224">
        <v>86.851401861076454</v>
      </c>
      <c r="F224">
        <v>121.0926116297144</v>
      </c>
      <c r="G224">
        <v>96.838421376929176</v>
      </c>
      <c r="H224">
        <v>48.865059773993735</v>
      </c>
      <c r="I224">
        <v>118.23917748232792</v>
      </c>
      <c r="J224">
        <v>1220.734796178785</v>
      </c>
      <c r="K224">
        <v>0</v>
      </c>
      <c r="L224">
        <v>10.16535915006439</v>
      </c>
      <c r="M224">
        <v>888.3097180082583</v>
      </c>
    </row>
    <row r="225" spans="1:13" x14ac:dyDescent="0.3">
      <c r="A225">
        <v>740</v>
      </c>
      <c r="B225">
        <v>118.69488245875955</v>
      </c>
      <c r="C225">
        <v>113.51091921884385</v>
      </c>
      <c r="D225">
        <v>107.07565450722434</v>
      </c>
      <c r="E225">
        <v>87.769860372365855</v>
      </c>
      <c r="F225">
        <v>121.01872804906658</v>
      </c>
      <c r="G225">
        <v>98.674058911498904</v>
      </c>
      <c r="H225">
        <v>48.979514749548365</v>
      </c>
      <c r="I225">
        <v>104.39429421071623</v>
      </c>
      <c r="J225">
        <v>1222.3427805015028</v>
      </c>
      <c r="K225">
        <v>0</v>
      </c>
      <c r="L225">
        <v>10.010411773630324</v>
      </c>
      <c r="M225">
        <v>890.03286108759596</v>
      </c>
    </row>
    <row r="226" spans="1:13" x14ac:dyDescent="0.3">
      <c r="A226">
        <v>742</v>
      </c>
      <c r="B226">
        <v>121.51170258864676</v>
      </c>
      <c r="C226">
        <v>115.23897457890837</v>
      </c>
      <c r="D226">
        <v>108.96624656916997</v>
      </c>
      <c r="E226">
        <v>90.327283340233009</v>
      </c>
      <c r="F226">
        <v>119.36105298530789</v>
      </c>
      <c r="G226">
        <v>101.61819375776213</v>
      </c>
      <c r="H226">
        <v>50.181824077907216</v>
      </c>
      <c r="I226">
        <v>93.194816144684836</v>
      </c>
      <c r="J226">
        <v>1224.4365075009362</v>
      </c>
      <c r="K226">
        <v>0</v>
      </c>
      <c r="L226">
        <v>10.036364815581443</v>
      </c>
      <c r="M226">
        <v>891.9819229848008</v>
      </c>
    </row>
    <row r="227" spans="1:13" x14ac:dyDescent="0.3">
      <c r="A227">
        <v>744</v>
      </c>
      <c r="B227">
        <v>125.29411591126187</v>
      </c>
      <c r="C227">
        <v>118.10363580157684</v>
      </c>
      <c r="D227">
        <v>111.27267969737605</v>
      </c>
      <c r="E227">
        <v>94.554813442358324</v>
      </c>
      <c r="F227">
        <v>111.63220370286028</v>
      </c>
      <c r="G227">
        <v>105.70005761237013</v>
      </c>
      <c r="H227">
        <v>50.333360767795305</v>
      </c>
      <c r="I227">
        <v>79.095281206535475</v>
      </c>
      <c r="J227">
        <v>1226.1566207040421</v>
      </c>
      <c r="K227">
        <v>0</v>
      </c>
      <c r="L227">
        <v>10.066672153559061</v>
      </c>
      <c r="M227">
        <v>894.31596364207724</v>
      </c>
    </row>
    <row r="228" spans="1:13" x14ac:dyDescent="0.3">
      <c r="A228">
        <v>746</v>
      </c>
      <c r="B228">
        <v>129.50832684202561</v>
      </c>
      <c r="C228">
        <v>121.9326308429099</v>
      </c>
      <c r="D228">
        <v>113.9961874152649</v>
      </c>
      <c r="E228">
        <v>98.844795417033481</v>
      </c>
      <c r="F228">
        <v>101.73077484526803</v>
      </c>
      <c r="G228">
        <v>108.76534970158976</v>
      </c>
      <c r="H228">
        <v>51.947629708221967</v>
      </c>
      <c r="I228">
        <v>65.114910849542127</v>
      </c>
      <c r="J228">
        <v>1228.8861152851262</v>
      </c>
      <c r="K228">
        <v>0</v>
      </c>
      <c r="L228">
        <v>10.281301713085599</v>
      </c>
      <c r="M228">
        <v>896.63773360962307</v>
      </c>
    </row>
    <row r="229" spans="1:13" x14ac:dyDescent="0.3">
      <c r="A229">
        <v>748</v>
      </c>
      <c r="B229">
        <v>132.5328493432402</v>
      </c>
      <c r="C229">
        <v>125.652728748919</v>
      </c>
      <c r="D229">
        <v>117.50521751880177</v>
      </c>
      <c r="E229">
        <v>103.74497633015935</v>
      </c>
      <c r="F229">
        <v>94.149018659132381</v>
      </c>
      <c r="G229">
        <v>113.52198980630003</v>
      </c>
      <c r="H229">
        <v>54.135685729001125</v>
      </c>
      <c r="I229">
        <v>55.584132169910845</v>
      </c>
      <c r="J229">
        <v>1229.9120841374736</v>
      </c>
      <c r="K229">
        <v>0</v>
      </c>
      <c r="L229">
        <v>10.320180891481819</v>
      </c>
      <c r="M229">
        <v>898.76101658448692</v>
      </c>
    </row>
    <row r="230" spans="1:13" x14ac:dyDescent="0.3">
      <c r="A230">
        <v>750</v>
      </c>
      <c r="B230">
        <v>134.8941424626843</v>
      </c>
      <c r="C230">
        <v>129.62199942842844</v>
      </c>
      <c r="D230">
        <v>120.3502996095647</v>
      </c>
      <c r="E230">
        <v>109.26061943406101</v>
      </c>
      <c r="F230">
        <v>90.717219796333509</v>
      </c>
      <c r="G230">
        <v>119.98670353823671</v>
      </c>
      <c r="H230">
        <v>56.720987127166445</v>
      </c>
      <c r="I230">
        <v>52.539632306894561</v>
      </c>
      <c r="J230">
        <v>1231.3180955522382</v>
      </c>
      <c r="K230">
        <v>0</v>
      </c>
      <c r="L230">
        <v>10.362488032847716</v>
      </c>
      <c r="M230">
        <v>900.62746867943133</v>
      </c>
    </row>
    <row r="231" spans="1:13" x14ac:dyDescent="0.3">
      <c r="A231">
        <v>752</v>
      </c>
      <c r="B231">
        <v>134.93103871905117</v>
      </c>
      <c r="C231">
        <v>132.92259294650782</v>
      </c>
      <c r="D231">
        <v>122.33260614582449</v>
      </c>
      <c r="E231">
        <v>114.29882305565093</v>
      </c>
      <c r="F231">
        <v>88.736785950553283</v>
      </c>
      <c r="G231">
        <v>123.7932939804015</v>
      </c>
      <c r="H231">
        <v>59.705615238335234</v>
      </c>
      <c r="I231">
        <v>51.671832148161684</v>
      </c>
      <c r="J231">
        <v>1232.6379464036734</v>
      </c>
      <c r="K231">
        <v>0</v>
      </c>
      <c r="L231">
        <v>10.407400821361188</v>
      </c>
      <c r="M231">
        <v>901.97473785130296</v>
      </c>
    </row>
    <row r="232" spans="1:13" x14ac:dyDescent="0.3">
      <c r="A232">
        <v>754</v>
      </c>
      <c r="B232">
        <v>132.44466967669251</v>
      </c>
      <c r="C232">
        <v>133.72875927189591</v>
      </c>
      <c r="D232">
        <v>123.08915976878212</v>
      </c>
      <c r="E232">
        <v>117.95280138796856</v>
      </c>
      <c r="F232">
        <v>87.501533844573871</v>
      </c>
      <c r="G232">
        <v>128.22551814959567</v>
      </c>
      <c r="H232">
        <v>62.186624681992754</v>
      </c>
      <c r="I232">
        <v>51.547025178878947</v>
      </c>
      <c r="J232">
        <v>1232.9094527659979</v>
      </c>
      <c r="K232">
        <v>0</v>
      </c>
      <c r="L232">
        <v>10.639599503113805</v>
      </c>
      <c r="M232">
        <v>902.89842679872663</v>
      </c>
    </row>
    <row r="233" spans="1:13" x14ac:dyDescent="0.3">
      <c r="A233">
        <v>756</v>
      </c>
      <c r="B233">
        <v>126.66580517063875</v>
      </c>
      <c r="C233">
        <v>134.22519092318052</v>
      </c>
      <c r="D233">
        <v>121.68767308969662</v>
      </c>
      <c r="E233">
        <v>123.900176236782</v>
      </c>
      <c r="F233">
        <v>85.550121687301868</v>
      </c>
      <c r="G233">
        <v>133.85644039866628</v>
      </c>
      <c r="H233">
        <v>64.531341789990634</v>
      </c>
      <c r="I233">
        <v>51.440698169735391</v>
      </c>
      <c r="J233">
        <v>1232.3642529265639</v>
      </c>
      <c r="K233">
        <v>0</v>
      </c>
      <c r="L233">
        <v>10.693765210912733</v>
      </c>
      <c r="M233">
        <v>903.62316032212584</v>
      </c>
    </row>
    <row r="234" spans="1:13" x14ac:dyDescent="0.3">
      <c r="A234">
        <v>758</v>
      </c>
      <c r="B234">
        <v>118.17256941142621</v>
      </c>
      <c r="C234">
        <v>132.64267995160083</v>
      </c>
      <c r="D234">
        <v>116.50294127217528</v>
      </c>
      <c r="E234">
        <v>128.93239519770989</v>
      </c>
      <c r="F234">
        <v>82.368321536378701</v>
      </c>
      <c r="G234">
        <v>141.36184912324453</v>
      </c>
      <c r="H234">
        <v>66.228582856953153</v>
      </c>
      <c r="I234">
        <v>50.645386890611228</v>
      </c>
      <c r="J234">
        <v>1232.000052529484</v>
      </c>
      <c r="K234">
        <v>0</v>
      </c>
      <c r="L234">
        <v>10.759825786283704</v>
      </c>
      <c r="M234">
        <v>904.01088028552579</v>
      </c>
    </row>
    <row r="235" spans="1:13" x14ac:dyDescent="0.3">
      <c r="A235">
        <v>760</v>
      </c>
      <c r="B235">
        <v>113.42713718626727</v>
      </c>
      <c r="C235">
        <v>132.6742461322072</v>
      </c>
      <c r="D235">
        <v>111.37162069689505</v>
      </c>
      <c r="E235">
        <v>133.79543694459204</v>
      </c>
      <c r="F235">
        <v>77.735896325349557</v>
      </c>
      <c r="G235">
        <v>149.11837804718499</v>
      </c>
      <c r="H235">
        <v>68.579504690873293</v>
      </c>
      <c r="I235">
        <v>50.079856286523281</v>
      </c>
      <c r="J235">
        <v>1229.7594560507823</v>
      </c>
      <c r="K235">
        <v>0</v>
      </c>
      <c r="L235">
        <v>10.838177853053544</v>
      </c>
      <c r="M235">
        <v>904.42725532377858</v>
      </c>
    </row>
    <row r="236" spans="1:13" x14ac:dyDescent="0.3">
      <c r="A236">
        <v>762</v>
      </c>
      <c r="B236">
        <v>112.0716560079469</v>
      </c>
      <c r="C236">
        <v>131.25170451937404</v>
      </c>
      <c r="D236">
        <v>108.31086218217686</v>
      </c>
      <c r="E236">
        <v>139.71349062735661</v>
      </c>
      <c r="F236">
        <v>73.147439911227082</v>
      </c>
      <c r="G236">
        <v>157.38922160847574</v>
      </c>
      <c r="H236">
        <v>70.51488423318807</v>
      </c>
      <c r="I236">
        <v>49.078359426298888</v>
      </c>
      <c r="J236">
        <v>1228.8393825703572</v>
      </c>
      <c r="K236">
        <v>0</v>
      </c>
      <c r="L236">
        <v>11.094341786021587</v>
      </c>
      <c r="M236">
        <v>904.65895478898074</v>
      </c>
    </row>
    <row r="237" spans="1:13" x14ac:dyDescent="0.3">
      <c r="A237">
        <v>764</v>
      </c>
      <c r="B237">
        <v>115.38500398939581</v>
      </c>
      <c r="C237">
        <v>133.92226692539708</v>
      </c>
      <c r="D237">
        <v>108.00792996384426</v>
      </c>
      <c r="E237">
        <v>147.5414805110307</v>
      </c>
      <c r="F237">
        <v>67.717756439678197</v>
      </c>
      <c r="G237">
        <v>166.26789919127691</v>
      </c>
      <c r="H237">
        <v>73.581584511270435</v>
      </c>
      <c r="I237">
        <v>49.747960736411635</v>
      </c>
      <c r="J237">
        <v>1228.5665588706979</v>
      </c>
      <c r="K237">
        <v>0</v>
      </c>
      <c r="L237">
        <v>11.349344654694669</v>
      </c>
      <c r="M237">
        <v>905.48854770038974</v>
      </c>
    </row>
    <row r="238" spans="1:13" x14ac:dyDescent="0.3">
      <c r="A238">
        <v>766</v>
      </c>
      <c r="B238">
        <v>117.62481926493682</v>
      </c>
      <c r="C238">
        <v>136.84829296357537</v>
      </c>
      <c r="D238">
        <v>109.25023666354974</v>
      </c>
      <c r="E238">
        <v>154.35878385738471</v>
      </c>
      <c r="F238">
        <v>65.093346583508719</v>
      </c>
      <c r="G238">
        <v>174.72424609257607</v>
      </c>
      <c r="H238">
        <v>76.893894794554171</v>
      </c>
      <c r="I238">
        <v>51.199152722116516</v>
      </c>
      <c r="J238">
        <v>1227.4473453714847</v>
      </c>
      <c r="K238">
        <v>0</v>
      </c>
      <c r="L238">
        <v>11.610216788286644</v>
      </c>
      <c r="M238">
        <v>905.97757233187588</v>
      </c>
    </row>
    <row r="239" spans="1:13" x14ac:dyDescent="0.3">
      <c r="A239">
        <v>768</v>
      </c>
      <c r="B239">
        <v>121.38208864903112</v>
      </c>
      <c r="C239">
        <v>141.70831518425592</v>
      </c>
      <c r="D239">
        <v>110.64370481910103</v>
      </c>
      <c r="E239">
        <v>160.88400059484536</v>
      </c>
      <c r="F239">
        <v>66.347871520639444</v>
      </c>
      <c r="G239">
        <v>180.63495656775248</v>
      </c>
      <c r="H239">
        <v>80.154365016263839</v>
      </c>
      <c r="I239">
        <v>53.50016229554452</v>
      </c>
      <c r="J239">
        <v>1228.777921110571</v>
      </c>
      <c r="K239">
        <v>0</v>
      </c>
      <c r="L239">
        <v>11.88892495456545</v>
      </c>
      <c r="M239">
        <v>907.00991992088029</v>
      </c>
    </row>
    <row r="240" spans="1:13" x14ac:dyDescent="0.3">
      <c r="A240">
        <v>770</v>
      </c>
      <c r="B240">
        <v>125.91864346865829</v>
      </c>
      <c r="C240">
        <v>145.64783184623607</v>
      </c>
      <c r="D240">
        <v>112.95927463240621</v>
      </c>
      <c r="E240">
        <v>166.53756071661257</v>
      </c>
      <c r="F240">
        <v>67.504771997790698</v>
      </c>
      <c r="G240">
        <v>183.36539786219367</v>
      </c>
      <c r="H240">
        <v>82.20495157324082</v>
      </c>
      <c r="I240">
        <v>55.512520238870863</v>
      </c>
      <c r="J240">
        <v>1228.8189584583506</v>
      </c>
      <c r="K240">
        <v>0</v>
      </c>
      <c r="L240">
        <v>12.185675174386287</v>
      </c>
      <c r="M240">
        <v>907.92951219951158</v>
      </c>
    </row>
    <row r="241" spans="1:13" x14ac:dyDescent="0.3">
      <c r="A241">
        <v>772</v>
      </c>
      <c r="B241">
        <v>130.88857209517576</v>
      </c>
      <c r="C241">
        <v>148.61306623306413</v>
      </c>
      <c r="D241">
        <v>114.91704990499062</v>
      </c>
      <c r="E241">
        <v>171.98602553577408</v>
      </c>
      <c r="F241">
        <v>67.781581977858863</v>
      </c>
      <c r="G241">
        <v>176.46584273546017</v>
      </c>
      <c r="H241">
        <v>81.805357559484847</v>
      </c>
      <c r="I241">
        <v>56.679426309071637</v>
      </c>
      <c r="J241">
        <v>1228.4437860182641</v>
      </c>
      <c r="K241">
        <v>0</v>
      </c>
      <c r="L241">
        <v>12.465578294778643</v>
      </c>
      <c r="M241">
        <v>908.62379289284945</v>
      </c>
    </row>
    <row r="242" spans="1:13" x14ac:dyDescent="0.3">
      <c r="A242">
        <v>774</v>
      </c>
      <c r="B242">
        <v>135.40546810016383</v>
      </c>
      <c r="C242">
        <v>152.82033321709241</v>
      </c>
      <c r="D242">
        <v>117.01223977441903</v>
      </c>
      <c r="E242">
        <v>172.97461531870641</v>
      </c>
      <c r="F242">
        <v>69.855133109477592</v>
      </c>
      <c r="G242">
        <v>167.30010870757235</v>
      </c>
      <c r="H242">
        <v>78.269056705297004</v>
      </c>
      <c r="I242">
        <v>57.332084036630064</v>
      </c>
      <c r="J242">
        <v>1227.8458270643468</v>
      </c>
      <c r="K242">
        <v>0</v>
      </c>
      <c r="L242">
        <v>12.32737643108428</v>
      </c>
      <c r="M242">
        <v>909.48643891555128</v>
      </c>
    </row>
    <row r="243" spans="1:13" x14ac:dyDescent="0.3">
      <c r="A243">
        <v>776</v>
      </c>
      <c r="B243">
        <v>138.71080653871689</v>
      </c>
      <c r="C243">
        <v>154.82169341715144</v>
      </c>
      <c r="D243">
        <v>115.91979583263877</v>
      </c>
      <c r="E243">
        <v>169.95020914446195</v>
      </c>
      <c r="F243">
        <v>71.516619801831382</v>
      </c>
      <c r="G243">
        <v>156.78643571939958</v>
      </c>
      <c r="H243">
        <v>74.46373325520355</v>
      </c>
      <c r="I243">
        <v>57.566949455869768</v>
      </c>
      <c r="J243">
        <v>1228.1604131352965</v>
      </c>
      <c r="K243">
        <v>0</v>
      </c>
      <c r="L243">
        <v>12.181402273938312</v>
      </c>
      <c r="M243">
        <v>909.6756859408772</v>
      </c>
    </row>
    <row r="244" spans="1:13" x14ac:dyDescent="0.3">
      <c r="A244">
        <v>778</v>
      </c>
      <c r="B244">
        <v>139.33257838289143</v>
      </c>
      <c r="C244">
        <v>153.54213311882373</v>
      </c>
      <c r="D244">
        <v>114.6632125218979</v>
      </c>
      <c r="E244">
        <v>163.60723439010906</v>
      </c>
      <c r="F244">
        <v>72.626613094764949</v>
      </c>
      <c r="G244">
        <v>145.6479360433058</v>
      </c>
      <c r="H244">
        <v>72.231903240989055</v>
      </c>
      <c r="I244">
        <v>59.798542847048303</v>
      </c>
      <c r="J244">
        <v>1228.3370649505898</v>
      </c>
      <c r="K244">
        <v>0</v>
      </c>
      <c r="L244">
        <v>12.038650540164841</v>
      </c>
      <c r="M244">
        <v>909.80621295344133</v>
      </c>
    </row>
    <row r="245" spans="1:13" x14ac:dyDescent="0.3">
      <c r="A245">
        <v>780</v>
      </c>
      <c r="B245">
        <v>139.39537880291775</v>
      </c>
      <c r="C245">
        <v>151.49085263930181</v>
      </c>
      <c r="D245">
        <v>115.79929049915215</v>
      </c>
      <c r="E245">
        <v>159.81888380533672</v>
      </c>
      <c r="F245">
        <v>74.555707581645905</v>
      </c>
      <c r="G245">
        <v>133.84335802556114</v>
      </c>
      <c r="H245">
        <v>70.986551367630938</v>
      </c>
      <c r="I245">
        <v>62.063660832593534</v>
      </c>
      <c r="J245">
        <v>1225.0137272324691</v>
      </c>
      <c r="K245">
        <v>0</v>
      </c>
      <c r="L245">
        <v>11.698900923715714</v>
      </c>
      <c r="M245">
        <v>909.73826166114736</v>
      </c>
    </row>
    <row r="246" spans="1:13" x14ac:dyDescent="0.3">
      <c r="A246">
        <v>782</v>
      </c>
      <c r="B246">
        <v>140.31652176908253</v>
      </c>
      <c r="C246">
        <v>152.07600299688917</v>
      </c>
      <c r="D246">
        <v>118.59137848381265</v>
      </c>
      <c r="E246">
        <v>156.06226781987445</v>
      </c>
      <c r="F246">
        <v>75.340405154422157</v>
      </c>
      <c r="G246">
        <v>121.38176385990235</v>
      </c>
      <c r="H246">
        <v>70.357574125690533</v>
      </c>
      <c r="I246">
        <v>63.979550408914058</v>
      </c>
      <c r="J246">
        <v>1222.1887947272928</v>
      </c>
      <c r="K246">
        <v>0</v>
      </c>
      <c r="L246">
        <v>11.161541504358839</v>
      </c>
      <c r="M246">
        <v>909.0676928817976</v>
      </c>
    </row>
    <row r="247" spans="1:13" x14ac:dyDescent="0.3">
      <c r="A247">
        <v>784</v>
      </c>
      <c r="B247">
        <v>142.92812213495549</v>
      </c>
      <c r="C247">
        <v>152.14929130495261</v>
      </c>
      <c r="D247">
        <v>122.28072160213583</v>
      </c>
      <c r="E247">
        <v>152.95113210234368</v>
      </c>
      <c r="F247">
        <v>76.575796150845719</v>
      </c>
      <c r="G247">
        <v>105.24160465757591</v>
      </c>
      <c r="H247">
        <v>69.760149373021747</v>
      </c>
      <c r="I247">
        <v>67.354626980848579</v>
      </c>
      <c r="J247">
        <v>1219.8003130311417</v>
      </c>
      <c r="K247">
        <v>0</v>
      </c>
      <c r="L247">
        <v>10.624390565431472</v>
      </c>
      <c r="M247">
        <v>908.4856234440648</v>
      </c>
    </row>
    <row r="248" spans="1:13" x14ac:dyDescent="0.3">
      <c r="A248">
        <v>786</v>
      </c>
      <c r="B248">
        <v>146.78740143185516</v>
      </c>
      <c r="C248">
        <v>153.23959490138728</v>
      </c>
      <c r="D248">
        <v>126.62429683956738</v>
      </c>
      <c r="E248">
        <v>150.61839130438986</v>
      </c>
      <c r="F248">
        <v>77.627952680308027</v>
      </c>
      <c r="G248">
        <v>93.153543216369641</v>
      </c>
      <c r="H248">
        <v>68.957817705624279</v>
      </c>
      <c r="I248">
        <v>69.562710843392907</v>
      </c>
      <c r="J248">
        <v>1216.440100052723</v>
      </c>
      <c r="K248">
        <v>0</v>
      </c>
      <c r="L248">
        <v>10.081552296143899</v>
      </c>
      <c r="M248">
        <v>907.33970665295101</v>
      </c>
    </row>
    <row r="249" spans="1:13" x14ac:dyDescent="0.3">
      <c r="A249">
        <v>788</v>
      </c>
      <c r="B249">
        <v>147.50149719832086</v>
      </c>
      <c r="C249">
        <v>155.82001354650677</v>
      </c>
      <c r="D249">
        <v>131.47313642986509</v>
      </c>
      <c r="E249">
        <v>149.93618490998503</v>
      </c>
      <c r="F249">
        <v>79.330241271724148</v>
      </c>
      <c r="G249">
        <v>80.344694484917554</v>
      </c>
      <c r="H249">
        <v>69.388599782428798</v>
      </c>
      <c r="I249">
        <v>72.634850064647694</v>
      </c>
      <c r="J249">
        <v>1214.0976055498652</v>
      </c>
      <c r="K249">
        <v>0</v>
      </c>
      <c r="L249">
        <v>9.5358602040179932</v>
      </c>
      <c r="M249">
        <v>906.10961002434794</v>
      </c>
    </row>
    <row r="250" spans="1:13" x14ac:dyDescent="0.3">
      <c r="A250">
        <v>790</v>
      </c>
      <c r="B250">
        <v>148.02706942893474</v>
      </c>
      <c r="C250">
        <v>156.80660596058192</v>
      </c>
      <c r="D250">
        <v>134.7556769973751</v>
      </c>
      <c r="E250">
        <v>150.27299737889101</v>
      </c>
      <c r="F250">
        <v>81.874282539314251</v>
      </c>
      <c r="G250">
        <v>69.215415912288108</v>
      </c>
      <c r="H250">
        <v>67.990364303221071</v>
      </c>
      <c r="I250">
        <v>74.319797616734135</v>
      </c>
      <c r="J250">
        <v>1211.5760413673088</v>
      </c>
      <c r="K250">
        <v>0</v>
      </c>
      <c r="L250">
        <v>9.1878870680028459</v>
      </c>
      <c r="M250">
        <v>905.10896383236934</v>
      </c>
    </row>
    <row r="251" spans="1:13" x14ac:dyDescent="0.3">
      <c r="A251">
        <v>792</v>
      </c>
      <c r="B251">
        <v>144.06532388556155</v>
      </c>
      <c r="C251">
        <v>156.60167874578875</v>
      </c>
      <c r="D251">
        <v>136.87233339198858</v>
      </c>
      <c r="E251">
        <v>149.40868825221577</v>
      </c>
      <c r="F251">
        <v>85.08280183826318</v>
      </c>
      <c r="G251">
        <v>57.95495197678796</v>
      </c>
      <c r="H251">
        <v>65.969998526769274</v>
      </c>
      <c r="I251">
        <v>75.834671203669359</v>
      </c>
      <c r="J251">
        <v>1208.4224029202596</v>
      </c>
      <c r="K251">
        <v>0</v>
      </c>
      <c r="L251">
        <v>9.2481306345938243</v>
      </c>
      <c r="M251">
        <v>904.05614803507183</v>
      </c>
    </row>
    <row r="252" spans="1:13" x14ac:dyDescent="0.3">
      <c r="A252">
        <v>794</v>
      </c>
      <c r="B252">
        <v>133.63525317018153</v>
      </c>
      <c r="C252">
        <v>149.77077909475452</v>
      </c>
      <c r="D252">
        <v>137.77256750981564</v>
      </c>
      <c r="E252">
        <v>148.32271907588259</v>
      </c>
      <c r="F252">
        <v>87.090466849297869</v>
      </c>
      <c r="G252">
        <v>52.130160679389704</v>
      </c>
      <c r="H252">
        <v>66.403895151127358</v>
      </c>
      <c r="I252">
        <v>78.195241019084548</v>
      </c>
      <c r="J252">
        <v>1205.6133985693775</v>
      </c>
      <c r="K252">
        <v>0</v>
      </c>
      <c r="L252">
        <v>9.3089572641767315</v>
      </c>
      <c r="M252">
        <v>903.38258605910642</v>
      </c>
    </row>
    <row r="253" spans="1:13" x14ac:dyDescent="0.3">
      <c r="A253">
        <v>796</v>
      </c>
      <c r="B253">
        <v>117.85329926833037</v>
      </c>
      <c r="C253">
        <v>138.46721557144824</v>
      </c>
      <c r="D253">
        <v>137.4261086874524</v>
      </c>
      <c r="E253">
        <v>148.04539890421006</v>
      </c>
      <c r="F253">
        <v>90.159856154040739</v>
      </c>
      <c r="G253">
        <v>51.847122822993398</v>
      </c>
      <c r="H253">
        <v>66.422619198935323</v>
      </c>
      <c r="I253">
        <v>79.748787314082222</v>
      </c>
      <c r="J253">
        <v>1203.9360006528027</v>
      </c>
      <c r="K253">
        <v>0</v>
      </c>
      <c r="L253">
        <v>9.7864047095610029</v>
      </c>
      <c r="M253">
        <v>902.43144704760402</v>
      </c>
    </row>
    <row r="254" spans="1:13" x14ac:dyDescent="0.3">
      <c r="A254">
        <v>798</v>
      </c>
      <c r="B254">
        <v>103.09165857682231</v>
      </c>
      <c r="C254">
        <v>122.78803236995503</v>
      </c>
      <c r="D254">
        <v>137.87461655192902</v>
      </c>
      <c r="E254">
        <v>149.39909057982584</v>
      </c>
      <c r="F254">
        <v>92.614864006007025</v>
      </c>
      <c r="G254">
        <v>52.174436962660074</v>
      </c>
      <c r="H254">
        <v>68.3087006017156</v>
      </c>
      <c r="I254">
        <v>81.928533543775458</v>
      </c>
      <c r="J254">
        <v>1201.0597295982632</v>
      </c>
      <c r="K254">
        <v>0</v>
      </c>
      <c r="L254">
        <v>10.476794570815276</v>
      </c>
      <c r="M254">
        <v>901.42340487294621</v>
      </c>
    </row>
    <row r="255" spans="1:13" x14ac:dyDescent="0.3">
      <c r="A255">
        <v>800</v>
      </c>
      <c r="B255">
        <v>96.963045981527955</v>
      </c>
      <c r="C255">
        <v>110.87513518757326</v>
      </c>
      <c r="D255">
        <v>141.22878436439939</v>
      </c>
      <c r="E255">
        <v>153.03298126649847</v>
      </c>
      <c r="F255">
        <v>94.222785986397795</v>
      </c>
      <c r="G255">
        <v>51.854150677077982</v>
      </c>
      <c r="H255">
        <v>70.40360295180507</v>
      </c>
      <c r="I255">
        <v>83.472535236271881</v>
      </c>
      <c r="J255">
        <v>1198.9691424846326</v>
      </c>
      <c r="K255">
        <v>0</v>
      </c>
      <c r="L255">
        <v>10.96103998052055</v>
      </c>
      <c r="M255">
        <v>900.70238147623672</v>
      </c>
    </row>
    <row r="256" spans="1:13" x14ac:dyDescent="0.3">
      <c r="A256">
        <v>802</v>
      </c>
      <c r="B256">
        <v>94.152877233305844</v>
      </c>
      <c r="C256">
        <v>107.93651917061415</v>
      </c>
      <c r="D256">
        <v>141.22931584995879</v>
      </c>
      <c r="E256">
        <v>157.76968617472872</v>
      </c>
      <c r="F256">
        <v>95.21315738232957</v>
      </c>
      <c r="G256">
        <v>56.618959957866352</v>
      </c>
      <c r="H256">
        <v>72.73521822302682</v>
      </c>
      <c r="I256">
        <v>80.581291325802297</v>
      </c>
      <c r="J256">
        <v>1195.5718960391405</v>
      </c>
      <c r="K256">
        <v>0</v>
      </c>
      <c r="L256">
        <v>11.663081639260861</v>
      </c>
      <c r="M256">
        <v>899.32962240191466</v>
      </c>
    </row>
    <row r="257" spans="1:13" x14ac:dyDescent="0.3">
      <c r="A257">
        <v>804</v>
      </c>
      <c r="B257">
        <v>94.876223017845788</v>
      </c>
      <c r="C257">
        <v>107.88172774613476</v>
      </c>
      <c r="D257">
        <v>143.2737570067244</v>
      </c>
      <c r="E257">
        <v>163.10182159247645</v>
      </c>
      <c r="F257">
        <v>95.302633008937207</v>
      </c>
      <c r="G257">
        <v>57.565348797344633</v>
      </c>
      <c r="H257">
        <v>74.83495343654802</v>
      </c>
      <c r="I257">
        <v>70.784058521179333</v>
      </c>
      <c r="J257">
        <v>1190.7499001228509</v>
      </c>
      <c r="K257">
        <v>0</v>
      </c>
      <c r="L257">
        <v>12.365889741651811</v>
      </c>
      <c r="M257">
        <v>897.59303124748476</v>
      </c>
    </row>
    <row r="258" spans="1:13" x14ac:dyDescent="0.3">
      <c r="A258">
        <v>806</v>
      </c>
      <c r="B258">
        <v>95.145117774966323</v>
      </c>
      <c r="C258">
        <v>108.00256612293475</v>
      </c>
      <c r="D258">
        <v>144.00342149724634</v>
      </c>
      <c r="E258">
        <v>168.00399174678736</v>
      </c>
      <c r="F258">
        <v>97.502316638760533</v>
      </c>
      <c r="G258">
        <v>61.072879652849998</v>
      </c>
      <c r="H258">
        <v>77.573271699409489</v>
      </c>
      <c r="I258">
        <v>61.287170458649477</v>
      </c>
      <c r="J258">
        <v>1186.7424825174853</v>
      </c>
      <c r="K258">
        <v>0</v>
      </c>
      <c r="L258">
        <v>13.286029959567369</v>
      </c>
      <c r="M258">
        <v>895.73556824180002</v>
      </c>
    </row>
    <row r="259" spans="1:13" x14ac:dyDescent="0.3">
      <c r="A259">
        <v>808</v>
      </c>
      <c r="B259">
        <v>96.442671995918658</v>
      </c>
      <c r="C259">
        <v>111.7271133167004</v>
      </c>
      <c r="D259">
        <v>145.74037710097528</v>
      </c>
      <c r="E259">
        <v>172.4343309569885</v>
      </c>
      <c r="F259">
        <v>99.241231674371662</v>
      </c>
      <c r="G259">
        <v>64.582146425838388</v>
      </c>
      <c r="H259">
        <v>79.866587746620141</v>
      </c>
      <c r="I259">
        <v>57.262836497576707</v>
      </c>
      <c r="J259">
        <v>1182.0685534142619</v>
      </c>
      <c r="K259">
        <v>0</v>
      </c>
      <c r="L259">
        <v>14.208072213684446</v>
      </c>
      <c r="M259">
        <v>893.17108506934494</v>
      </c>
    </row>
    <row r="260" spans="1:13" x14ac:dyDescent="0.3">
      <c r="A260">
        <v>810</v>
      </c>
      <c r="B260">
        <v>98.788821417220817</v>
      </c>
      <c r="C260">
        <v>113.70442027452549</v>
      </c>
      <c r="D260">
        <v>142.67094559160992</v>
      </c>
      <c r="E260">
        <v>176.17700099570015</v>
      </c>
      <c r="F260">
        <v>103.11218340484537</v>
      </c>
      <c r="G260">
        <v>68.741455603230236</v>
      </c>
      <c r="H260">
        <v>83.008550162391231</v>
      </c>
      <c r="I260">
        <v>56.636042037881523</v>
      </c>
      <c r="J260">
        <v>1176.819133031401</v>
      </c>
      <c r="K260">
        <v>0</v>
      </c>
      <c r="L260">
        <v>15.347935056067129</v>
      </c>
      <c r="M260">
        <v>889.96406515251238</v>
      </c>
    </row>
    <row r="261" spans="1:13" x14ac:dyDescent="0.3">
      <c r="A261">
        <v>812</v>
      </c>
      <c r="B261">
        <v>98.924729757577154</v>
      </c>
      <c r="C261">
        <v>117.14770629186766</v>
      </c>
      <c r="D261">
        <v>139.70948676289404</v>
      </c>
      <c r="E261">
        <v>178.10790160300621</v>
      </c>
      <c r="F261">
        <v>106.73457684370166</v>
      </c>
      <c r="G261">
        <v>70.288623775120598</v>
      </c>
      <c r="H261">
        <v>84.606676766348869</v>
      </c>
      <c r="I261">
        <v>57.489152161749878</v>
      </c>
      <c r="J261">
        <v>1170.6093021313295</v>
      </c>
      <c r="K261">
        <v>0</v>
      </c>
      <c r="L261">
        <v>16.487454959596192</v>
      </c>
      <c r="M261">
        <v>886.85152466880572</v>
      </c>
    </row>
    <row r="262" spans="1:13" x14ac:dyDescent="0.3">
      <c r="A262">
        <v>814</v>
      </c>
      <c r="B262">
        <v>100.0788972322063</v>
      </c>
      <c r="C262">
        <v>119.65955103850752</v>
      </c>
      <c r="D262">
        <v>135.75919972368854</v>
      </c>
      <c r="E262">
        <v>177.9663868172712</v>
      </c>
      <c r="F262">
        <v>108.78141003500684</v>
      </c>
      <c r="G262">
        <v>74.406484463944679</v>
      </c>
      <c r="H262">
        <v>85.93731392765541</v>
      </c>
      <c r="I262">
        <v>59.61221269918375</v>
      </c>
      <c r="J262">
        <v>1164.6137758347832</v>
      </c>
      <c r="K262">
        <v>0</v>
      </c>
      <c r="L262">
        <v>17.840151245741122</v>
      </c>
      <c r="M262">
        <v>883.08748666418546</v>
      </c>
    </row>
    <row r="263" spans="1:13" x14ac:dyDescent="0.3">
      <c r="A263">
        <v>816</v>
      </c>
      <c r="B263">
        <v>100.0768289709487</v>
      </c>
      <c r="C263">
        <v>122.09809199069993</v>
      </c>
      <c r="D263">
        <v>130.81938427574991</v>
      </c>
      <c r="E263">
        <v>172.02749032261116</v>
      </c>
      <c r="F263">
        <v>113.37679970564993</v>
      </c>
      <c r="G263">
        <v>75.875242879934945</v>
      </c>
      <c r="H263">
        <v>86.558825929121198</v>
      </c>
      <c r="I263">
        <v>61.049045995349964</v>
      </c>
      <c r="J263">
        <v>1158.6236800688916</v>
      </c>
      <c r="K263">
        <v>0</v>
      </c>
      <c r="L263">
        <v>19.186843027109987</v>
      </c>
      <c r="M263">
        <v>878.88823002591323</v>
      </c>
    </row>
    <row r="264" spans="1:13" x14ac:dyDescent="0.3">
      <c r="A264">
        <v>818</v>
      </c>
      <c r="B264">
        <v>98.244376545127068</v>
      </c>
      <c r="C264">
        <v>123.7879144468601</v>
      </c>
      <c r="D264">
        <v>127.06272699836433</v>
      </c>
      <c r="E264">
        <v>163.52230673844483</v>
      </c>
      <c r="F264">
        <v>113.96347679234739</v>
      </c>
      <c r="G264">
        <v>81.215351277305047</v>
      </c>
      <c r="H264">
        <v>86.673372196478766</v>
      </c>
      <c r="I264">
        <v>62.439759315347423</v>
      </c>
      <c r="J264">
        <v>1151.6424139456562</v>
      </c>
      <c r="K264">
        <v>0</v>
      </c>
      <c r="L264">
        <v>20.740479492860157</v>
      </c>
      <c r="M264">
        <v>875.02991376193165</v>
      </c>
    </row>
    <row r="265" spans="1:13" x14ac:dyDescent="0.3">
      <c r="A265">
        <v>820</v>
      </c>
      <c r="B265">
        <v>98.25950994820991</v>
      </c>
      <c r="C265">
        <v>127.95571739922445</v>
      </c>
      <c r="D265">
        <v>126.645590599915</v>
      </c>
      <c r="E265">
        <v>152.62977211955274</v>
      </c>
      <c r="F265">
        <v>116.819639605094</v>
      </c>
      <c r="G265">
        <v>83.193051756151064</v>
      </c>
      <c r="H265">
        <v>86.031659821321568</v>
      </c>
      <c r="I265">
        <v>62.667731900302762</v>
      </c>
      <c r="J265">
        <v>1144.3957591968181</v>
      </c>
      <c r="K265">
        <v>0</v>
      </c>
      <c r="L265">
        <v>22.708864521364067</v>
      </c>
      <c r="M265">
        <v>871.01596707424301</v>
      </c>
    </row>
    <row r="266" spans="1:13" x14ac:dyDescent="0.3">
      <c r="A266">
        <v>822</v>
      </c>
      <c r="B266">
        <v>100.39945283037204</v>
      </c>
      <c r="C266">
        <v>129.86450963928556</v>
      </c>
      <c r="D266">
        <v>128.99147091902145</v>
      </c>
      <c r="E266">
        <v>144.05138884357726</v>
      </c>
      <c r="F266">
        <v>118.95152563598425</v>
      </c>
      <c r="G266">
        <v>87.740391386542512</v>
      </c>
      <c r="H266">
        <v>87.085612346344448</v>
      </c>
      <c r="I266">
        <v>64.168345939411694</v>
      </c>
      <c r="J266">
        <v>1139.0972702645906</v>
      </c>
      <c r="K266">
        <v>0</v>
      </c>
      <c r="L266">
        <v>24.445084167394928</v>
      </c>
      <c r="M266">
        <v>867.36396858238788</v>
      </c>
    </row>
    <row r="267" spans="1:13" x14ac:dyDescent="0.3">
      <c r="A267">
        <v>824</v>
      </c>
      <c r="B267">
        <v>101.55400670177099</v>
      </c>
      <c r="C267">
        <v>134.67891875900102</v>
      </c>
      <c r="D267">
        <v>133.15342938794436</v>
      </c>
      <c r="E267">
        <v>137.51197044810621</v>
      </c>
      <c r="F267">
        <v>119.20609799542646</v>
      </c>
      <c r="G267">
        <v>90.221799945350185</v>
      </c>
      <c r="H267">
        <v>86.734967097220718</v>
      </c>
      <c r="I267">
        <v>64.724334743403404</v>
      </c>
      <c r="J267">
        <v>1133.4386026950879</v>
      </c>
      <c r="K267">
        <v>0</v>
      </c>
      <c r="L267">
        <v>26.587100466987255</v>
      </c>
      <c r="M267">
        <v>863.6449110710696</v>
      </c>
    </row>
    <row r="268" spans="1:13" x14ac:dyDescent="0.3">
      <c r="A268">
        <v>826</v>
      </c>
      <c r="B268">
        <v>102.38288404066721</v>
      </c>
      <c r="C268">
        <v>138.90161974944021</v>
      </c>
      <c r="D268">
        <v>136.07576520054707</v>
      </c>
      <c r="E268">
        <v>133.032537224816</v>
      </c>
      <c r="F268">
        <v>123.46810644394687</v>
      </c>
      <c r="G268">
        <v>96.513801516042975</v>
      </c>
      <c r="H268">
        <v>87.601491015687657</v>
      </c>
      <c r="I268">
        <v>66.298895185570061</v>
      </c>
      <c r="J268">
        <v>1127.7333384352048</v>
      </c>
      <c r="K268">
        <v>0</v>
      </c>
      <c r="L268">
        <v>28.910665769445306</v>
      </c>
      <c r="M268">
        <v>859.92927657086932</v>
      </c>
    </row>
    <row r="269" spans="1:13" x14ac:dyDescent="0.3">
      <c r="A269">
        <v>828</v>
      </c>
      <c r="B269">
        <v>104.84572707533067</v>
      </c>
      <c r="C269">
        <v>144.05456302705556</v>
      </c>
      <c r="D269">
        <v>139.07222475694687</v>
      </c>
      <c r="E269">
        <v>130.62391203806692</v>
      </c>
      <c r="F269">
        <v>124.77508015576544</v>
      </c>
      <c r="G269">
        <v>97.48053137169174</v>
      </c>
      <c r="H269">
        <v>87.949101637570777</v>
      </c>
      <c r="I269">
        <v>68.019748557136012</v>
      </c>
      <c r="J269">
        <v>1121.8926043866479</v>
      </c>
      <c r="K269">
        <v>0</v>
      </c>
      <c r="L269">
        <v>31.193770038941359</v>
      </c>
      <c r="M269">
        <v>856.3123122495499</v>
      </c>
    </row>
    <row r="270" spans="1:13" x14ac:dyDescent="0.3">
      <c r="A270">
        <v>830</v>
      </c>
      <c r="B270">
        <v>105.24135191531197</v>
      </c>
      <c r="C270">
        <v>148.37305351994803</v>
      </c>
      <c r="D270">
        <v>141.68763977122944</v>
      </c>
      <c r="E270">
        <v>128.53247078181545</v>
      </c>
      <c r="F270">
        <v>126.16022719356047</v>
      </c>
      <c r="G270">
        <v>102.22213280298745</v>
      </c>
      <c r="H270">
        <v>88.85130530555027</v>
      </c>
      <c r="I270">
        <v>69.442039583464052</v>
      </c>
      <c r="J270">
        <v>1115.3858034958885</v>
      </c>
      <c r="K270">
        <v>0</v>
      </c>
      <c r="L270">
        <v>33.642727251616122</v>
      </c>
      <c r="M270">
        <v>852.28242370760847</v>
      </c>
    </row>
    <row r="271" spans="1:13" x14ac:dyDescent="0.3">
      <c r="A271">
        <v>832</v>
      </c>
      <c r="B271">
        <v>107.44557096399893</v>
      </c>
      <c r="C271">
        <v>154.1983343774755</v>
      </c>
      <c r="D271">
        <v>145.40538346026202</v>
      </c>
      <c r="E271">
        <v>128.46286827831409</v>
      </c>
      <c r="F271">
        <v>129.96410380076517</v>
      </c>
      <c r="G271">
        <v>104.87202435408278</v>
      </c>
      <c r="H271">
        <v>90.074131347064977</v>
      </c>
      <c r="I271">
        <v>70.77253177269391</v>
      </c>
      <c r="J271">
        <v>1109.6275133088432</v>
      </c>
      <c r="K271">
        <v>0</v>
      </c>
      <c r="L271">
        <v>36.673039191305023</v>
      </c>
      <c r="M271">
        <v>848.19807018486188</v>
      </c>
    </row>
    <row r="272" spans="1:13" x14ac:dyDescent="0.3">
      <c r="A272">
        <v>834</v>
      </c>
      <c r="B272">
        <v>108.03738038521692</v>
      </c>
      <c r="C272">
        <v>155.98296339640785</v>
      </c>
      <c r="D272">
        <v>148.73785307471678</v>
      </c>
      <c r="E272">
        <v>127.42870506974302</v>
      </c>
      <c r="F272">
        <v>130.19889431038962</v>
      </c>
      <c r="G272">
        <v>106.75883150491849</v>
      </c>
      <c r="H272">
        <v>90.350787541088692</v>
      </c>
      <c r="I272">
        <v>71.172554336612322</v>
      </c>
      <c r="J272">
        <v>1103.8138666576401</v>
      </c>
      <c r="K272">
        <v>0</v>
      </c>
      <c r="L272">
        <v>39.635015289251172</v>
      </c>
      <c r="M272">
        <v>843.62916951691079</v>
      </c>
    </row>
    <row r="273" spans="1:13" x14ac:dyDescent="0.3">
      <c r="A273">
        <v>836</v>
      </c>
      <c r="B273">
        <v>107.20828932686376</v>
      </c>
      <c r="C273">
        <v>160.28379351038015</v>
      </c>
      <c r="D273">
        <v>150.5568086799349</v>
      </c>
      <c r="E273">
        <v>125.60497802792324</v>
      </c>
      <c r="F273">
        <v>130.46847044314583</v>
      </c>
      <c r="G273">
        <v>108.47702647866097</v>
      </c>
      <c r="H273">
        <v>90.0803377776015</v>
      </c>
      <c r="I273">
        <v>71.26073669260964</v>
      </c>
      <c r="J273">
        <v>1096.4003553447508</v>
      </c>
      <c r="K273">
        <v>0</v>
      </c>
      <c r="L273">
        <v>42.925606969138741</v>
      </c>
      <c r="M273">
        <v>839.05816972188438</v>
      </c>
    </row>
    <row r="274" spans="1:13" x14ac:dyDescent="0.3">
      <c r="A274">
        <v>838</v>
      </c>
      <c r="B274">
        <v>107.77054349718998</v>
      </c>
      <c r="C274">
        <v>161.44614492769705</v>
      </c>
      <c r="D274">
        <v>151.17229934138905</v>
      </c>
      <c r="E274">
        <v>122.44746576334425</v>
      </c>
      <c r="F274">
        <v>129.15691594215764</v>
      </c>
      <c r="G274">
        <v>109.44790604189332</v>
      </c>
      <c r="H274">
        <v>87.85186327883774</v>
      </c>
      <c r="I274">
        <v>68.771864332837183</v>
      </c>
      <c r="J274">
        <v>1089.6566431029112</v>
      </c>
      <c r="K274">
        <v>0</v>
      </c>
      <c r="L274">
        <v>46.337140297429926</v>
      </c>
      <c r="M274">
        <v>834.06852535373878</v>
      </c>
    </row>
    <row r="275" spans="1:13" x14ac:dyDescent="0.3">
      <c r="A275">
        <v>840</v>
      </c>
      <c r="B275">
        <v>105.05768155621713</v>
      </c>
      <c r="C275">
        <v>159.0398894704789</v>
      </c>
      <c r="D275">
        <v>150.11206277696638</v>
      </c>
      <c r="E275">
        <v>118.76085741137588</v>
      </c>
      <c r="F275">
        <v>127.06581247510846</v>
      </c>
      <c r="G275">
        <v>110.87115010082992</v>
      </c>
      <c r="H275">
        <v>82.426679007545843</v>
      </c>
      <c r="I275">
        <v>65.816768880080687</v>
      </c>
      <c r="J275">
        <v>1081.9280209277617</v>
      </c>
      <c r="K275">
        <v>0</v>
      </c>
      <c r="L275">
        <v>50.244978135582109</v>
      </c>
      <c r="M275">
        <v>828.62689148391803</v>
      </c>
    </row>
    <row r="276" spans="1:13" x14ac:dyDescent="0.3">
      <c r="A276">
        <v>842</v>
      </c>
      <c r="B276">
        <v>103.51225180742817</v>
      </c>
      <c r="C276">
        <v>156.08990351913772</v>
      </c>
      <c r="D276">
        <v>148.28540834318082</v>
      </c>
      <c r="E276">
        <v>115.62975747536122</v>
      </c>
      <c r="F276">
        <v>123.02348974732038</v>
      </c>
      <c r="G276">
        <v>112.7544171473771</v>
      </c>
      <c r="H276">
        <v>72.499652555599482</v>
      </c>
      <c r="I276">
        <v>59.560621079670966</v>
      </c>
      <c r="J276">
        <v>1073.5288495980694</v>
      </c>
      <c r="K276">
        <v>0</v>
      </c>
      <c r="L276">
        <v>54.220703327700463</v>
      </c>
      <c r="M276">
        <v>823.1688596114526</v>
      </c>
    </row>
    <row r="277" spans="1:13" x14ac:dyDescent="0.3">
      <c r="A277">
        <v>844</v>
      </c>
      <c r="B277">
        <v>100.66675052600885</v>
      </c>
      <c r="C277">
        <v>151.40604010565039</v>
      </c>
      <c r="D277">
        <v>146.5350683060048</v>
      </c>
      <c r="E277">
        <v>112.4382657084857</v>
      </c>
      <c r="F277">
        <v>119.5417662496355</v>
      </c>
      <c r="G277">
        <v>113.85896581671567</v>
      </c>
      <c r="H277">
        <v>60.075318862295603</v>
      </c>
      <c r="I277">
        <v>52.971818321145783</v>
      </c>
      <c r="J277">
        <v>1065.5250811724727</v>
      </c>
      <c r="K277">
        <v>0</v>
      </c>
      <c r="L277">
        <v>58.451661595747076</v>
      </c>
      <c r="M277">
        <v>817.30847654886622</v>
      </c>
    </row>
    <row r="278" spans="1:13" x14ac:dyDescent="0.3">
      <c r="A278">
        <v>846</v>
      </c>
      <c r="B278">
        <v>99.815711629103589</v>
      </c>
      <c r="C278">
        <v>146.71707010542937</v>
      </c>
      <c r="D278">
        <v>144.71273854661203</v>
      </c>
      <c r="E278">
        <v>112.44300044965284</v>
      </c>
      <c r="F278">
        <v>116.85252987905099</v>
      </c>
      <c r="G278">
        <v>117.85469565845965</v>
      </c>
      <c r="H278">
        <v>49.506989502788322</v>
      </c>
      <c r="I278">
        <v>48.103957411616186</v>
      </c>
      <c r="J278">
        <v>1057.685763587911</v>
      </c>
      <c r="K278">
        <v>0</v>
      </c>
      <c r="L278">
        <v>63.136444102746246</v>
      </c>
      <c r="M278">
        <v>811.95471447690488</v>
      </c>
    </row>
    <row r="279" spans="1:13" x14ac:dyDescent="0.3">
      <c r="A279">
        <v>848</v>
      </c>
      <c r="B279">
        <v>99.658544558892189</v>
      </c>
      <c r="C279">
        <v>144.74217185934342</v>
      </c>
      <c r="D279">
        <v>145.33537748171779</v>
      </c>
      <c r="E279">
        <v>114.29094991079303</v>
      </c>
      <c r="F279">
        <v>115.0818907406255</v>
      </c>
      <c r="G279">
        <v>118.64112447487166</v>
      </c>
      <c r="H279">
        <v>42.513069603495673</v>
      </c>
      <c r="I279">
        <v>44.885892092993103</v>
      </c>
      <c r="J279">
        <v>1049.1830107727817</v>
      </c>
      <c r="K279">
        <v>0</v>
      </c>
      <c r="L279">
        <v>68.020911365593079</v>
      </c>
      <c r="M279">
        <v>806.36417601421101</v>
      </c>
    </row>
    <row r="280" spans="1:13" x14ac:dyDescent="0.3">
      <c r="A280">
        <v>850</v>
      </c>
      <c r="B280">
        <v>100.24393243737643</v>
      </c>
      <c r="C280">
        <v>143.93000416105798</v>
      </c>
      <c r="D280">
        <v>144.32005837287659</v>
      </c>
      <c r="E280">
        <v>114.2858840628455</v>
      </c>
      <c r="F280">
        <v>114.2858840628455</v>
      </c>
      <c r="G280">
        <v>122.28199540512649</v>
      </c>
      <c r="H280">
        <v>38.61536697003995</v>
      </c>
      <c r="I280">
        <v>43.100990405953674</v>
      </c>
      <c r="J280">
        <v>1041.8347997674414</v>
      </c>
      <c r="K280">
        <v>0</v>
      </c>
      <c r="L280">
        <v>72.940137610075453</v>
      </c>
      <c r="M280">
        <v>800.78129686355567</v>
      </c>
    </row>
    <row r="281" spans="1:13" x14ac:dyDescent="0.3">
      <c r="A281">
        <v>852</v>
      </c>
      <c r="B281">
        <v>100.27153570644245</v>
      </c>
      <c r="C281">
        <v>141.76320565393587</v>
      </c>
      <c r="D281">
        <v>143.10784310593797</v>
      </c>
      <c r="E281">
        <v>115.06254767846558</v>
      </c>
      <c r="F281">
        <v>115.83091193675249</v>
      </c>
      <c r="G281">
        <v>122.74619026133472</v>
      </c>
      <c r="H281">
        <v>36.881484397771935</v>
      </c>
      <c r="I281">
        <v>42.644216334923797</v>
      </c>
      <c r="J281">
        <v>1034.6024737833316</v>
      </c>
      <c r="K281">
        <v>0.19209106457172881</v>
      </c>
      <c r="L281">
        <v>78.373154345265363</v>
      </c>
      <c r="M281">
        <v>795.25700732695725</v>
      </c>
    </row>
    <row r="282" spans="1:13" x14ac:dyDescent="0.3">
      <c r="A282">
        <v>854</v>
      </c>
      <c r="B282">
        <v>100.3277049812573</v>
      </c>
      <c r="C282">
        <v>140.57215161215711</v>
      </c>
      <c r="D282">
        <v>139.81638735617776</v>
      </c>
      <c r="E282">
        <v>115.25404903684924</v>
      </c>
      <c r="F282">
        <v>115.44299010084409</v>
      </c>
      <c r="G282">
        <v>123.00063266063746</v>
      </c>
      <c r="H282">
        <v>35.898802159018615</v>
      </c>
      <c r="I282">
        <v>41.755975142858496</v>
      </c>
      <c r="J282">
        <v>1026.5168006839376</v>
      </c>
      <c r="K282">
        <v>0.37788212798966969</v>
      </c>
      <c r="L282">
        <v>84.456655605691168</v>
      </c>
      <c r="M282">
        <v>789.77364749840967</v>
      </c>
    </row>
    <row r="283" spans="1:13" x14ac:dyDescent="0.3">
      <c r="A283">
        <v>856</v>
      </c>
      <c r="B283">
        <v>100.65822709103679</v>
      </c>
      <c r="C283">
        <v>139.47293089551408</v>
      </c>
      <c r="D283">
        <v>136.13003774488925</v>
      </c>
      <c r="E283">
        <v>113.84408340739031</v>
      </c>
      <c r="F283">
        <v>115.32981369655691</v>
      </c>
      <c r="G283">
        <v>119.78700456405669</v>
      </c>
      <c r="H283">
        <v>35.65752693999827</v>
      </c>
      <c r="I283">
        <v>42.157596955102122</v>
      </c>
      <c r="J283">
        <v>1019.0252620821381</v>
      </c>
      <c r="K283">
        <v>0.37143257229164867</v>
      </c>
      <c r="L283">
        <v>90.443831353016463</v>
      </c>
      <c r="M283">
        <v>783.90844382152454</v>
      </c>
    </row>
    <row r="284" spans="1:13" x14ac:dyDescent="0.3">
      <c r="A284">
        <v>858</v>
      </c>
      <c r="B284">
        <v>99.473266447305889</v>
      </c>
      <c r="C284">
        <v>138.53249400643151</v>
      </c>
      <c r="D284">
        <v>129.58902601392143</v>
      </c>
      <c r="E284">
        <v>111.15453076405373</v>
      </c>
      <c r="F284">
        <v>116.99516292242767</v>
      </c>
      <c r="G284">
        <v>116.08256414768174</v>
      </c>
      <c r="H284">
        <v>35.226312705192726</v>
      </c>
      <c r="I284">
        <v>42.527102903160134</v>
      </c>
      <c r="J284">
        <v>1011.1594424184856</v>
      </c>
      <c r="K284">
        <v>0.91259877474592555</v>
      </c>
      <c r="L284">
        <v>96.917989878017295</v>
      </c>
      <c r="M284">
        <v>778.26423510332529</v>
      </c>
    </row>
    <row r="285" spans="1:13" x14ac:dyDescent="0.3">
      <c r="A285">
        <v>860</v>
      </c>
      <c r="B285">
        <v>97.458969110857538</v>
      </c>
      <c r="C285">
        <v>135.79760769490812</v>
      </c>
      <c r="D285">
        <v>117.34489846987444</v>
      </c>
      <c r="E285">
        <v>108.38727263247945</v>
      </c>
      <c r="F285">
        <v>117.88235602011814</v>
      </c>
      <c r="G285">
        <v>113.40354310142064</v>
      </c>
      <c r="H285">
        <v>35.113893282588386</v>
      </c>
      <c r="I285">
        <v>41.921688919008574</v>
      </c>
      <c r="J285">
        <v>1003.0749412714916</v>
      </c>
      <c r="K285">
        <v>1.2540676172352994</v>
      </c>
      <c r="L285">
        <v>103.55015468028616</v>
      </c>
      <c r="M285">
        <v>771.78904214995271</v>
      </c>
    </row>
    <row r="286" spans="1:13" x14ac:dyDescent="0.3">
      <c r="A286">
        <v>862</v>
      </c>
      <c r="B286">
        <v>91.458756480321171</v>
      </c>
      <c r="C286">
        <v>129.09755241645334</v>
      </c>
      <c r="D286">
        <v>103.94639438436502</v>
      </c>
      <c r="E286">
        <v>103.24286548836254</v>
      </c>
      <c r="F286">
        <v>117.84109008041381</v>
      </c>
      <c r="G286">
        <v>112.91638780839651</v>
      </c>
      <c r="H286">
        <v>35.000562576122903</v>
      </c>
      <c r="I286">
        <v>42.387615984148844</v>
      </c>
      <c r="J286">
        <v>994.61397672349267</v>
      </c>
      <c r="K286">
        <v>1.407057792004941</v>
      </c>
      <c r="L286">
        <v>110.45403667238786</v>
      </c>
      <c r="M286">
        <v>765.26355662668732</v>
      </c>
    </row>
    <row r="287" spans="1:13" x14ac:dyDescent="0.3">
      <c r="A287">
        <v>864</v>
      </c>
      <c r="B287">
        <v>85.725584829925211</v>
      </c>
      <c r="C287">
        <v>121.08523249619215</v>
      </c>
      <c r="D287">
        <v>89.865250898171098</v>
      </c>
      <c r="E287">
        <v>98.317069120839776</v>
      </c>
      <c r="F287">
        <v>116.94556642794626</v>
      </c>
      <c r="G287">
        <v>113.84081687676185</v>
      </c>
      <c r="H287">
        <v>34.8421894077362</v>
      </c>
      <c r="I287">
        <v>41.224174596281941</v>
      </c>
      <c r="J287">
        <v>985.75798250105152</v>
      </c>
      <c r="K287">
        <v>1.8973469479460308</v>
      </c>
      <c r="L287">
        <v>117.80799685883082</v>
      </c>
      <c r="M287">
        <v>758.59380700605846</v>
      </c>
    </row>
    <row r="288" spans="1:13" x14ac:dyDescent="0.3">
      <c r="A288">
        <v>866</v>
      </c>
      <c r="B288">
        <v>79.806835502879522</v>
      </c>
      <c r="C288">
        <v>109.90348109506714</v>
      </c>
      <c r="D288">
        <v>82.343069681996454</v>
      </c>
      <c r="E288">
        <v>97.898639313913662</v>
      </c>
      <c r="F288">
        <v>116.32860768216337</v>
      </c>
      <c r="G288">
        <v>116.66677223937896</v>
      </c>
      <c r="H288">
        <v>34.492784835990307</v>
      </c>
      <c r="I288">
        <v>39.227088637008578</v>
      </c>
      <c r="J288">
        <v>976.28107668141183</v>
      </c>
      <c r="K288">
        <v>2.3671519005091382</v>
      </c>
      <c r="L288">
        <v>125.45905072698434</v>
      </c>
      <c r="M288">
        <v>751.73981069025933</v>
      </c>
    </row>
    <row r="289" spans="1:13" x14ac:dyDescent="0.3">
      <c r="A289">
        <v>868</v>
      </c>
      <c r="B289">
        <v>76.932361935926451</v>
      </c>
      <c r="C289">
        <v>101.6369350575925</v>
      </c>
      <c r="D289">
        <v>78.921991985993515</v>
      </c>
      <c r="E289">
        <v>96.331254924080326</v>
      </c>
      <c r="F289">
        <v>111.91669031627232</v>
      </c>
      <c r="G289">
        <v>118.38298797899027</v>
      </c>
      <c r="H289">
        <v>33.823710851140078</v>
      </c>
      <c r="I289">
        <v>36.973958430412928</v>
      </c>
      <c r="J289">
        <v>966.46279682007594</v>
      </c>
      <c r="K289">
        <v>2.321235058411574</v>
      </c>
      <c r="L289">
        <v>133.13941085032098</v>
      </c>
      <c r="M289">
        <v>745.11645375011517</v>
      </c>
    </row>
    <row r="290" spans="1:13" x14ac:dyDescent="0.3">
      <c r="A290">
        <v>870</v>
      </c>
      <c r="B290">
        <v>75.571337280267116</v>
      </c>
      <c r="C290">
        <v>97.186364932472557</v>
      </c>
      <c r="D290">
        <v>76.871489319497513</v>
      </c>
      <c r="E290">
        <v>96.698807917761144</v>
      </c>
      <c r="F290">
        <v>108.72521428064238</v>
      </c>
      <c r="G290">
        <v>121.40169666313878</v>
      </c>
      <c r="H290">
        <v>33.803953019990452</v>
      </c>
      <c r="I290">
        <v>35.266624064124656</v>
      </c>
      <c r="J290">
        <v>955.28671082453786</v>
      </c>
      <c r="K290">
        <v>3.412899102979805</v>
      </c>
      <c r="L290">
        <v>141.22901526140242</v>
      </c>
      <c r="M290">
        <v>737.83628226325311</v>
      </c>
    </row>
    <row r="291" spans="1:13" x14ac:dyDescent="0.3">
      <c r="A291">
        <v>872</v>
      </c>
      <c r="B291">
        <v>74.66154390081185</v>
      </c>
      <c r="C291">
        <v>94.401483013180027</v>
      </c>
      <c r="D291">
        <v>75.775895302316499</v>
      </c>
      <c r="E291">
        <v>96.789378873547136</v>
      </c>
      <c r="F291">
        <v>104.58983868407971</v>
      </c>
      <c r="G291">
        <v>124.64816391116349</v>
      </c>
      <c r="H291">
        <v>32.952962873066213</v>
      </c>
      <c r="I291">
        <v>34.544893446644288</v>
      </c>
      <c r="J291">
        <v>944.96998847594705</v>
      </c>
      <c r="K291">
        <v>3.024668089798348</v>
      </c>
      <c r="L291">
        <v>149.48228085898151</v>
      </c>
      <c r="M291">
        <v>730.21855410026433</v>
      </c>
    </row>
    <row r="292" spans="1:13" x14ac:dyDescent="0.3">
      <c r="A292">
        <v>874</v>
      </c>
      <c r="B292">
        <v>74.101841412521324</v>
      </c>
      <c r="C292">
        <v>92.354294981500274</v>
      </c>
      <c r="D292">
        <v>75.505876302442786</v>
      </c>
      <c r="E292">
        <v>97.034411281238476</v>
      </c>
      <c r="F292">
        <v>101.0905120743449</v>
      </c>
      <c r="G292">
        <v>127.29916335287875</v>
      </c>
      <c r="H292">
        <v>33.072821851483205</v>
      </c>
      <c r="I292">
        <v>34.164848988088785</v>
      </c>
      <c r="J292">
        <v>934.46322118105843</v>
      </c>
      <c r="K292">
        <v>3.5880891631326119</v>
      </c>
      <c r="L292">
        <v>157.87592317783492</v>
      </c>
      <c r="M292">
        <v>722.76596055623429</v>
      </c>
    </row>
    <row r="293" spans="1:13" x14ac:dyDescent="0.3">
      <c r="A293">
        <v>876</v>
      </c>
      <c r="B293">
        <v>73.0520561785426</v>
      </c>
      <c r="C293">
        <v>90.168855952594413</v>
      </c>
      <c r="D293">
        <v>74.580341872654358</v>
      </c>
      <c r="E293">
        <v>98.268770131386802</v>
      </c>
      <c r="F293">
        <v>98.574427270209156</v>
      </c>
      <c r="G293">
        <v>127.45902688892158</v>
      </c>
      <c r="H293">
        <v>33.316628131636584</v>
      </c>
      <c r="I293">
        <v>33.622285270458931</v>
      </c>
      <c r="J293">
        <v>923.84870209056487</v>
      </c>
      <c r="K293">
        <v>4.2791999435129551</v>
      </c>
      <c r="L293">
        <v>166.73596922759407</v>
      </c>
      <c r="M293">
        <v>714.93204770548596</v>
      </c>
    </row>
    <row r="294" spans="1:13" x14ac:dyDescent="0.3">
      <c r="A294">
        <v>878</v>
      </c>
      <c r="B294">
        <v>71.732144304936043</v>
      </c>
      <c r="C294">
        <v>87.755817458648252</v>
      </c>
      <c r="D294">
        <v>74.277961534965073</v>
      </c>
      <c r="E294">
        <v>96.591300786396104</v>
      </c>
      <c r="F294">
        <v>96.591300786396104</v>
      </c>
      <c r="G294">
        <v>126.24258381849911</v>
      </c>
      <c r="H294">
        <v>33.844393763915541</v>
      </c>
      <c r="I294">
        <v>33.09562399037759</v>
      </c>
      <c r="J294">
        <v>914.09813953513481</v>
      </c>
      <c r="K294">
        <v>4.7921265506429087</v>
      </c>
      <c r="L294">
        <v>175.96089678141931</v>
      </c>
      <c r="M294">
        <v>707.13817412924425</v>
      </c>
    </row>
    <row r="295" spans="1:13" x14ac:dyDescent="0.3">
      <c r="A295">
        <v>880</v>
      </c>
      <c r="B295">
        <v>70.604063105983769</v>
      </c>
      <c r="C295">
        <v>85.869806480250531</v>
      </c>
      <c r="D295">
        <v>73.68656897963379</v>
      </c>
      <c r="E295">
        <v>96.291612053067269</v>
      </c>
      <c r="F295">
        <v>95.264110095183923</v>
      </c>
      <c r="G295">
        <v>124.18095090990077</v>
      </c>
      <c r="H295">
        <v>34.494708586083547</v>
      </c>
      <c r="I295">
        <v>32.880062652266872</v>
      </c>
      <c r="J295">
        <v>903.76136495538901</v>
      </c>
      <c r="K295">
        <v>5.1375097894166988</v>
      </c>
      <c r="L295">
        <v>185.09713841298446</v>
      </c>
      <c r="M295">
        <v>700.02240530652102</v>
      </c>
    </row>
    <row r="296" spans="1:13" x14ac:dyDescent="0.3">
      <c r="A296">
        <v>882</v>
      </c>
      <c r="B296">
        <v>67.439333986265481</v>
      </c>
      <c r="C296">
        <v>82.681486230496063</v>
      </c>
      <c r="D296">
        <v>71.896944548257437</v>
      </c>
      <c r="E296">
        <v>92.890852356348631</v>
      </c>
      <c r="F296">
        <v>92.890852356348631</v>
      </c>
      <c r="G296">
        <v>119.49272183920387</v>
      </c>
      <c r="H296">
        <v>34.941915050453119</v>
      </c>
      <c r="I296">
        <v>31.778449490329788</v>
      </c>
      <c r="J296">
        <v>893.10384517845398</v>
      </c>
      <c r="K296">
        <v>5.4641677856675663</v>
      </c>
      <c r="L296">
        <v>195.12830750397072</v>
      </c>
      <c r="M296">
        <v>692.36757599971929</v>
      </c>
    </row>
    <row r="297" spans="1:13" x14ac:dyDescent="0.3">
      <c r="A297">
        <v>884</v>
      </c>
      <c r="B297">
        <v>64.67958444966672</v>
      </c>
      <c r="C297">
        <v>79.475567820505518</v>
      </c>
      <c r="D297">
        <v>70.175235415978264</v>
      </c>
      <c r="E297">
        <v>90.46686975312862</v>
      </c>
      <c r="F297">
        <v>88.353157843008788</v>
      </c>
      <c r="G297">
        <v>117.5223822026624</v>
      </c>
      <c r="H297">
        <v>34.66487532596517</v>
      </c>
      <c r="I297">
        <v>30.437451505725519</v>
      </c>
      <c r="J297">
        <v>883.10883604806384</v>
      </c>
      <c r="K297">
        <v>5.9183933483355169</v>
      </c>
      <c r="L297">
        <v>205.03005528162328</v>
      </c>
      <c r="M297">
        <v>684.98357300616544</v>
      </c>
    </row>
    <row r="298" spans="1:13" x14ac:dyDescent="0.3">
      <c r="A298">
        <v>886</v>
      </c>
      <c r="B298">
        <v>64.070326304998105</v>
      </c>
      <c r="C298">
        <v>76.359677686775768</v>
      </c>
      <c r="D298">
        <v>69.041299897627283</v>
      </c>
      <c r="E298">
        <v>86.992037871010368</v>
      </c>
      <c r="F298">
        <v>81.330651279404933</v>
      </c>
      <c r="G298">
        <v>113.50389703169922</v>
      </c>
      <c r="H298">
        <v>34.382567349018387</v>
      </c>
      <c r="I298">
        <v>28.721180757412942</v>
      </c>
      <c r="J298">
        <v>872.95819590559927</v>
      </c>
      <c r="K298">
        <v>5.7994691914006902</v>
      </c>
      <c r="L298">
        <v>214.02802968264456</v>
      </c>
      <c r="M298">
        <v>677.4332345955188</v>
      </c>
    </row>
    <row r="299" spans="1:13" x14ac:dyDescent="0.3">
      <c r="A299">
        <v>888</v>
      </c>
      <c r="B299">
        <v>63.819585672183599</v>
      </c>
      <c r="C299">
        <v>74.771675586265943</v>
      </c>
      <c r="D299">
        <v>69.633658095708796</v>
      </c>
      <c r="E299">
        <v>85.723765500348307</v>
      </c>
      <c r="F299">
        <v>72.608299800768194</v>
      </c>
      <c r="G299">
        <v>112.36032985928934</v>
      </c>
      <c r="H299">
        <v>33.802746648402334</v>
      </c>
      <c r="I299">
        <v>27.042197318721861</v>
      </c>
      <c r="J299">
        <v>862.6460944672275</v>
      </c>
      <c r="K299">
        <v>6.625338343086856</v>
      </c>
      <c r="L299">
        <v>221.34038505373846</v>
      </c>
      <c r="M299">
        <v>669.83522758474055</v>
      </c>
    </row>
    <row r="300" spans="1:13" x14ac:dyDescent="0.3">
      <c r="A300">
        <v>890</v>
      </c>
      <c r="B300">
        <v>63.830036418334103</v>
      </c>
      <c r="C300">
        <v>74.026950949893688</v>
      </c>
      <c r="D300">
        <v>69.524417260633612</v>
      </c>
      <c r="E300">
        <v>86.342704864634499</v>
      </c>
      <c r="F300">
        <v>67.670432800350056</v>
      </c>
      <c r="G300">
        <v>112.03363238570675</v>
      </c>
      <c r="H300">
        <v>33.371720285104132</v>
      </c>
      <c r="I300">
        <v>25.955782443969884</v>
      </c>
      <c r="J300">
        <v>853.09770665333667</v>
      </c>
      <c r="K300">
        <v>6.7538005338901232</v>
      </c>
      <c r="L300">
        <v>226.71581400039</v>
      </c>
      <c r="M300">
        <v>662.00487978268086</v>
      </c>
    </row>
    <row r="301" spans="1:13" x14ac:dyDescent="0.3">
      <c r="A301">
        <v>892</v>
      </c>
      <c r="B301">
        <v>64.207059253950248</v>
      </c>
      <c r="C301">
        <v>73.935401565154834</v>
      </c>
      <c r="D301">
        <v>70.822332025569366</v>
      </c>
      <c r="E301">
        <v>87.036235877577013</v>
      </c>
      <c r="F301">
        <v>64.466481715582376</v>
      </c>
      <c r="G301">
        <v>113.23790450242134</v>
      </c>
      <c r="H301">
        <v>33.076363858095583</v>
      </c>
      <c r="I301">
        <v>25.682823701580098</v>
      </c>
      <c r="J301">
        <v>842.60415538113295</v>
      </c>
      <c r="K301">
        <v>7.1341176948833613</v>
      </c>
      <c r="L301">
        <v>232.1831031607494</v>
      </c>
      <c r="M301">
        <v>654.39315946702834</v>
      </c>
    </row>
    <row r="302" spans="1:13" x14ac:dyDescent="0.3">
      <c r="A302">
        <v>894</v>
      </c>
      <c r="B302">
        <v>65.733987879908</v>
      </c>
      <c r="C302">
        <v>74.379850889257597</v>
      </c>
      <c r="D302">
        <v>72.091240092665061</v>
      </c>
      <c r="E302">
        <v>87.094355314771718</v>
      </c>
      <c r="F302">
        <v>62.046781596508893</v>
      </c>
      <c r="G302">
        <v>112.14192903303453</v>
      </c>
      <c r="H302">
        <v>33.312001594846997</v>
      </c>
      <c r="I302">
        <v>25.429008851028239</v>
      </c>
      <c r="J302">
        <v>831.65573447287852</v>
      </c>
      <c r="K302">
        <v>7.5015576110533297</v>
      </c>
      <c r="L302">
        <v>238.77839311115517</v>
      </c>
      <c r="M302">
        <v>646.40540499313784</v>
      </c>
    </row>
    <row r="303" spans="1:13" x14ac:dyDescent="0.3">
      <c r="A303">
        <v>896</v>
      </c>
      <c r="B303">
        <v>65.836748047254716</v>
      </c>
      <c r="C303">
        <v>75.313249660117123</v>
      </c>
      <c r="D303">
        <v>73.442887499683749</v>
      </c>
      <c r="E303">
        <v>88.281093972455182</v>
      </c>
      <c r="F303">
        <v>60.973806430127937</v>
      </c>
      <c r="G303">
        <v>112.59580205808902</v>
      </c>
      <c r="H303">
        <v>33.541828077105144</v>
      </c>
      <c r="I303">
        <v>25.312234571198303</v>
      </c>
      <c r="J303">
        <v>820.96429761955494</v>
      </c>
      <c r="K303">
        <v>7.6061394524290478</v>
      </c>
      <c r="L303">
        <v>245.89027869164067</v>
      </c>
      <c r="M303">
        <v>638.79102319334447</v>
      </c>
    </row>
    <row r="304" spans="1:13" x14ac:dyDescent="0.3">
      <c r="A304">
        <v>898</v>
      </c>
      <c r="B304">
        <v>65.62832559516319</v>
      </c>
      <c r="C304">
        <v>74.951906906653164</v>
      </c>
      <c r="D304">
        <v>75.19407784980875</v>
      </c>
      <c r="E304">
        <v>90.571932740188331</v>
      </c>
      <c r="F304">
        <v>59.574052016273605</v>
      </c>
      <c r="G304">
        <v>113.33600139681319</v>
      </c>
      <c r="H304">
        <v>33.78284657020393</v>
      </c>
      <c r="I304">
        <v>25.670119974491875</v>
      </c>
      <c r="J304">
        <v>808.48769372491631</v>
      </c>
      <c r="K304">
        <v>7.5072992378230952</v>
      </c>
      <c r="L304">
        <v>251.97886635338489</v>
      </c>
      <c r="M304">
        <v>630.00770861925116</v>
      </c>
    </row>
    <row r="305" spans="1:13" x14ac:dyDescent="0.3">
      <c r="A305">
        <v>900</v>
      </c>
      <c r="B305">
        <v>66.955418097287108</v>
      </c>
      <c r="C305">
        <v>76.452640522434208</v>
      </c>
      <c r="D305">
        <v>77.164932204320237</v>
      </c>
      <c r="E305">
        <v>91.88562696329825</v>
      </c>
      <c r="F305">
        <v>59.713785998112435</v>
      </c>
      <c r="G305">
        <v>114.32281494270828</v>
      </c>
      <c r="H305">
        <v>34.308716010843924</v>
      </c>
      <c r="I305">
        <v>26.117361669154544</v>
      </c>
      <c r="J305">
        <v>797.76668371235689</v>
      </c>
      <c r="K305">
        <v>8.0726390613750407</v>
      </c>
      <c r="L305">
        <v>256.66243603960055</v>
      </c>
      <c r="M305">
        <v>621.83063828650677</v>
      </c>
    </row>
    <row r="306" spans="1:13" x14ac:dyDescent="0.3">
      <c r="A306">
        <v>902</v>
      </c>
      <c r="B306">
        <v>67.0441484467066</v>
      </c>
      <c r="C306">
        <v>77.287004459397906</v>
      </c>
      <c r="D306">
        <v>78.683757552037619</v>
      </c>
      <c r="E306">
        <v>93.000476751594761</v>
      </c>
      <c r="F306">
        <v>59.362006437188143</v>
      </c>
      <c r="G306">
        <v>115.232130142777</v>
      </c>
      <c r="H306">
        <v>34.686035133886406</v>
      </c>
      <c r="I306">
        <v>27.120289215421248</v>
      </c>
      <c r="J306">
        <v>786.60478333826961</v>
      </c>
      <c r="K306">
        <v>8.2641224647850162</v>
      </c>
      <c r="L306">
        <v>258.74851041150828</v>
      </c>
      <c r="M306">
        <v>613.29100375989083</v>
      </c>
    </row>
    <row r="307" spans="1:13" x14ac:dyDescent="0.3">
      <c r="A307">
        <v>904</v>
      </c>
      <c r="B307">
        <v>66.783354822420065</v>
      </c>
      <c r="C307">
        <v>78.199312911722643</v>
      </c>
      <c r="D307">
        <v>80.482504529583153</v>
      </c>
      <c r="E307">
        <v>95.437409626569533</v>
      </c>
      <c r="F307">
        <v>58.678024579015236</v>
      </c>
      <c r="G307">
        <v>116.10029376820718</v>
      </c>
      <c r="H307">
        <v>35.275310495944957</v>
      </c>
      <c r="I307">
        <v>27.854937737898283</v>
      </c>
      <c r="J307">
        <v>775.71435216810994</v>
      </c>
      <c r="K307">
        <v>7.8770110816187771</v>
      </c>
      <c r="L307">
        <v>259.59888695074056</v>
      </c>
      <c r="M307">
        <v>604.81745957125042</v>
      </c>
    </row>
    <row r="308" spans="1:13" x14ac:dyDescent="0.3">
      <c r="A308">
        <v>906</v>
      </c>
      <c r="B308">
        <v>66.32107390509627</v>
      </c>
      <c r="C308">
        <v>78.196131057022299</v>
      </c>
      <c r="D308">
        <v>81.669025129755383</v>
      </c>
      <c r="E308">
        <v>96.904947513358564</v>
      </c>
      <c r="F308">
        <v>57.470795461679707</v>
      </c>
      <c r="G308">
        <v>117.29419658553344</v>
      </c>
      <c r="H308">
        <v>36.185315661057594</v>
      </c>
      <c r="I308">
        <v>28.903440992423711</v>
      </c>
      <c r="J308">
        <v>763.81263831916624</v>
      </c>
      <c r="K308">
        <v>8.2901342381370338</v>
      </c>
      <c r="L308">
        <v>260.91517081920477</v>
      </c>
      <c r="M308">
        <v>595.88140557636336</v>
      </c>
    </row>
    <row r="309" spans="1:13" x14ac:dyDescent="0.3">
      <c r="A309">
        <v>908</v>
      </c>
      <c r="B309">
        <v>65.177748076399411</v>
      </c>
      <c r="C309">
        <v>78.939941504693209</v>
      </c>
      <c r="D309">
        <v>82.132770380057366</v>
      </c>
      <c r="E309">
        <v>98.317109851730862</v>
      </c>
      <c r="F309">
        <v>57.14062711427583</v>
      </c>
      <c r="G309">
        <v>117.91447329362123</v>
      </c>
      <c r="H309">
        <v>36.552385745548321</v>
      </c>
      <c r="I309">
        <v>29.7263378051146</v>
      </c>
      <c r="J309">
        <v>752.62683420653104</v>
      </c>
      <c r="K309">
        <v>8.5876086992553287</v>
      </c>
      <c r="L309">
        <v>263.90382118096181</v>
      </c>
      <c r="M309">
        <v>587.59061061443185</v>
      </c>
    </row>
    <row r="310" spans="1:13" x14ac:dyDescent="0.3">
      <c r="A310">
        <v>910</v>
      </c>
      <c r="B310">
        <v>63.162844091677051</v>
      </c>
      <c r="C310">
        <v>78.52093289479032</v>
      </c>
      <c r="D310">
        <v>80.575888438868844</v>
      </c>
      <c r="E310">
        <v>98.637866115769654</v>
      </c>
      <c r="F310">
        <v>54.834866360411418</v>
      </c>
      <c r="G310">
        <v>117.78139934218547</v>
      </c>
      <c r="H310">
        <v>37.205510903316622</v>
      </c>
      <c r="I310">
        <v>30.067244276517503</v>
      </c>
      <c r="J310">
        <v>739.6758403133208</v>
      </c>
      <c r="K310">
        <v>8.6524443961201456</v>
      </c>
      <c r="L310">
        <v>267.90130961486994</v>
      </c>
      <c r="M310">
        <v>578.84853010043764</v>
      </c>
    </row>
    <row r="311" spans="1:13" x14ac:dyDescent="0.3">
      <c r="A311">
        <v>912</v>
      </c>
      <c r="B311">
        <v>60.58682055879207</v>
      </c>
      <c r="C311">
        <v>77.593647382312639</v>
      </c>
      <c r="D311">
        <v>78.762866726429678</v>
      </c>
      <c r="E311">
        <v>97.789254235243334</v>
      </c>
      <c r="F311">
        <v>52.295992482325786</v>
      </c>
      <c r="G311">
        <v>118.30373909111503</v>
      </c>
      <c r="H311">
        <v>37.840189682333289</v>
      </c>
      <c r="I311">
        <v>30.61228828233704</v>
      </c>
      <c r="J311">
        <v>728.3173587172688</v>
      </c>
      <c r="K311">
        <v>8.9285840823483031</v>
      </c>
      <c r="L311">
        <v>272.21552184397626</v>
      </c>
      <c r="M311">
        <v>570.26016192617442</v>
      </c>
    </row>
    <row r="312" spans="1:13" x14ac:dyDescent="0.3">
      <c r="A312">
        <v>914</v>
      </c>
      <c r="B312">
        <v>58.194967698443229</v>
      </c>
      <c r="C312">
        <v>76.165406556849391</v>
      </c>
      <c r="D312">
        <v>74.284779234458057</v>
      </c>
      <c r="E312">
        <v>94.86720048507442</v>
      </c>
      <c r="F312">
        <v>49.732144747682185</v>
      </c>
      <c r="G312">
        <v>118.79295919771984</v>
      </c>
      <c r="H312">
        <v>38.239422221957312</v>
      </c>
      <c r="I312">
        <v>30.716912932391939</v>
      </c>
      <c r="J312">
        <v>716.72796842247863</v>
      </c>
      <c r="K312">
        <v>8.6717815421378592</v>
      </c>
      <c r="L312">
        <v>276.24325780015062</v>
      </c>
      <c r="M312">
        <v>561.47173502950432</v>
      </c>
    </row>
    <row r="313" spans="1:13" x14ac:dyDescent="0.3">
      <c r="A313">
        <v>916</v>
      </c>
      <c r="B313">
        <v>56.861226566929126</v>
      </c>
      <c r="C313">
        <v>74.032700050974626</v>
      </c>
      <c r="D313">
        <v>69.91977227036493</v>
      </c>
      <c r="E313">
        <v>91.92393589662683</v>
      </c>
      <c r="F313">
        <v>47.093023087981081</v>
      </c>
      <c r="G313">
        <v>118.76078966510512</v>
      </c>
      <c r="H313">
        <v>38.250228359670224</v>
      </c>
      <c r="I313">
        <v>30.641311965542275</v>
      </c>
      <c r="J313">
        <v>705.26429118004853</v>
      </c>
      <c r="K313">
        <v>9.1512643118565862</v>
      </c>
      <c r="L313">
        <v>277.93109477470057</v>
      </c>
      <c r="M313">
        <v>553.3944328810353</v>
      </c>
    </row>
    <row r="314" spans="1:13" x14ac:dyDescent="0.3">
      <c r="A314">
        <v>918</v>
      </c>
      <c r="B314">
        <v>56.075784821189856</v>
      </c>
      <c r="C314">
        <v>72.473396989119024</v>
      </c>
      <c r="D314">
        <v>66.906306438278875</v>
      </c>
      <c r="E314">
        <v>89.478328126230736</v>
      </c>
      <c r="F314">
        <v>44.13184509393281</v>
      </c>
      <c r="G314">
        <v>120.24915589814719</v>
      </c>
      <c r="H314">
        <v>38.463534714895573</v>
      </c>
      <c r="I314">
        <v>30.872047600113547</v>
      </c>
      <c r="J314">
        <v>694.16558177566799</v>
      </c>
      <c r="K314">
        <v>8.8061250531471433</v>
      </c>
      <c r="L314">
        <v>276.6337904626568</v>
      </c>
      <c r="M314">
        <v>544.96755501315192</v>
      </c>
    </row>
    <row r="315" spans="1:13" x14ac:dyDescent="0.3">
      <c r="A315">
        <v>920</v>
      </c>
      <c r="B315">
        <v>56.287178476861207</v>
      </c>
      <c r="C315">
        <v>71.828417135959171</v>
      </c>
      <c r="D315">
        <v>64.954407729050459</v>
      </c>
      <c r="E315">
        <v>87.967395743483976</v>
      </c>
      <c r="F315">
        <v>43.037276286732812</v>
      </c>
      <c r="G315">
        <v>122.53668942750316</v>
      </c>
      <c r="H315">
        <v>38.554226673531481</v>
      </c>
      <c r="I315">
        <v>31.281723967671539</v>
      </c>
      <c r="J315">
        <v>682.51939777871883</v>
      </c>
      <c r="K315">
        <v>9.0657225511404782</v>
      </c>
      <c r="L315">
        <v>272.07129985895216</v>
      </c>
      <c r="M315">
        <v>536.37198038835527</v>
      </c>
    </row>
    <row r="316" spans="1:13" x14ac:dyDescent="0.3">
      <c r="A316">
        <v>922</v>
      </c>
      <c r="B316">
        <v>56.023228023823094</v>
      </c>
      <c r="C316">
        <v>70.838477466200118</v>
      </c>
      <c r="D316">
        <v>63.970481035959118</v>
      </c>
      <c r="E316">
        <v>87.223554664060813</v>
      </c>
      <c r="F316">
        <v>42.189120928623346</v>
      </c>
      <c r="G316">
        <v>126.86170549002323</v>
      </c>
      <c r="H316">
        <v>38.657008478785109</v>
      </c>
      <c r="I316">
        <v>32.279583222132743</v>
      </c>
      <c r="J316">
        <v>671.69005087757068</v>
      </c>
      <c r="K316">
        <v>8.6340526551601258</v>
      </c>
      <c r="L316">
        <v>266.28203302391569</v>
      </c>
      <c r="M316">
        <v>527.75646854666275</v>
      </c>
    </row>
    <row r="317" spans="1:13" x14ac:dyDescent="0.3">
      <c r="A317">
        <v>924</v>
      </c>
      <c r="B317">
        <v>56.653911015031547</v>
      </c>
      <c r="C317">
        <v>69.802258963912578</v>
      </c>
      <c r="D317">
        <v>63.614801105615626</v>
      </c>
      <c r="E317">
        <v>87.204484190372796</v>
      </c>
      <c r="F317">
        <v>41.281945398325036</v>
      </c>
      <c r="G317">
        <v>128.77646667580549</v>
      </c>
      <c r="H317">
        <v>38.671611614356003</v>
      </c>
      <c r="I317">
        <v>32.967548901238494</v>
      </c>
      <c r="J317">
        <v>660.8011634603082</v>
      </c>
      <c r="K317">
        <v>8.7977916422659899</v>
      </c>
      <c r="L317">
        <v>260.84002033883121</v>
      </c>
      <c r="M317">
        <v>519.16638592272932</v>
      </c>
    </row>
    <row r="318" spans="1:13" x14ac:dyDescent="0.3">
      <c r="A318">
        <v>926</v>
      </c>
      <c r="B318">
        <v>57.287102444060721</v>
      </c>
      <c r="C318">
        <v>68.630139367260767</v>
      </c>
      <c r="D318">
        <v>63.292239638696039</v>
      </c>
      <c r="E318">
        <v>87.694066969277657</v>
      </c>
      <c r="F318">
        <v>40.415526516275783</v>
      </c>
      <c r="G318">
        <v>132.39897719600722</v>
      </c>
      <c r="H318">
        <v>38.699773032094264</v>
      </c>
      <c r="I318">
        <v>34.410389321640466</v>
      </c>
      <c r="J318">
        <v>650.17525086678563</v>
      </c>
      <c r="K318">
        <v>8.5787674209075959</v>
      </c>
      <c r="L318">
        <v>256.02854769508667</v>
      </c>
      <c r="M318">
        <v>510.62730082002213</v>
      </c>
    </row>
    <row r="319" spans="1:13" x14ac:dyDescent="0.3">
      <c r="A319">
        <v>928</v>
      </c>
      <c r="B319">
        <v>57.575000499704771</v>
      </c>
      <c r="C319">
        <v>67.453064310928625</v>
      </c>
      <c r="D319">
        <v>63.784069181045474</v>
      </c>
      <c r="E319">
        <v>87.867729520791272</v>
      </c>
      <c r="F319">
        <v>39.88856243770396</v>
      </c>
      <c r="G319">
        <v>135.75281980567644</v>
      </c>
      <c r="H319">
        <v>38.383333666469845</v>
      </c>
      <c r="I319">
        <v>35.843260115012285</v>
      </c>
      <c r="J319">
        <v>639.15776698528464</v>
      </c>
      <c r="K319">
        <v>8.5609886363940113</v>
      </c>
      <c r="L319">
        <v>251.65543519070303</v>
      </c>
      <c r="M319">
        <v>501.8997184083741</v>
      </c>
    </row>
    <row r="320" spans="1:13" x14ac:dyDescent="0.3">
      <c r="A320">
        <v>930</v>
      </c>
      <c r="B320">
        <v>58.348315542289171</v>
      </c>
      <c r="C320">
        <v>66.165314753696336</v>
      </c>
      <c r="D320">
        <v>64.397183979687568</v>
      </c>
      <c r="E320">
        <v>89.895490931182366</v>
      </c>
      <c r="F320">
        <v>39.084996057035809</v>
      </c>
      <c r="G320">
        <v>139.58927163227074</v>
      </c>
      <c r="H320">
        <v>37.875222369556134</v>
      </c>
      <c r="I320">
        <v>37.596043826291591</v>
      </c>
      <c r="J320">
        <v>628.80313894616893</v>
      </c>
      <c r="K320">
        <v>8.1892372690932174</v>
      </c>
      <c r="L320">
        <v>247.25912981796225</v>
      </c>
      <c r="M320">
        <v>493.40154546286635</v>
      </c>
    </row>
    <row r="321" spans="1:13" x14ac:dyDescent="0.3">
      <c r="A321">
        <v>932</v>
      </c>
      <c r="B321">
        <v>59.178150911187252</v>
      </c>
      <c r="C321">
        <v>65.630597272220143</v>
      </c>
      <c r="D321">
        <v>63.787041169067884</v>
      </c>
      <c r="E321">
        <v>91.44038271635165</v>
      </c>
      <c r="F321">
        <v>38.438144750724433</v>
      </c>
      <c r="G321">
        <v>143.52084263040274</v>
      </c>
      <c r="H321">
        <v>36.963299868202633</v>
      </c>
      <c r="I321">
        <v>39.820811828088623</v>
      </c>
      <c r="J321">
        <v>617.68347236116165</v>
      </c>
      <c r="K321">
        <v>8.2960024641851291</v>
      </c>
      <c r="L321">
        <v>241.96673853873293</v>
      </c>
      <c r="M321">
        <v>484.30218829809633</v>
      </c>
    </row>
    <row r="322" spans="1:13" x14ac:dyDescent="0.3">
      <c r="A322">
        <v>934</v>
      </c>
      <c r="B322">
        <v>60.035331829368104</v>
      </c>
      <c r="C322">
        <v>64.695608729364707</v>
      </c>
      <c r="D322">
        <v>64.238718837208182</v>
      </c>
      <c r="E322">
        <v>93.205537999932218</v>
      </c>
      <c r="F322">
        <v>38.287372962717249</v>
      </c>
      <c r="G322">
        <v>147.2099232528341</v>
      </c>
      <c r="H322">
        <v>35.637411588209375</v>
      </c>
      <c r="I322">
        <v>41.942492099969499</v>
      </c>
      <c r="J322">
        <v>606.93253274073504</v>
      </c>
      <c r="K322">
        <v>8.3153960372488545</v>
      </c>
      <c r="L322">
        <v>236.48620818022016</v>
      </c>
      <c r="M322">
        <v>475.6223777349482</v>
      </c>
    </row>
    <row r="323" spans="1:13" x14ac:dyDescent="0.3">
      <c r="A323">
        <v>936</v>
      </c>
      <c r="B323">
        <v>60.879942041557399</v>
      </c>
      <c r="C323">
        <v>64.402668658205386</v>
      </c>
      <c r="D323">
        <v>64.402668658205386</v>
      </c>
      <c r="E323">
        <v>95.294271296503041</v>
      </c>
      <c r="F323">
        <v>37.575750577578454</v>
      </c>
      <c r="G323">
        <v>150.93528657484035</v>
      </c>
      <c r="H323">
        <v>35.04661351947221</v>
      </c>
      <c r="I323">
        <v>44.801856457881996</v>
      </c>
      <c r="J323">
        <v>595.70210350752382</v>
      </c>
      <c r="K323">
        <v>8.0390427918376979</v>
      </c>
      <c r="L323">
        <v>230.603103905187</v>
      </c>
      <c r="M323">
        <v>466.80643986760919</v>
      </c>
    </row>
    <row r="324" spans="1:13" x14ac:dyDescent="0.3">
      <c r="A324">
        <v>938</v>
      </c>
      <c r="B324">
        <v>61.738434685563199</v>
      </c>
      <c r="C324">
        <v>63.876562293721221</v>
      </c>
      <c r="D324">
        <v>64.411094195760739</v>
      </c>
      <c r="E324">
        <v>97.373894821530399</v>
      </c>
      <c r="F324">
        <v>37.149967191745823</v>
      </c>
      <c r="G324">
        <v>154.21245373839812</v>
      </c>
      <c r="H324">
        <v>33.76459847882893</v>
      </c>
      <c r="I324">
        <v>47.840605232535985</v>
      </c>
      <c r="J324">
        <v>584.06519162850259</v>
      </c>
      <c r="K324">
        <v>7.9288898802527044</v>
      </c>
      <c r="L324">
        <v>224.94884210829301</v>
      </c>
      <c r="M324">
        <v>457.91566274717866</v>
      </c>
    </row>
    <row r="325" spans="1:13" x14ac:dyDescent="0.3">
      <c r="A325">
        <v>940</v>
      </c>
      <c r="B325">
        <v>62.181530877439634</v>
      </c>
      <c r="C325">
        <v>63.412848320557259</v>
      </c>
      <c r="D325">
        <v>64.468263271800922</v>
      </c>
      <c r="E325">
        <v>99.384907908779056</v>
      </c>
      <c r="F325">
        <v>36.939523293528495</v>
      </c>
      <c r="G325">
        <v>156.99297399749611</v>
      </c>
      <c r="H325">
        <v>33.157619718238678</v>
      </c>
      <c r="I325">
        <v>51.363527627192006</v>
      </c>
      <c r="J325">
        <v>573.09031852531359</v>
      </c>
      <c r="K325">
        <v>7.8276608883905627</v>
      </c>
      <c r="L325">
        <v>219.79016359649458</v>
      </c>
      <c r="M325">
        <v>448.99111050824519</v>
      </c>
    </row>
    <row r="326" spans="1:13" x14ac:dyDescent="0.3">
      <c r="A326">
        <v>942</v>
      </c>
      <c r="B326">
        <v>61.861106126688277</v>
      </c>
      <c r="C326">
        <v>62.210110956740117</v>
      </c>
      <c r="D326">
        <v>64.304139937051147</v>
      </c>
      <c r="E326">
        <v>102.43291762021444</v>
      </c>
      <c r="F326">
        <v>35.68574387280043</v>
      </c>
      <c r="G326">
        <v>158.36094163602147</v>
      </c>
      <c r="H326">
        <v>32.893705232385727</v>
      </c>
      <c r="I326">
        <v>54.444753488086725</v>
      </c>
      <c r="J326">
        <v>560.50175706325183</v>
      </c>
      <c r="K326">
        <v>7.8526086761663541</v>
      </c>
      <c r="L326">
        <v>214.72522168939329</v>
      </c>
      <c r="M326">
        <v>439.74608586531576</v>
      </c>
    </row>
    <row r="327" spans="1:13" x14ac:dyDescent="0.3">
      <c r="A327">
        <v>944</v>
      </c>
      <c r="B327">
        <v>60.888962861025007</v>
      </c>
      <c r="C327">
        <v>61.929799833008346</v>
      </c>
      <c r="D327">
        <v>63.491055290983347</v>
      </c>
      <c r="E327">
        <v>104.34390644132918</v>
      </c>
      <c r="F327">
        <v>35.214984218769452</v>
      </c>
      <c r="G327">
        <v>157.68680125547505</v>
      </c>
      <c r="H327">
        <v>32.786364617475009</v>
      </c>
      <c r="I327">
        <v>55.771514415440286</v>
      </c>
      <c r="J327">
        <v>548.95476630687654</v>
      </c>
      <c r="K327">
        <v>7.4593316325472241</v>
      </c>
      <c r="L327">
        <v>209.64191344030976</v>
      </c>
      <c r="M327">
        <v>430.81976998676816</v>
      </c>
    </row>
    <row r="328" spans="1:13" x14ac:dyDescent="0.3">
      <c r="A328">
        <v>946</v>
      </c>
      <c r="B328">
        <v>58.486227456157373</v>
      </c>
      <c r="C328">
        <v>59.948383142561305</v>
      </c>
      <c r="D328">
        <v>63.30274030548798</v>
      </c>
      <c r="E328">
        <v>106.3073193173684</v>
      </c>
      <c r="F328">
        <v>34.231644893456817</v>
      </c>
      <c r="G328">
        <v>153.01029212427053</v>
      </c>
      <c r="H328">
        <v>32.511461732981594</v>
      </c>
      <c r="I328">
        <v>51.949531446351543</v>
      </c>
      <c r="J328">
        <v>536.78315522629134</v>
      </c>
      <c r="K328">
        <v>7.5688059060909536</v>
      </c>
      <c r="L328">
        <v>203.92771367433693</v>
      </c>
      <c r="M328">
        <v>421.70290179049942</v>
      </c>
    </row>
    <row r="329" spans="1:13" x14ac:dyDescent="0.3">
      <c r="A329">
        <v>948</v>
      </c>
      <c r="B329">
        <v>55.290678468864641</v>
      </c>
      <c r="C329">
        <v>59.642259644654914</v>
      </c>
      <c r="D329">
        <v>62.287338398566654</v>
      </c>
      <c r="E329">
        <v>107.16835209397222</v>
      </c>
      <c r="F329">
        <v>33.276797226631494</v>
      </c>
      <c r="G329">
        <v>145.39400634405146</v>
      </c>
      <c r="H329">
        <v>32.423546015692224</v>
      </c>
      <c r="I329">
        <v>42.235934941493824</v>
      </c>
      <c r="J329">
        <v>525.09079521202625</v>
      </c>
      <c r="K329">
        <v>7.337960414077715</v>
      </c>
      <c r="L329">
        <v>197.78363069572259</v>
      </c>
      <c r="M329">
        <v>412.7176107313245</v>
      </c>
    </row>
    <row r="330" spans="1:13" x14ac:dyDescent="0.3">
      <c r="A330">
        <v>950</v>
      </c>
      <c r="B330">
        <v>53.363987777638016</v>
      </c>
      <c r="C330">
        <v>58.785091297906007</v>
      </c>
      <c r="D330">
        <v>61.326233573031622</v>
      </c>
      <c r="E330">
        <v>109.26911783040165</v>
      </c>
      <c r="F330">
        <v>33.37366854664981</v>
      </c>
      <c r="G330">
        <v>135.69699749170809</v>
      </c>
      <c r="H330">
        <v>32.357211636599558</v>
      </c>
      <c r="I330">
        <v>30.917231014028374</v>
      </c>
      <c r="J330">
        <v>512.63310163534175</v>
      </c>
      <c r="K330">
        <v>7.284607855360111</v>
      </c>
      <c r="L330">
        <v>191.51742280196754</v>
      </c>
      <c r="M330">
        <v>404.04162174497355</v>
      </c>
    </row>
    <row r="331" spans="1:13" x14ac:dyDescent="0.3">
      <c r="A331">
        <v>952</v>
      </c>
      <c r="B331">
        <v>51.432327696303801</v>
      </c>
      <c r="C331">
        <v>57.735309031635154</v>
      </c>
      <c r="D331">
        <v>60.760740072594196</v>
      </c>
      <c r="E331">
        <v>110.84843175069398</v>
      </c>
      <c r="F331">
        <v>33.279741450549515</v>
      </c>
      <c r="G331">
        <v>126.81598446686672</v>
      </c>
      <c r="H331">
        <v>32.607423441447509</v>
      </c>
      <c r="I331">
        <v>22.942852060606107</v>
      </c>
      <c r="J331">
        <v>501.96943354578855</v>
      </c>
      <c r="K331">
        <v>7.1433788467088615</v>
      </c>
      <c r="L331">
        <v>185.72785001443037</v>
      </c>
      <c r="M331">
        <v>395.49106885425766</v>
      </c>
    </row>
    <row r="332" spans="1:13" x14ac:dyDescent="0.3">
      <c r="A332">
        <v>954</v>
      </c>
      <c r="B332">
        <v>50.383733744168374</v>
      </c>
      <c r="C332">
        <v>57.807826961438217</v>
      </c>
      <c r="D332">
        <v>60.643997403990738</v>
      </c>
      <c r="E332">
        <v>112.61264992487963</v>
      </c>
      <c r="F332">
        <v>32.449126533909762</v>
      </c>
      <c r="G332">
        <v>120.87091091937081</v>
      </c>
      <c r="H332">
        <v>32.94962720024256</v>
      </c>
      <c r="I332">
        <v>19.686359542423403</v>
      </c>
      <c r="J332">
        <v>491.15798722791953</v>
      </c>
      <c r="K332">
        <v>7.1738428841034434</v>
      </c>
      <c r="L332">
        <v>180.84757410158448</v>
      </c>
      <c r="M332">
        <v>387.30409896386379</v>
      </c>
    </row>
    <row r="333" spans="1:13" x14ac:dyDescent="0.3">
      <c r="A333">
        <v>956</v>
      </c>
      <c r="B333">
        <v>49.344119801419119</v>
      </c>
      <c r="C333">
        <v>58.865216742968116</v>
      </c>
      <c r="D333">
        <v>60.852228278595732</v>
      </c>
      <c r="E333">
        <v>114.99829262444827</v>
      </c>
      <c r="F333">
        <v>33.365235369080381</v>
      </c>
      <c r="G333">
        <v>116.24017483421552</v>
      </c>
      <c r="H333">
        <v>33.530819663716017</v>
      </c>
      <c r="I333">
        <v>18.131480262601993</v>
      </c>
      <c r="J333">
        <v>480.02887014870481</v>
      </c>
      <c r="K333">
        <v>7.0373325220144727</v>
      </c>
      <c r="L333">
        <v>176.76123452354</v>
      </c>
      <c r="M333">
        <v>378.93965827364991</v>
      </c>
    </row>
    <row r="334" spans="1:13" x14ac:dyDescent="0.3">
      <c r="A334">
        <v>958</v>
      </c>
      <c r="B334">
        <v>49.124271160377525</v>
      </c>
      <c r="C334">
        <v>59.474870100523958</v>
      </c>
      <c r="D334">
        <v>61.282117534517788</v>
      </c>
      <c r="E334">
        <v>117.06034515641802</v>
      </c>
      <c r="F334">
        <v>33.844815582066119</v>
      </c>
      <c r="G334">
        <v>111.63860285443656</v>
      </c>
      <c r="H334">
        <v>34.091258413974373</v>
      </c>
      <c r="I334">
        <v>17.743883897393889</v>
      </c>
      <c r="J334">
        <v>469.06285673203297</v>
      </c>
      <c r="K334">
        <v>6.98254690406704</v>
      </c>
      <c r="L334">
        <v>173.24931083149869</v>
      </c>
      <c r="M334">
        <v>370.32142874746131</v>
      </c>
    </row>
    <row r="335" spans="1:13" x14ac:dyDescent="0.3">
      <c r="A335">
        <v>960</v>
      </c>
      <c r="B335">
        <v>48.602204847806917</v>
      </c>
      <c r="C335">
        <v>60.426566765478064</v>
      </c>
      <c r="D335">
        <v>62.220607884021277</v>
      </c>
      <c r="E335">
        <v>119.05909241241291</v>
      </c>
      <c r="F335">
        <v>34.494517870171684</v>
      </c>
      <c r="G335">
        <v>109.599602878276</v>
      </c>
      <c r="H335">
        <v>35.065349135162712</v>
      </c>
      <c r="I335">
        <v>17.451127244011211</v>
      </c>
      <c r="J335">
        <v>458.54060043493007</v>
      </c>
      <c r="K335">
        <v>7.0130698270325418</v>
      </c>
      <c r="L335">
        <v>170.10771696732422</v>
      </c>
      <c r="M335">
        <v>362.07011665144745</v>
      </c>
    </row>
    <row r="336" spans="1:13" x14ac:dyDescent="0.3">
      <c r="A336">
        <v>962</v>
      </c>
      <c r="B336">
        <v>48.670274009802412</v>
      </c>
      <c r="C336">
        <v>61.708400658019038</v>
      </c>
      <c r="D336">
        <v>63.085097260625751</v>
      </c>
      <c r="E336">
        <v>120.33947949844655</v>
      </c>
      <c r="F336">
        <v>34.984290136829692</v>
      </c>
      <c r="G336">
        <v>107.86822792189153</v>
      </c>
      <c r="H336">
        <v>35.389200902302257</v>
      </c>
      <c r="I336">
        <v>17.492145068414846</v>
      </c>
      <c r="J336">
        <v>448.23621737813039</v>
      </c>
      <c r="K336">
        <v>6.7215187068445932</v>
      </c>
      <c r="L336">
        <v>166.90421752779164</v>
      </c>
      <c r="M336">
        <v>353.97299117611703</v>
      </c>
    </row>
    <row r="337" spans="1:13" x14ac:dyDescent="0.3">
      <c r="A337">
        <v>964</v>
      </c>
      <c r="B337">
        <v>49.608510149445969</v>
      </c>
      <c r="C337">
        <v>62.874967482766202</v>
      </c>
      <c r="D337">
        <v>64.161411830239672</v>
      </c>
      <c r="E337">
        <v>120.76496311907268</v>
      </c>
      <c r="F337">
        <v>35.538025098954805</v>
      </c>
      <c r="G337">
        <v>106.13165866656188</v>
      </c>
      <c r="H337">
        <v>36.100844500974453</v>
      </c>
      <c r="I337">
        <v>17.608207006043219</v>
      </c>
      <c r="J337">
        <v>437.23027259754804</v>
      </c>
      <c r="K337">
        <v>7.0754439111041245</v>
      </c>
      <c r="L337">
        <v>163.13722381398034</v>
      </c>
      <c r="M337">
        <v>345.73191838349697</v>
      </c>
    </row>
    <row r="338" spans="1:13" x14ac:dyDescent="0.3">
      <c r="A338">
        <v>966</v>
      </c>
      <c r="B338">
        <v>49.4323327484733</v>
      </c>
      <c r="C338">
        <v>64.046414966519535</v>
      </c>
      <c r="D338">
        <v>64.924857067057829</v>
      </c>
      <c r="E338">
        <v>120.58614289207543</v>
      </c>
      <c r="F338">
        <v>36.175842867622627</v>
      </c>
      <c r="G338">
        <v>105.89220230125298</v>
      </c>
      <c r="H338">
        <v>36.575134731503674</v>
      </c>
      <c r="I338">
        <v>17.968133874647002</v>
      </c>
      <c r="J338">
        <v>426.76314411606035</v>
      </c>
      <c r="K338">
        <v>6.9476784315301741</v>
      </c>
      <c r="L338">
        <v>158.83830345187948</v>
      </c>
      <c r="M338">
        <v>337.80091684336361</v>
      </c>
    </row>
    <row r="339" spans="1:13" x14ac:dyDescent="0.3">
      <c r="A339">
        <v>968</v>
      </c>
      <c r="B339">
        <v>49.964707543843474</v>
      </c>
      <c r="C339">
        <v>65.271356045370126</v>
      </c>
      <c r="D339">
        <v>65.985137581710759</v>
      </c>
      <c r="E339">
        <v>119.43944374766393</v>
      </c>
      <c r="F339">
        <v>36.799403651338693</v>
      </c>
      <c r="G339">
        <v>105.4017401996317</v>
      </c>
      <c r="H339">
        <v>37.03733083011889</v>
      </c>
      <c r="I339">
        <v>18.082465587295736</v>
      </c>
      <c r="J339">
        <v>416.61049004414252</v>
      </c>
      <c r="K339">
        <v>6.6619610058457965</v>
      </c>
      <c r="L339">
        <v>153.78026655160716</v>
      </c>
      <c r="M339">
        <v>329.84637884896034</v>
      </c>
    </row>
    <row r="340" spans="1:13" x14ac:dyDescent="0.3">
      <c r="A340">
        <v>970</v>
      </c>
      <c r="B340">
        <v>50.885813207369303</v>
      </c>
      <c r="C340">
        <v>65.930999465275704</v>
      </c>
      <c r="D340">
        <v>66.561164334716821</v>
      </c>
      <c r="E340">
        <v>117.21066571604571</v>
      </c>
      <c r="F340">
        <v>37.731121557786224</v>
      </c>
      <c r="G340">
        <v>105.15876258798455</v>
      </c>
      <c r="H340">
        <v>37.652350949106079</v>
      </c>
      <c r="I340">
        <v>18.353551822472213</v>
      </c>
      <c r="J340">
        <v>406.1412583547928</v>
      </c>
      <c r="K340">
        <v>6.8530429551720271</v>
      </c>
      <c r="L340">
        <v>148.40382675338046</v>
      </c>
      <c r="M340">
        <v>321.77793645836471</v>
      </c>
    </row>
    <row r="341" spans="1:13" x14ac:dyDescent="0.3">
      <c r="A341">
        <v>972</v>
      </c>
      <c r="B341">
        <v>50.956189162688354</v>
      </c>
      <c r="C341">
        <v>67.158848389533958</v>
      </c>
      <c r="D341">
        <v>67.080574673462252</v>
      </c>
      <c r="E341">
        <v>113.73170945220612</v>
      </c>
      <c r="F341">
        <v>37.962752294783186</v>
      </c>
      <c r="G341">
        <v>105.43469554860401</v>
      </c>
      <c r="H341">
        <v>38.11929972692662</v>
      </c>
      <c r="I341">
        <v>18.159502128638554</v>
      </c>
      <c r="J341">
        <v>396.06500332289255</v>
      </c>
      <c r="K341">
        <v>6.7315395821677395</v>
      </c>
      <c r="L341">
        <v>143.16262669517204</v>
      </c>
      <c r="M341">
        <v>313.79932773151711</v>
      </c>
    </row>
    <row r="342" spans="1:13" x14ac:dyDescent="0.3">
      <c r="A342">
        <v>974</v>
      </c>
      <c r="B342">
        <v>51.901378398480894</v>
      </c>
      <c r="C342">
        <v>66.841505313785731</v>
      </c>
      <c r="D342">
        <v>67.464010601923434</v>
      </c>
      <c r="E342">
        <v>108.23810697494291</v>
      </c>
      <c r="F342">
        <v>38.284075220468665</v>
      </c>
      <c r="G342">
        <v>105.04776737323719</v>
      </c>
      <c r="H342">
        <v>38.595327864537516</v>
      </c>
      <c r="I342">
        <v>18.752971805148267</v>
      </c>
      <c r="J342">
        <v>386.42015761147843</v>
      </c>
      <c r="K342">
        <v>6.6919318474802942</v>
      </c>
      <c r="L342">
        <v>138.58523977165586</v>
      </c>
      <c r="M342">
        <v>306.03916228069767</v>
      </c>
    </row>
    <row r="343" spans="1:13" x14ac:dyDescent="0.3">
      <c r="A343">
        <v>976</v>
      </c>
      <c r="B343">
        <v>51.975137277064874</v>
      </c>
      <c r="C343">
        <v>66.515800681958027</v>
      </c>
      <c r="D343">
        <v>67.985335813303607</v>
      </c>
      <c r="E343">
        <v>100.70182847431319</v>
      </c>
      <c r="F343">
        <v>38.749321094954617</v>
      </c>
      <c r="G343">
        <v>104.41433827981781</v>
      </c>
      <c r="H343">
        <v>38.981352957798649</v>
      </c>
      <c r="I343">
        <v>18.871924844648554</v>
      </c>
      <c r="J343">
        <v>376.35568153303223</v>
      </c>
      <c r="K343">
        <v>6.7289240224771483</v>
      </c>
      <c r="L343">
        <v>134.19176067813623</v>
      </c>
      <c r="M343">
        <v>298.00625584602818</v>
      </c>
    </row>
    <row r="344" spans="1:13" x14ac:dyDescent="0.3">
      <c r="A344">
        <v>978</v>
      </c>
      <c r="B344">
        <v>52.444425393624329</v>
      </c>
      <c r="C344">
        <v>64.28671499863627</v>
      </c>
      <c r="D344">
        <v>68.439206158835276</v>
      </c>
      <c r="E344">
        <v>92.277581337755421</v>
      </c>
      <c r="F344">
        <v>39.448666021890446</v>
      </c>
      <c r="G344">
        <v>103.58158505163047</v>
      </c>
      <c r="H344">
        <v>38.679686177409145</v>
      </c>
      <c r="I344">
        <v>19.22449611203238</v>
      </c>
      <c r="J344">
        <v>366.6495898486815</v>
      </c>
      <c r="K344">
        <v>6.4594306936428803</v>
      </c>
      <c r="L344">
        <v>130.4958796084758</v>
      </c>
      <c r="M344">
        <v>290.44368726058519</v>
      </c>
    </row>
    <row r="345" spans="1:13" x14ac:dyDescent="0.3">
      <c r="A345">
        <v>980</v>
      </c>
      <c r="B345">
        <v>52.97771001387224</v>
      </c>
      <c r="C345">
        <v>60.698848125562129</v>
      </c>
      <c r="D345">
        <v>68.114198589264305</v>
      </c>
      <c r="E345">
        <v>83.25068716465637</v>
      </c>
      <c r="F345">
        <v>39.217265854424909</v>
      </c>
      <c r="G345">
        <v>102.51530898788263</v>
      </c>
      <c r="H345">
        <v>38.605690558449467</v>
      </c>
      <c r="I345">
        <v>19.188174911229339</v>
      </c>
      <c r="J345">
        <v>356.24260990569212</v>
      </c>
      <c r="K345">
        <v>6.6508813437328786</v>
      </c>
      <c r="L345">
        <v>126.29029861892775</v>
      </c>
      <c r="M345">
        <v>282.31844600466115</v>
      </c>
    </row>
    <row r="346" spans="1:13" x14ac:dyDescent="0.3">
      <c r="A346">
        <v>982</v>
      </c>
      <c r="B346">
        <v>52.149884566387776</v>
      </c>
      <c r="C346">
        <v>55.038653682310134</v>
      </c>
      <c r="D346">
        <v>67.201892065141095</v>
      </c>
      <c r="E346">
        <v>75.716158933122784</v>
      </c>
      <c r="F346">
        <v>37.706038986776001</v>
      </c>
      <c r="G346">
        <v>100.34671665835549</v>
      </c>
      <c r="H346">
        <v>38.23818066602486</v>
      </c>
      <c r="I346">
        <v>19.765262372100324</v>
      </c>
      <c r="J346">
        <v>345.89209151175567</v>
      </c>
      <c r="K346">
        <v>6.6137608706643389</v>
      </c>
      <c r="L346">
        <v>121.93646478788047</v>
      </c>
      <c r="M346">
        <v>274.43306601262373</v>
      </c>
    </row>
    <row r="347" spans="1:13" x14ac:dyDescent="0.3">
      <c r="A347">
        <v>984</v>
      </c>
      <c r="B347">
        <v>52.17230148071917</v>
      </c>
      <c r="C347">
        <v>47.862415706224972</v>
      </c>
      <c r="D347">
        <v>66.387363333436852</v>
      </c>
      <c r="E347">
        <v>69.260620516432979</v>
      </c>
      <c r="F347">
        <v>36.369386974240456</v>
      </c>
      <c r="G347">
        <v>96.632175786027659</v>
      </c>
      <c r="H347">
        <v>37.579179472344094</v>
      </c>
      <c r="I347">
        <v>19.810352156446989</v>
      </c>
      <c r="J347">
        <v>335.49058213036369</v>
      </c>
      <c r="K347">
        <v>6.5782467084385035</v>
      </c>
      <c r="L347">
        <v>117.04742419152647</v>
      </c>
      <c r="M347">
        <v>266.60802176958805</v>
      </c>
    </row>
    <row r="348" spans="1:13" x14ac:dyDescent="0.3">
      <c r="A348">
        <v>986</v>
      </c>
      <c r="B348">
        <v>52.128130008848984</v>
      </c>
      <c r="C348">
        <v>41.296310786231011</v>
      </c>
      <c r="D348">
        <v>65.517462103473974</v>
      </c>
      <c r="E348">
        <v>63.712158899704313</v>
      </c>
      <c r="F348">
        <v>35.052970539860929</v>
      </c>
      <c r="G348">
        <v>91.844800491781527</v>
      </c>
      <c r="H348">
        <v>36.858273743630591</v>
      </c>
      <c r="I348">
        <v>20.23444007558496</v>
      </c>
      <c r="J348">
        <v>325.1050186121866</v>
      </c>
      <c r="K348">
        <v>6.5442241136650239</v>
      </c>
      <c r="L348">
        <v>111.85357766689529</v>
      </c>
      <c r="M348">
        <v>258.91056780729895</v>
      </c>
    </row>
    <row r="349" spans="1:13" x14ac:dyDescent="0.3">
      <c r="A349">
        <v>988</v>
      </c>
      <c r="B349">
        <v>50.892887833820559</v>
      </c>
      <c r="C349">
        <v>36.52313126897711</v>
      </c>
      <c r="D349">
        <v>63.690952274384259</v>
      </c>
      <c r="E349">
        <v>60.323040579499072</v>
      </c>
      <c r="F349">
        <v>33.304904538309046</v>
      </c>
      <c r="G349">
        <v>85.994011942735028</v>
      </c>
      <c r="H349">
        <v>36.597973751085668</v>
      </c>
      <c r="I349">
        <v>20.132627687202543</v>
      </c>
      <c r="J349">
        <v>315.53590456968749</v>
      </c>
      <c r="K349">
        <v>6.3616109792275699</v>
      </c>
      <c r="L349">
        <v>106.80022196891463</v>
      </c>
      <c r="M349">
        <v>251.39589740265188</v>
      </c>
    </row>
    <row r="350" spans="1:13" x14ac:dyDescent="0.3">
      <c r="A350">
        <v>990</v>
      </c>
      <c r="B350">
        <v>50.643359923306924</v>
      </c>
      <c r="C350">
        <v>32.992659479448477</v>
      </c>
      <c r="D350">
        <v>61.5912627302571</v>
      </c>
      <c r="E350">
        <v>56.899304384421313</v>
      </c>
      <c r="F350">
        <v>32.024477598561731</v>
      </c>
      <c r="G350">
        <v>80.880424818693115</v>
      </c>
      <c r="H350">
        <v>35.82272959280975</v>
      </c>
      <c r="I350">
        <v>20.182868440023789</v>
      </c>
      <c r="J350">
        <v>305.42414565512013</v>
      </c>
      <c r="K350">
        <v>6.2559444611143844</v>
      </c>
      <c r="L350">
        <v>102.32937725679957</v>
      </c>
      <c r="M350">
        <v>243.83288292486304</v>
      </c>
    </row>
    <row r="351" spans="1:13" x14ac:dyDescent="0.3">
      <c r="A351">
        <v>992</v>
      </c>
      <c r="B351">
        <v>50.256072895894953</v>
      </c>
      <c r="C351">
        <v>31.650948564228827</v>
      </c>
      <c r="D351">
        <v>60.336937075602499</v>
      </c>
      <c r="E351">
        <v>55.667124992355618</v>
      </c>
      <c r="F351">
        <v>31.057956553657796</v>
      </c>
      <c r="G351">
        <v>77.163085375555525</v>
      </c>
      <c r="H351">
        <v>35.87601663954743</v>
      </c>
      <c r="I351">
        <v>19.791108352808191</v>
      </c>
      <c r="J351">
        <v>295.97713727626632</v>
      </c>
      <c r="K351">
        <v>6.300540112317214</v>
      </c>
      <c r="L351">
        <v>98.65904575875544</v>
      </c>
      <c r="M351">
        <v>236.67793621916312</v>
      </c>
    </row>
    <row r="352" spans="1:13" x14ac:dyDescent="0.3">
      <c r="A352">
        <v>994</v>
      </c>
      <c r="B352">
        <v>50.029723341088022</v>
      </c>
      <c r="C352">
        <v>30.844283711762234</v>
      </c>
      <c r="D352">
        <v>58.294220412182206</v>
      </c>
      <c r="E352">
        <v>54.826083248419465</v>
      </c>
      <c r="F352">
        <v>30.770493559341745</v>
      </c>
      <c r="G352">
        <v>73.937732725324778</v>
      </c>
      <c r="H352">
        <v>36.083384533616581</v>
      </c>
      <c r="I352">
        <v>19.55439039142821</v>
      </c>
      <c r="J352">
        <v>286.30579139147716</v>
      </c>
      <c r="K352">
        <v>6.4197432605820905</v>
      </c>
      <c r="L352">
        <v>95.705827689367496</v>
      </c>
      <c r="M352">
        <v>229.33979372286367</v>
      </c>
    </row>
    <row r="353" spans="1:13" x14ac:dyDescent="0.3">
      <c r="A353">
        <v>996</v>
      </c>
      <c r="B353">
        <v>50.316225535715439</v>
      </c>
      <c r="C353">
        <v>30.1162809775815</v>
      </c>
      <c r="D353">
        <v>57.07402516970933</v>
      </c>
      <c r="E353">
        <v>55.017303541972062</v>
      </c>
      <c r="F353">
        <v>30.189735321429261</v>
      </c>
      <c r="G353">
        <v>72.058711314652328</v>
      </c>
      <c r="H353">
        <v>35.845719797706764</v>
      </c>
      <c r="I353">
        <v>19.245038088113056</v>
      </c>
      <c r="J353">
        <v>277.36360236914084</v>
      </c>
      <c r="K353">
        <v>6.170164883211819</v>
      </c>
      <c r="L353">
        <v>93.213562342807137</v>
      </c>
      <c r="M353">
        <v>222.05248145177777</v>
      </c>
    </row>
    <row r="354" spans="1:13" x14ac:dyDescent="0.3">
      <c r="A354">
        <v>998</v>
      </c>
      <c r="B354">
        <v>49.587015313568784</v>
      </c>
      <c r="C354">
        <v>30.57134572429462</v>
      </c>
      <c r="D354">
        <v>55.218578999623055</v>
      </c>
      <c r="E354">
        <v>54.414069901615306</v>
      </c>
      <c r="F354">
        <v>30.351934152110687</v>
      </c>
      <c r="G354">
        <v>70.650526243226324</v>
      </c>
      <c r="H354">
        <v>36.129772219620911</v>
      </c>
      <c r="I354">
        <v>18.869395207818211</v>
      </c>
      <c r="J354">
        <v>268.77917592531753</v>
      </c>
      <c r="K354">
        <v>6.362935593334047</v>
      </c>
      <c r="L354">
        <v>91.202076837788013</v>
      </c>
      <c r="M354">
        <v>215.24275231243794</v>
      </c>
    </row>
    <row r="355" spans="1:13" x14ac:dyDescent="0.3">
      <c r="A355">
        <v>1000</v>
      </c>
      <c r="B355">
        <v>49.667594855455967</v>
      </c>
      <c r="C355">
        <v>30.878387417468229</v>
      </c>
      <c r="D355">
        <v>53.454566897220943</v>
      </c>
      <c r="E355">
        <v>55.20240014726631</v>
      </c>
      <c r="F355">
        <v>30.368602719538327</v>
      </c>
      <c r="G355">
        <v>69.039413376792169</v>
      </c>
      <c r="H355">
        <v>36.267539938441459</v>
      </c>
      <c r="I355">
        <v>18.497901896313515</v>
      </c>
      <c r="J355">
        <v>259.48041124631908</v>
      </c>
      <c r="K355">
        <v>6.4815483022515856</v>
      </c>
      <c r="L355">
        <v>88.993842981476831</v>
      </c>
      <c r="M355">
        <v>208.28346229707344</v>
      </c>
    </row>
    <row r="356" spans="1:13" x14ac:dyDescent="0.3">
      <c r="A356">
        <v>1002</v>
      </c>
      <c r="B356">
        <v>49.312788067333898</v>
      </c>
      <c r="C356">
        <v>30.675454930120939</v>
      </c>
      <c r="D356">
        <v>51.125758216868242</v>
      </c>
      <c r="E356">
        <v>55.694442993694757</v>
      </c>
      <c r="F356">
        <v>31.473161795916049</v>
      </c>
      <c r="G356">
        <v>68.312715234453719</v>
      </c>
      <c r="H356">
        <v>36.404440602649437</v>
      </c>
      <c r="I356">
        <v>18.49229552525021</v>
      </c>
      <c r="J356">
        <v>250.84254988957053</v>
      </c>
      <c r="K356">
        <v>6.526692538323605</v>
      </c>
      <c r="L356">
        <v>86.659973147741198</v>
      </c>
      <c r="M356">
        <v>201.89235585214348</v>
      </c>
    </row>
    <row r="357" spans="1:13" x14ac:dyDescent="0.3">
      <c r="A357">
        <v>1004</v>
      </c>
      <c r="B357">
        <v>49.393989819105286</v>
      </c>
      <c r="C357">
        <v>30.835136919236778</v>
      </c>
      <c r="D357">
        <v>49.321776383697241</v>
      </c>
      <c r="E357">
        <v>56.254266182869912</v>
      </c>
      <c r="F357">
        <v>32.062765321173607</v>
      </c>
      <c r="G357">
        <v>67.375135235709408</v>
      </c>
      <c r="H357">
        <v>36.612211751880672</v>
      </c>
      <c r="I357">
        <v>18.197785722828261</v>
      </c>
      <c r="J357">
        <v>241.69836831073889</v>
      </c>
      <c r="K357">
        <v>6.3547823159082828</v>
      </c>
      <c r="L357">
        <v>83.623158202520358</v>
      </c>
      <c r="M357">
        <v>195.19291590795552</v>
      </c>
    </row>
    <row r="358" spans="1:13" x14ac:dyDescent="0.3">
      <c r="A358">
        <v>1006</v>
      </c>
      <c r="B358">
        <v>48.908417898501085</v>
      </c>
      <c r="C358">
        <v>31.358926770215408</v>
      </c>
      <c r="D358">
        <v>47.398010875165028</v>
      </c>
      <c r="E358">
        <v>57.035846166928479</v>
      </c>
      <c r="F358">
        <v>32.293940641804397</v>
      </c>
      <c r="G358">
        <v>66.673681458691931</v>
      </c>
      <c r="H358">
        <v>36.825161711812584</v>
      </c>
      <c r="I358">
        <v>18.484504999874677</v>
      </c>
      <c r="J358">
        <v>234.1130886170898</v>
      </c>
      <c r="K358">
        <v>6.5450971011229404</v>
      </c>
      <c r="L358">
        <v>80.123496380779727</v>
      </c>
      <c r="M358">
        <v>188.87280206097626</v>
      </c>
    </row>
    <row r="359" spans="1:13" x14ac:dyDescent="0.3">
      <c r="A359">
        <v>1008</v>
      </c>
      <c r="B359">
        <v>48.516537866212502</v>
      </c>
      <c r="C359">
        <v>31.532166412309454</v>
      </c>
      <c r="D359">
        <v>46.223289399862722</v>
      </c>
      <c r="E359">
        <v>57.546203702464759</v>
      </c>
      <c r="F359">
        <v>32.678790645484341</v>
      </c>
      <c r="G359">
        <v>66.002557422129556</v>
      </c>
      <c r="H359">
        <v>37.050295534463608</v>
      </c>
      <c r="I359">
        <v>18.919299847385673</v>
      </c>
      <c r="J359">
        <v>225.02500576057201</v>
      </c>
      <c r="K359">
        <v>6.378097297035322</v>
      </c>
      <c r="L359">
        <v>75.605535374969264</v>
      </c>
      <c r="M359">
        <v>181.95493300194022</v>
      </c>
    </row>
    <row r="360" spans="1:13" x14ac:dyDescent="0.3">
      <c r="A360">
        <v>1010</v>
      </c>
      <c r="B360">
        <v>48.338563679558995</v>
      </c>
      <c r="C360">
        <v>32.487513255833591</v>
      </c>
      <c r="D360">
        <v>45.625320814236623</v>
      </c>
      <c r="E360">
        <v>58.263320476396068</v>
      </c>
      <c r="F360">
        <v>32.915920024042386</v>
      </c>
      <c r="G360">
        <v>66.188845688258766</v>
      </c>
      <c r="H360">
        <v>37.414191090234731</v>
      </c>
      <c r="I360">
        <v>19.421106825465355</v>
      </c>
      <c r="J360">
        <v>217.13083035382408</v>
      </c>
      <c r="K360">
        <v>6.4261015231319192</v>
      </c>
      <c r="L360">
        <v>71.472529162833908</v>
      </c>
      <c r="M360">
        <v>175.6467749656058</v>
      </c>
    </row>
    <row r="361" spans="1:13" x14ac:dyDescent="0.3">
      <c r="A361">
        <v>1012</v>
      </c>
      <c r="B361">
        <v>47.934607181874647</v>
      </c>
      <c r="C361">
        <v>32.572774613202654</v>
      </c>
      <c r="D361">
        <v>45.018703777635984</v>
      </c>
      <c r="E361">
        <v>58.389187679998642</v>
      </c>
      <c r="F361">
        <v>33.283970565455981</v>
      </c>
      <c r="G361">
        <v>65.501147202531968</v>
      </c>
      <c r="H361">
        <v>37.622265874201318</v>
      </c>
      <c r="I361">
        <v>19.557888686966656</v>
      </c>
      <c r="J361">
        <v>209.23384915293056</v>
      </c>
      <c r="K361">
        <v>6.3296439750546636</v>
      </c>
      <c r="L361">
        <v>67.776974249742636</v>
      </c>
      <c r="M361">
        <v>169.26463663629326</v>
      </c>
    </row>
    <row r="362" spans="1:13" x14ac:dyDescent="0.3">
      <c r="A362">
        <v>1014</v>
      </c>
      <c r="B362">
        <v>47.477778180166887</v>
      </c>
      <c r="C362">
        <v>33.376169437102391</v>
      </c>
      <c r="D362">
        <v>45.210182804397725</v>
      </c>
      <c r="E362">
        <v>59.240929191969428</v>
      </c>
      <c r="F362">
        <v>33.517894148087962</v>
      </c>
      <c r="G362">
        <v>65.264229408856266</v>
      </c>
      <c r="H362">
        <v>37.840497833147936</v>
      </c>
      <c r="I362">
        <v>20.195771315444123</v>
      </c>
      <c r="J362">
        <v>201.39081431049891</v>
      </c>
      <c r="K362">
        <v>6.0233002168868435</v>
      </c>
      <c r="L362">
        <v>64.768192920406761</v>
      </c>
      <c r="M362">
        <v>163.0542799889015</v>
      </c>
    </row>
    <row r="363" spans="1:13" x14ac:dyDescent="0.3">
      <c r="A363">
        <v>1016</v>
      </c>
      <c r="B363">
        <v>47.149173357203196</v>
      </c>
      <c r="C363">
        <v>33.244402172519017</v>
      </c>
      <c r="D363">
        <v>45.031695511819819</v>
      </c>
      <c r="E363">
        <v>59.642292644965117</v>
      </c>
      <c r="F363">
        <v>33.879645526134034</v>
      </c>
      <c r="G363">
        <v>64.794822068731335</v>
      </c>
      <c r="H363">
        <v>38.185183811746896</v>
      </c>
      <c r="I363">
        <v>20.398369910526529</v>
      </c>
      <c r="J363">
        <v>193.53747506804064</v>
      </c>
      <c r="K363">
        <v>6.1406857516117936</v>
      </c>
      <c r="L363">
        <v>62.465596438809619</v>
      </c>
      <c r="M363">
        <v>157.04627353260045</v>
      </c>
    </row>
    <row r="364" spans="1:13" x14ac:dyDescent="0.3">
      <c r="A364">
        <v>1018</v>
      </c>
      <c r="B364">
        <v>47.218398461502638</v>
      </c>
      <c r="C364">
        <v>33.70732170351679</v>
      </c>
      <c r="D364">
        <v>45.177662909515192</v>
      </c>
      <c r="E364">
        <v>60.236883879353584</v>
      </c>
      <c r="F364">
        <v>33.988802469308155</v>
      </c>
      <c r="G364">
        <v>63.755393451745739</v>
      </c>
      <c r="H364">
        <v>38.63323510486579</v>
      </c>
      <c r="I364">
        <v>21.040687242905051</v>
      </c>
      <c r="J364">
        <v>185.63656503940979</v>
      </c>
      <c r="K364">
        <v>6.192576847410181</v>
      </c>
      <c r="L364">
        <v>60.447994453697113</v>
      </c>
      <c r="M364">
        <v>150.87369046417533</v>
      </c>
    </row>
    <row r="365" spans="1:13" x14ac:dyDescent="0.3">
      <c r="A365">
        <v>1020</v>
      </c>
      <c r="B365">
        <v>46.6040859690712</v>
      </c>
      <c r="C365">
        <v>33.970448206371174</v>
      </c>
      <c r="D365">
        <v>45.27053531634175</v>
      </c>
      <c r="E365">
        <v>59.93959249636567</v>
      </c>
      <c r="F365">
        <v>34.321382588668399</v>
      </c>
      <c r="G365">
        <v>63.168188813500116</v>
      </c>
      <c r="H365">
        <v>38.81334268207285</v>
      </c>
      <c r="I365">
        <v>21.336810443671151</v>
      </c>
      <c r="J365">
        <v>177.71317119531366</v>
      </c>
      <c r="K365">
        <v>6.1062582519716777</v>
      </c>
      <c r="L365">
        <v>58.74641559655511</v>
      </c>
      <c r="M365">
        <v>144.72533925937472</v>
      </c>
    </row>
    <row r="366" spans="1:13" x14ac:dyDescent="0.3">
      <c r="A366">
        <v>1022</v>
      </c>
      <c r="B366">
        <v>45.991682205938211</v>
      </c>
      <c r="C366">
        <v>34.721269975868111</v>
      </c>
      <c r="D366">
        <v>45.36165916202124</v>
      </c>
      <c r="E366">
        <v>60.132199413852234</v>
      </c>
      <c r="F366">
        <v>34.511262294562464</v>
      </c>
      <c r="G366">
        <v>61.952265985167898</v>
      </c>
      <c r="H366">
        <v>39.131431283286844</v>
      </c>
      <c r="I366">
        <v>21.910801416223222</v>
      </c>
      <c r="J366">
        <v>170.2462269784501</v>
      </c>
      <c r="K366">
        <v>6.0902227578639634</v>
      </c>
      <c r="L366">
        <v>57.262094436008297</v>
      </c>
      <c r="M366">
        <v>138.74507478260202</v>
      </c>
    </row>
    <row r="367" spans="1:13" x14ac:dyDescent="0.3">
      <c r="A367">
        <v>1024</v>
      </c>
      <c r="B367">
        <v>45.38705412724277</v>
      </c>
      <c r="C367">
        <v>34.424334899585673</v>
      </c>
      <c r="D367">
        <v>45.66635907571812</v>
      </c>
      <c r="E367">
        <v>59.42212778812862</v>
      </c>
      <c r="F367">
        <v>34.773466085179848</v>
      </c>
      <c r="G367">
        <v>59.910911447960459</v>
      </c>
      <c r="H367">
        <v>39.17251902366646</v>
      </c>
      <c r="I367">
        <v>22.065090929551872</v>
      </c>
      <c r="J367">
        <v>162.69513248688565</v>
      </c>
      <c r="K367">
        <v>6.0748826293386484</v>
      </c>
      <c r="L367">
        <v>55.651510983711525</v>
      </c>
      <c r="M367">
        <v>132.87932923714308</v>
      </c>
    </row>
    <row r="368" spans="1:13" x14ac:dyDescent="0.3">
      <c r="A368">
        <v>1026</v>
      </c>
      <c r="B368">
        <v>44.889723169425586</v>
      </c>
      <c r="C368">
        <v>34.364337767898782</v>
      </c>
      <c r="D368">
        <v>45.656473099338143</v>
      </c>
      <c r="E368">
        <v>58.06388105610484</v>
      </c>
      <c r="F368">
        <v>34.224928689732863</v>
      </c>
      <c r="G368">
        <v>57.297131126192284</v>
      </c>
      <c r="H368">
        <v>39.313360042788872</v>
      </c>
      <c r="I368">
        <v>22.514566123795753</v>
      </c>
      <c r="J368">
        <v>155.16230399866669</v>
      </c>
      <c r="K368">
        <v>5.9945903611344731</v>
      </c>
      <c r="L368">
        <v>53.811904172044336</v>
      </c>
      <c r="M368">
        <v>127.00167020915127</v>
      </c>
    </row>
    <row r="369" spans="1:13" x14ac:dyDescent="0.3">
      <c r="A369">
        <v>1028</v>
      </c>
      <c r="B369">
        <v>43.851602985888213</v>
      </c>
      <c r="C369">
        <v>34.037196603332276</v>
      </c>
      <c r="D369">
        <v>44.965294490291726</v>
      </c>
      <c r="E369">
        <v>55.754180939200729</v>
      </c>
      <c r="F369">
        <v>34.106802322357503</v>
      </c>
      <c r="G369">
        <v>53.666009368444143</v>
      </c>
      <c r="H369">
        <v>38.631174058996756</v>
      </c>
      <c r="I369">
        <v>22.69146440222152</v>
      </c>
      <c r="J369">
        <v>147.63373005249031</v>
      </c>
      <c r="K369">
        <v>5.8468803981184285</v>
      </c>
      <c r="L369">
        <v>51.647443516712784</v>
      </c>
      <c r="M369">
        <v>121.11395110388173</v>
      </c>
    </row>
    <row r="370" spans="1:13" x14ac:dyDescent="0.3">
      <c r="A370">
        <v>1030</v>
      </c>
      <c r="B370">
        <v>42.669713363880803</v>
      </c>
      <c r="C370">
        <v>33.99700739561235</v>
      </c>
      <c r="D370">
        <v>45.167452682742116</v>
      </c>
      <c r="E370">
        <v>52.591288991579916</v>
      </c>
      <c r="F370">
        <v>33.650099156881609</v>
      </c>
      <c r="G370">
        <v>50.371076263703195</v>
      </c>
      <c r="H370">
        <v>37.812998021650472</v>
      </c>
      <c r="I370">
        <v>23.034707051721021</v>
      </c>
      <c r="J370">
        <v>140.77536327693358</v>
      </c>
      <c r="K370">
        <v>5.689295115184108</v>
      </c>
      <c r="L370">
        <v>49.191588252018683</v>
      </c>
      <c r="M370">
        <v>115.58982514508199</v>
      </c>
    </row>
    <row r="371" spans="1:13" x14ac:dyDescent="0.3">
      <c r="A371">
        <v>1032</v>
      </c>
      <c r="B371">
        <v>41.870676603391793</v>
      </c>
      <c r="C371">
        <v>33.565749012636395</v>
      </c>
      <c r="D371">
        <v>44.708193530233217</v>
      </c>
      <c r="E371">
        <v>49.414319164994609</v>
      </c>
      <c r="F371">
        <v>33.358125822867514</v>
      </c>
      <c r="G371">
        <v>46.507594508230227</v>
      </c>
      <c r="H371">
        <v>36.264850479631903</v>
      </c>
      <c r="I371">
        <v>23.046174064346225</v>
      </c>
      <c r="J371">
        <v>133.70933421116189</v>
      </c>
      <c r="K371">
        <v>5.5366183938369318</v>
      </c>
      <c r="L371">
        <v>46.438386778307262</v>
      </c>
      <c r="M371">
        <v>109.90187511766308</v>
      </c>
    </row>
    <row r="372" spans="1:13" x14ac:dyDescent="0.3">
      <c r="A372">
        <v>1034</v>
      </c>
      <c r="B372">
        <v>41.326775539361577</v>
      </c>
      <c r="C372">
        <v>32.564671209647187</v>
      </c>
      <c r="D372">
        <v>44.431458175874546</v>
      </c>
      <c r="E372">
        <v>46.639232495172664</v>
      </c>
      <c r="F372">
        <v>32.633664157125253</v>
      </c>
      <c r="G372">
        <v>43.672535753615819</v>
      </c>
      <c r="H372">
        <v>34.772445528945298</v>
      </c>
      <c r="I372">
        <v>22.905658562717935</v>
      </c>
      <c r="J372">
        <v>127.08500925459771</v>
      </c>
      <c r="K372">
        <v>5.3814499032891536</v>
      </c>
      <c r="L372">
        <v>43.741528701093884</v>
      </c>
      <c r="M372">
        <v>104.45532248179204</v>
      </c>
    </row>
    <row r="373" spans="1:13" x14ac:dyDescent="0.3">
      <c r="A373">
        <v>1036</v>
      </c>
      <c r="B373">
        <v>40.753448599602208</v>
      </c>
      <c r="C373">
        <v>32.561454708803794</v>
      </c>
      <c r="D373">
        <v>44.057782269840224</v>
      </c>
      <c r="E373">
        <v>44.264303124230103</v>
      </c>
      <c r="F373">
        <v>32.217253284820671</v>
      </c>
      <c r="G373">
        <v>41.92373344114484</v>
      </c>
      <c r="H373">
        <v>33.112176987176795</v>
      </c>
      <c r="I373">
        <v>23.130335691666119</v>
      </c>
      <c r="J373">
        <v>120.47049839409436</v>
      </c>
      <c r="K373">
        <v>5.2318616445435273</v>
      </c>
      <c r="L373">
        <v>41.30417087797521</v>
      </c>
      <c r="M373">
        <v>99.061169822343885</v>
      </c>
    </row>
    <row r="374" spans="1:13" x14ac:dyDescent="0.3">
      <c r="A374">
        <v>1038</v>
      </c>
      <c r="B374">
        <v>40.199310667531222</v>
      </c>
      <c r="C374">
        <v>32.035969422759521</v>
      </c>
      <c r="D374">
        <v>43.972283511753439</v>
      </c>
      <c r="E374">
        <v>42.600293386581718</v>
      </c>
      <c r="F374">
        <v>31.418573866432251</v>
      </c>
      <c r="G374">
        <v>39.513315604945362</v>
      </c>
      <c r="H374">
        <v>31.83017090398377</v>
      </c>
      <c r="I374">
        <v>22.912235090367624</v>
      </c>
      <c r="J374">
        <v>114.08097890802803</v>
      </c>
      <c r="K374">
        <v>5.0077639568767562</v>
      </c>
      <c r="L374">
        <v>39.238917579911025</v>
      </c>
      <c r="M374">
        <v>93.981323574262404</v>
      </c>
    </row>
    <row r="375" spans="1:13" x14ac:dyDescent="0.3">
      <c r="A375">
        <v>1040</v>
      </c>
      <c r="B375">
        <v>39.585416469385237</v>
      </c>
      <c r="C375">
        <v>31.572451543921442</v>
      </c>
      <c r="D375">
        <v>43.694629251674357</v>
      </c>
      <c r="E375">
        <v>41.503049101120155</v>
      </c>
      <c r="F375">
        <v>30.887582746873253</v>
      </c>
      <c r="G375">
        <v>39.037521431746683</v>
      </c>
      <c r="H375">
        <v>30.545148348349159</v>
      </c>
      <c r="I375">
        <v>23.148565340228735</v>
      </c>
      <c r="J375">
        <v>107.72986177567988</v>
      </c>
      <c r="K375">
        <v>4.862568459042131</v>
      </c>
      <c r="L375">
        <v>37.462323198535856</v>
      </c>
      <c r="M375">
        <v>88.895969856854734</v>
      </c>
    </row>
    <row r="376" spans="1:13" x14ac:dyDescent="0.3">
      <c r="A376">
        <v>1042</v>
      </c>
      <c r="B376">
        <v>39.22170494517556</v>
      </c>
      <c r="C376">
        <v>31.144634816849702</v>
      </c>
      <c r="D376">
        <v>43.397139503038929</v>
      </c>
      <c r="E376">
        <v>40.590699882179941</v>
      </c>
      <c r="F376">
        <v>31.076185069999482</v>
      </c>
      <c r="G376">
        <v>37.784260261320959</v>
      </c>
      <c r="H376">
        <v>29.501840892444442</v>
      </c>
      <c r="I376">
        <v>23.272913929074502</v>
      </c>
      <c r="J376">
        <v>101.78477356627585</v>
      </c>
      <c r="K376">
        <v>4.5176832921144623</v>
      </c>
      <c r="L376">
        <v>36.004566843215258</v>
      </c>
      <c r="M376">
        <v>84.124738878919302</v>
      </c>
    </row>
    <row r="377" spans="1:13" x14ac:dyDescent="0.3">
      <c r="A377">
        <v>1044</v>
      </c>
      <c r="B377">
        <v>38.719473728688769</v>
      </c>
      <c r="C377">
        <v>30.661452741060415</v>
      </c>
      <c r="D377">
        <v>42.885060849411893</v>
      </c>
      <c r="E377">
        <v>39.743798430505933</v>
      </c>
      <c r="F377">
        <v>30.524876114151461</v>
      </c>
      <c r="G377">
        <v>37.695149026871604</v>
      </c>
      <c r="H377">
        <v>28.407938397062654</v>
      </c>
      <c r="I377">
        <v>23.218026574522366</v>
      </c>
      <c r="J377">
        <v>96.354810284267813</v>
      </c>
      <c r="K377">
        <v>4.5070286879955184</v>
      </c>
      <c r="L377">
        <v>34.690463234874592</v>
      </c>
      <c r="M377">
        <v>79.692461801375288</v>
      </c>
    </row>
    <row r="378" spans="1:13" x14ac:dyDescent="0.3">
      <c r="A378">
        <v>1046</v>
      </c>
      <c r="B378">
        <v>38.530022320869108</v>
      </c>
      <c r="C378">
        <v>30.21026528875224</v>
      </c>
      <c r="D378">
        <v>42.621706107156093</v>
      </c>
      <c r="E378">
        <v>38.80280123995491</v>
      </c>
      <c r="F378">
        <v>30.21026528875224</v>
      </c>
      <c r="G378">
        <v>36.825154076582862</v>
      </c>
      <c r="H378">
        <v>27.346086638351348</v>
      </c>
      <c r="I378">
        <v>23.186208122292914</v>
      </c>
      <c r="J378">
        <v>90.903574785342514</v>
      </c>
      <c r="K378">
        <v>4.2962679756013342</v>
      </c>
      <c r="L378">
        <v>33.551807047553275</v>
      </c>
      <c r="M378">
        <v>75.35517639745197</v>
      </c>
    </row>
    <row r="379" spans="1:13" x14ac:dyDescent="0.3">
      <c r="A379">
        <v>1048</v>
      </c>
      <c r="B379">
        <v>37.812210984546155</v>
      </c>
      <c r="C379">
        <v>29.758346551014665</v>
      </c>
      <c r="D379">
        <v>42.316914820250211</v>
      </c>
      <c r="E379">
        <v>38.289982603484468</v>
      </c>
      <c r="F379">
        <v>29.894852727854179</v>
      </c>
      <c r="G379">
        <v>36.44714921615099</v>
      </c>
      <c r="H379">
        <v>26.891716837384809</v>
      </c>
      <c r="I379">
        <v>22.79653153219931</v>
      </c>
      <c r="J379">
        <v>85.657625966796786</v>
      </c>
      <c r="K379">
        <v>4.2999445704447794</v>
      </c>
      <c r="L379">
        <v>32.351963910965488</v>
      </c>
      <c r="M379">
        <v>71.119718133388261</v>
      </c>
    </row>
    <row r="380" spans="1:13" x14ac:dyDescent="0.3">
      <c r="A380">
        <v>1050</v>
      </c>
      <c r="B380">
        <v>37.13830542331921</v>
      </c>
      <c r="C380">
        <v>29.029207541897218</v>
      </c>
      <c r="D380">
        <v>41.567644602247185</v>
      </c>
      <c r="E380">
        <v>37.547167501374098</v>
      </c>
      <c r="F380">
        <v>29.369925940276293</v>
      </c>
      <c r="G380">
        <v>36.38872494688524</v>
      </c>
      <c r="H380">
        <v>26.167172995512981</v>
      </c>
      <c r="I380">
        <v>22.759989011722229</v>
      </c>
      <c r="J380">
        <v>80.682116736165028</v>
      </c>
      <c r="K380">
        <v>4.0204771008730882</v>
      </c>
      <c r="L380">
        <v>31.209805291523299</v>
      </c>
      <c r="M380">
        <v>67.121524480677834</v>
      </c>
    </row>
    <row r="381" spans="1:13" x14ac:dyDescent="0.3">
      <c r="A381">
        <v>1052</v>
      </c>
      <c r="B381">
        <v>36.519919700914002</v>
      </c>
      <c r="C381">
        <v>28.238450921152836</v>
      </c>
      <c r="D381">
        <v>40.728534982431974</v>
      </c>
      <c r="E381">
        <v>37.334490400562643</v>
      </c>
      <c r="F381">
        <v>28.645736270977157</v>
      </c>
      <c r="G381">
        <v>34.61925473506718</v>
      </c>
      <c r="H381">
        <v>25.523215255657373</v>
      </c>
      <c r="I381">
        <v>22.468575131974976</v>
      </c>
      <c r="J381">
        <v>75.822955958960861</v>
      </c>
      <c r="K381">
        <v>3.8692108233310378</v>
      </c>
      <c r="L381">
        <v>29.867592320450115</v>
      </c>
      <c r="M381">
        <v>63.129229222769567</v>
      </c>
    </row>
    <row r="382" spans="1:13" x14ac:dyDescent="0.3">
      <c r="A382">
        <v>1054</v>
      </c>
      <c r="B382">
        <v>35.816819096608725</v>
      </c>
      <c r="C382">
        <v>27.369456102125536</v>
      </c>
      <c r="D382">
        <v>39.871553333960655</v>
      </c>
      <c r="E382">
        <v>36.492608136167384</v>
      </c>
      <c r="F382">
        <v>28.045245141684191</v>
      </c>
      <c r="G382">
        <v>34.05976759375622</v>
      </c>
      <c r="H382">
        <v>24.869036655758514</v>
      </c>
      <c r="I382">
        <v>21.89556488170043</v>
      </c>
      <c r="J382">
        <v>71.160585865526386</v>
      </c>
      <c r="K382">
        <v>3.5141030057050071</v>
      </c>
      <c r="L382">
        <v>28.315560757507654</v>
      </c>
      <c r="M382">
        <v>59.401856577205791</v>
      </c>
    </row>
    <row r="383" spans="1:13" x14ac:dyDescent="0.3">
      <c r="A383">
        <v>1056</v>
      </c>
      <c r="B383">
        <v>34.934346899820547</v>
      </c>
      <c r="C383">
        <v>26.976329652371081</v>
      </c>
      <c r="D383">
        <v>38.778473875283424</v>
      </c>
      <c r="E383">
        <v>36.013400085915393</v>
      </c>
      <c r="F383">
        <v>27.313533773025718</v>
      </c>
      <c r="G383">
        <v>33.787852889594774</v>
      </c>
      <c r="H383">
        <v>24.346137511264896</v>
      </c>
      <c r="I383">
        <v>21.446182073635008</v>
      </c>
      <c r="J383">
        <v>66.833856713749356</v>
      </c>
      <c r="K383">
        <v>3.4394820306773122</v>
      </c>
      <c r="L383">
        <v>26.706566355847368</v>
      </c>
      <c r="M383">
        <v>55.706120732146282</v>
      </c>
    </row>
    <row r="384" spans="1:13" x14ac:dyDescent="0.3">
      <c r="A384">
        <v>1058</v>
      </c>
      <c r="B384">
        <v>34.224029546911666</v>
      </c>
      <c r="C384">
        <v>26.274353392314072</v>
      </c>
      <c r="D384">
        <v>37.727276665886876</v>
      </c>
      <c r="E384">
        <v>35.032471189752101</v>
      </c>
      <c r="F384">
        <v>26.67857421373429</v>
      </c>
      <c r="G384">
        <v>33.146107356457755</v>
      </c>
      <c r="H384">
        <v>23.646918053082668</v>
      </c>
      <c r="I384">
        <v>21.086852850754632</v>
      </c>
      <c r="J384">
        <v>62.788967593940306</v>
      </c>
      <c r="K384">
        <v>3.1663964344583628</v>
      </c>
      <c r="L384">
        <v>24.926950654246685</v>
      </c>
      <c r="M384">
        <v>52.34659637391804</v>
      </c>
    </row>
    <row r="385" spans="1:13" x14ac:dyDescent="0.3">
      <c r="A385">
        <v>1060</v>
      </c>
      <c r="B385">
        <v>33.668401513435242</v>
      </c>
      <c r="C385">
        <v>25.674696526341965</v>
      </c>
      <c r="D385">
        <v>36.649105067944603</v>
      </c>
      <c r="E385">
        <v>34.345834139460095</v>
      </c>
      <c r="F385">
        <v>25.335980213329538</v>
      </c>
      <c r="G385">
        <v>32.313536261385536</v>
      </c>
      <c r="H385">
        <v>23.235939072652492</v>
      </c>
      <c r="I385">
        <v>20.390722043348106</v>
      </c>
      <c r="J385">
        <v>58.936638464162293</v>
      </c>
      <c r="K385">
        <v>2.9807035545093576</v>
      </c>
      <c r="L385">
        <v>23.235939072652492</v>
      </c>
      <c r="M385">
        <v>49.181608649404403</v>
      </c>
    </row>
    <row r="386" spans="1:13" x14ac:dyDescent="0.3">
      <c r="A386">
        <v>1062</v>
      </c>
      <c r="B386">
        <v>32.929630757637391</v>
      </c>
      <c r="C386">
        <v>24.868019908257285</v>
      </c>
      <c r="D386">
        <v>35.11583031001166</v>
      </c>
      <c r="E386">
        <v>33.612818117754351</v>
      </c>
      <c r="F386">
        <v>25.141294852304064</v>
      </c>
      <c r="G386">
        <v>31.768212245438562</v>
      </c>
      <c r="H386">
        <v>23.228370243976585</v>
      </c>
      <c r="I386">
        <v>19.812433443391793</v>
      </c>
      <c r="J386">
        <v>55.406494905485317</v>
      </c>
      <c r="K386">
        <v>2.5961119684444416</v>
      </c>
      <c r="L386">
        <v>21.657039315707582</v>
      </c>
      <c r="M386">
        <v>46.320103015929782</v>
      </c>
    </row>
    <row r="387" spans="1:13" x14ac:dyDescent="0.3">
      <c r="A387">
        <v>1064</v>
      </c>
      <c r="B387">
        <v>32.150712961621615</v>
      </c>
      <c r="C387">
        <v>24.147237607345595</v>
      </c>
      <c r="D387">
        <v>33.997668812608381</v>
      </c>
      <c r="E387">
        <v>32.629553367432997</v>
      </c>
      <c r="F387">
        <v>24.489266468639443</v>
      </c>
      <c r="G387">
        <v>31.193032149998842</v>
      </c>
      <c r="H387">
        <v>22.847527934428975</v>
      </c>
      <c r="I387">
        <v>19.222022004714198</v>
      </c>
      <c r="J387">
        <v>52.193604233441043</v>
      </c>
      <c r="K387">
        <v>2.6678251180920065</v>
      </c>
      <c r="L387">
        <v>20.316514360854509</v>
      </c>
      <c r="M387">
        <v>43.71128847335364</v>
      </c>
    </row>
    <row r="388" spans="1:13" x14ac:dyDescent="0.3">
      <c r="A388">
        <v>1066</v>
      </c>
      <c r="B388">
        <v>31.498882843835155</v>
      </c>
      <c r="C388">
        <v>23.180996032259635</v>
      </c>
      <c r="D388">
        <v>33.135188446112302</v>
      </c>
      <c r="E388">
        <v>31.907959244404442</v>
      </c>
      <c r="F388">
        <v>23.453713632639161</v>
      </c>
      <c r="G388">
        <v>30.476191842411932</v>
      </c>
      <c r="H388">
        <v>22.362843231121058</v>
      </c>
      <c r="I388">
        <v>18.544796825807708</v>
      </c>
      <c r="J388">
        <v>49.225526868504289</v>
      </c>
      <c r="K388">
        <v>2.454458403415726</v>
      </c>
      <c r="L388">
        <v>19.09023202656676</v>
      </c>
      <c r="M388">
        <v>41.31671645749806</v>
      </c>
    </row>
    <row r="389" spans="1:13" x14ac:dyDescent="0.3">
      <c r="A389">
        <v>1068</v>
      </c>
      <c r="B389">
        <v>30.842863514653786</v>
      </c>
      <c r="C389">
        <v>23.166115547350092</v>
      </c>
      <c r="D389">
        <v>32.065708323604817</v>
      </c>
      <c r="E389">
        <v>31.590157564568305</v>
      </c>
      <c r="F389">
        <v>22.894372256472082</v>
      </c>
      <c r="G389">
        <v>30.774927691934284</v>
      </c>
      <c r="H389">
        <v>22.350885674716071</v>
      </c>
      <c r="I389">
        <v>18.002993020667958</v>
      </c>
      <c r="J389">
        <v>46.468102740139187</v>
      </c>
      <c r="K389">
        <v>2.1060105043045536</v>
      </c>
      <c r="L389">
        <v>18.07092884338746</v>
      </c>
      <c r="M389">
        <v>39.131033886433002</v>
      </c>
    </row>
    <row r="390" spans="1:13" x14ac:dyDescent="0.3">
      <c r="A390">
        <v>1070</v>
      </c>
      <c r="B390">
        <v>30.20614216458727</v>
      </c>
      <c r="C390">
        <v>22.214382578440862</v>
      </c>
      <c r="D390">
        <v>31.086590254586447</v>
      </c>
      <c r="E390">
        <v>30.20614216458727</v>
      </c>
      <c r="F390">
        <v>22.756196787671129</v>
      </c>
      <c r="G390">
        <v>30.070688612279703</v>
      </c>
      <c r="H390">
        <v>21.943475473825728</v>
      </c>
      <c r="I390">
        <v>17.338054695368477</v>
      </c>
      <c r="J390">
        <v>44.090131276112807</v>
      </c>
      <c r="K390">
        <v>2.0995300607672767</v>
      </c>
      <c r="L390">
        <v>17.20260114306091</v>
      </c>
      <c r="M390">
        <v>37.11427333227315</v>
      </c>
    </row>
    <row r="391" spans="1:13" x14ac:dyDescent="0.3">
      <c r="A391">
        <v>1072</v>
      </c>
      <c r="B391">
        <v>29.141138594195887</v>
      </c>
      <c r="C391">
        <v>21.838950733005273</v>
      </c>
      <c r="D391">
        <v>30.020105651561426</v>
      </c>
      <c r="E391">
        <v>29.276364295329049</v>
      </c>
      <c r="F391">
        <v>21.703725031872111</v>
      </c>
      <c r="G391">
        <v>28.80307434136299</v>
      </c>
      <c r="H391">
        <v>21.365660779039214</v>
      </c>
      <c r="I391">
        <v>16.767986940511786</v>
      </c>
      <c r="J391">
        <v>41.852354500712885</v>
      </c>
      <c r="K391">
        <v>1.9607726664308136</v>
      </c>
      <c r="L391">
        <v>16.36230983711231</v>
      </c>
      <c r="M391">
        <v>35.158682294621492</v>
      </c>
    </row>
    <row r="392" spans="1:13" x14ac:dyDescent="0.3">
      <c r="A392">
        <v>1074</v>
      </c>
      <c r="B392">
        <v>26.982880774244684</v>
      </c>
      <c r="C392">
        <v>21.167021760247081</v>
      </c>
      <c r="D392">
        <v>28.741163731964889</v>
      </c>
      <c r="E392">
        <v>28.200153591127904</v>
      </c>
      <c r="F392">
        <v>21.505153098270199</v>
      </c>
      <c r="G392">
        <v>28.200153591127904</v>
      </c>
      <c r="H392">
        <v>20.558385351805473</v>
      </c>
      <c r="I392">
        <v>16.027425422295714</v>
      </c>
      <c r="J392">
        <v>39.493740281099988</v>
      </c>
      <c r="K392">
        <v>1.7582829577202048</v>
      </c>
      <c r="L392">
        <v>15.486415281458727</v>
      </c>
      <c r="M392">
        <v>33.272123661474652</v>
      </c>
    </row>
    <row r="393" spans="1:13" x14ac:dyDescent="0.3">
      <c r="A393">
        <v>1076</v>
      </c>
      <c r="B393">
        <v>25.625952876486792</v>
      </c>
      <c r="C393">
        <v>20.284395416744161</v>
      </c>
      <c r="D393">
        <v>27.992465675106942</v>
      </c>
      <c r="E393">
        <v>26.504943344545705</v>
      </c>
      <c r="F393">
        <v>20.690083325079044</v>
      </c>
      <c r="G393">
        <v>27.586777766772059</v>
      </c>
      <c r="H393">
        <v>19.878707508409278</v>
      </c>
      <c r="I393">
        <v>15.551369819503858</v>
      </c>
      <c r="J393">
        <v>37.526131520976698</v>
      </c>
      <c r="K393">
        <v>1.3522930277829439</v>
      </c>
      <c r="L393">
        <v>14.739994002834091</v>
      </c>
      <c r="M393">
        <v>31.778886152899187</v>
      </c>
    </row>
    <row r="394" spans="1:13" x14ac:dyDescent="0.3">
      <c r="A394">
        <v>1078</v>
      </c>
      <c r="B394">
        <v>24.664817859310567</v>
      </c>
      <c r="C394">
        <v>19.989344144221477</v>
      </c>
      <c r="D394">
        <v>26.968674472542872</v>
      </c>
      <c r="E394">
        <v>25.071380791057447</v>
      </c>
      <c r="F394">
        <v>20.395907075968353</v>
      </c>
      <c r="G394">
        <v>26.426590563547038</v>
      </c>
      <c r="H394">
        <v>18.634134371731886</v>
      </c>
      <c r="I394">
        <v>15.042828474634469</v>
      </c>
      <c r="J394">
        <v>35.64201701647626</v>
      </c>
      <c r="K394">
        <v>1.4907307497385509</v>
      </c>
      <c r="L394">
        <v>13.890900168018312</v>
      </c>
      <c r="M394">
        <v>30.288938415142372</v>
      </c>
    </row>
    <row r="395" spans="1:13" x14ac:dyDescent="0.3">
      <c r="A395">
        <v>1080</v>
      </c>
      <c r="B395">
        <v>23.499167304856901</v>
      </c>
      <c r="C395">
        <v>19.288333857165782</v>
      </c>
      <c r="D395">
        <v>25.808334034235905</v>
      </c>
      <c r="E395">
        <v>23.499167304856901</v>
      </c>
      <c r="F395">
        <v>19.627917199721516</v>
      </c>
      <c r="G395">
        <v>25.672500697213611</v>
      </c>
      <c r="H395">
        <v>17.386667138853664</v>
      </c>
      <c r="I395">
        <v>14.398333724363189</v>
      </c>
      <c r="J395">
        <v>33.958334255573561</v>
      </c>
      <c r="K395">
        <v>1.3583333702229423</v>
      </c>
      <c r="L395">
        <v>13.107917022651394</v>
      </c>
      <c r="M395">
        <v>28.796667448726378</v>
      </c>
    </row>
    <row r="396" spans="1:13" x14ac:dyDescent="0.3">
      <c r="A396">
        <v>1082</v>
      </c>
      <c r="B396">
        <v>22.126469070124077</v>
      </c>
      <c r="C396">
        <v>18.597093635625757</v>
      </c>
      <c r="D396">
        <v>25.384354086584064</v>
      </c>
      <c r="E396">
        <v>21.990723861104907</v>
      </c>
      <c r="F396">
        <v>18.936456658173672</v>
      </c>
      <c r="G396">
        <v>25.044991064036147</v>
      </c>
      <c r="H396">
        <v>15.950062059752018</v>
      </c>
      <c r="I396">
        <v>14.117501737993276</v>
      </c>
      <c r="J396">
        <v>32.307359746561538</v>
      </c>
      <c r="K396">
        <v>1.0859616721533289</v>
      </c>
      <c r="L396">
        <v>12.284941416234533</v>
      </c>
      <c r="M396">
        <v>27.420532221871554</v>
      </c>
    </row>
    <row r="397" spans="1:13" x14ac:dyDescent="0.3">
      <c r="A397">
        <v>1084</v>
      </c>
      <c r="B397">
        <v>21.640345913566257</v>
      </c>
      <c r="C397">
        <v>18.237775801370301</v>
      </c>
      <c r="D397">
        <v>24.974864623518286</v>
      </c>
      <c r="E397">
        <v>20.687626282151388</v>
      </c>
      <c r="F397">
        <v>18.714135617077737</v>
      </c>
      <c r="G397">
        <v>24.294350601079095</v>
      </c>
      <c r="H397">
        <v>14.563000080198675</v>
      </c>
      <c r="I397">
        <v>13.814434655515566</v>
      </c>
      <c r="J397">
        <v>30.827285216495326</v>
      </c>
      <c r="K397">
        <v>0.88466822917094756</v>
      </c>
      <c r="L397">
        <v>11.500686979222317</v>
      </c>
      <c r="M397">
        <v>26.063687059420989</v>
      </c>
    </row>
    <row r="398" spans="1:13" x14ac:dyDescent="0.3">
      <c r="A398">
        <v>1086</v>
      </c>
      <c r="B398">
        <v>20.316314558139091</v>
      </c>
      <c r="C398">
        <v>17.861994678632357</v>
      </c>
      <c r="D398">
        <v>24.611374347275877</v>
      </c>
      <c r="E398">
        <v>19.975436797096489</v>
      </c>
      <c r="F398">
        <v>18.134696887466436</v>
      </c>
      <c r="G398">
        <v>23.725092168565116</v>
      </c>
      <c r="H398">
        <v>13.294232680661487</v>
      </c>
      <c r="I398">
        <v>13.294232680661487</v>
      </c>
      <c r="J398">
        <v>29.110960793038227</v>
      </c>
      <c r="K398">
        <v>0.95445773091928621</v>
      </c>
      <c r="L398">
        <v>10.908088353363272</v>
      </c>
      <c r="M398">
        <v>24.6795498994844</v>
      </c>
    </row>
    <row r="399" spans="1:13" x14ac:dyDescent="0.3">
      <c r="A399">
        <v>1088</v>
      </c>
      <c r="B399">
        <v>19.749779611763159</v>
      </c>
      <c r="C399">
        <v>17.16187745573902</v>
      </c>
      <c r="D399">
        <v>24.176454352330762</v>
      </c>
      <c r="E399">
        <v>19.273060793548186</v>
      </c>
      <c r="F399">
        <v>17.570493585637568</v>
      </c>
      <c r="G399">
        <v>23.495427469166515</v>
      </c>
      <c r="H399">
        <v>12.394689273589293</v>
      </c>
      <c r="I399">
        <v>13.007613468437116</v>
      </c>
      <c r="J399">
        <v>27.649691456468421</v>
      </c>
      <c r="K399">
        <v>0.9534376364299455</v>
      </c>
      <c r="L399">
        <v>10.283505935780127</v>
      </c>
      <c r="M399">
        <v>23.563530157482941</v>
      </c>
    </row>
    <row r="400" spans="1:13" x14ac:dyDescent="0.3">
      <c r="A400">
        <v>1090</v>
      </c>
      <c r="B400">
        <v>19.254539070046771</v>
      </c>
      <c r="C400">
        <v>17.137905342488441</v>
      </c>
      <c r="D400">
        <v>23.897477569206988</v>
      </c>
      <c r="E400">
        <v>19.254539070046771</v>
      </c>
      <c r="F400">
        <v>17.411019371850806</v>
      </c>
      <c r="G400">
        <v>22.94157846643871</v>
      </c>
      <c r="H400">
        <v>11.334232218538169</v>
      </c>
      <c r="I400">
        <v>13.109473409393548</v>
      </c>
      <c r="J400">
        <v>26.218946818787096</v>
      </c>
      <c r="K400">
        <v>0.6145065660653225</v>
      </c>
      <c r="L400">
        <v>9.83210505704516</v>
      </c>
      <c r="M400">
        <v>22.395350407713973</v>
      </c>
    </row>
    <row r="401" spans="1:13" x14ac:dyDescent="0.3">
      <c r="A401">
        <v>1092</v>
      </c>
      <c r="B401">
        <v>18.669643985495174</v>
      </c>
      <c r="C401">
        <v>16.966209315285763</v>
      </c>
      <c r="D401">
        <v>23.166711514848028</v>
      </c>
      <c r="E401">
        <v>18.6015065986868</v>
      </c>
      <c r="F401">
        <v>17.102484088902514</v>
      </c>
      <c r="G401">
        <v>22.076513325914004</v>
      </c>
      <c r="H401">
        <v>10.561294955298365</v>
      </c>
      <c r="I401">
        <v>12.673553946358039</v>
      </c>
      <c r="J401">
        <v>24.665734024632311</v>
      </c>
      <c r="K401">
        <v>0.61323648127538899</v>
      </c>
      <c r="L401">
        <v>9.3348219927475871</v>
      </c>
      <c r="M401">
        <v>21.258864684213485</v>
      </c>
    </row>
    <row r="402" spans="1:13" x14ac:dyDescent="0.3">
      <c r="A402">
        <v>1094</v>
      </c>
      <c r="B402">
        <v>18.120513957835758</v>
      </c>
      <c r="C402">
        <v>16.411031508983331</v>
      </c>
      <c r="D402">
        <v>23.043823410530759</v>
      </c>
      <c r="E402">
        <v>18.257272553743956</v>
      </c>
      <c r="F402">
        <v>16.821307296707911</v>
      </c>
      <c r="G402">
        <v>21.949754643265205</v>
      </c>
      <c r="H402">
        <v>10.120136097206387</v>
      </c>
      <c r="I402">
        <v>12.581790823553886</v>
      </c>
      <c r="J402">
        <v>23.522478496209438</v>
      </c>
      <c r="K402">
        <v>0.61541368158687493</v>
      </c>
      <c r="L402">
        <v>8.9576880319867342</v>
      </c>
      <c r="M402">
        <v>20.171892896458676</v>
      </c>
    </row>
    <row r="403" spans="1:13" x14ac:dyDescent="0.3">
      <c r="A403">
        <v>1096</v>
      </c>
      <c r="B403">
        <v>17.679268748397543</v>
      </c>
      <c r="C403">
        <v>16.314074250451785</v>
      </c>
      <c r="D403">
        <v>22.86700784059142</v>
      </c>
      <c r="E403">
        <v>17.54274929860297</v>
      </c>
      <c r="F403">
        <v>16.382333975349074</v>
      </c>
      <c r="G403">
        <v>21.092254993261935</v>
      </c>
      <c r="H403">
        <v>9.6246212105175815</v>
      </c>
      <c r="I403">
        <v>12.491529656203671</v>
      </c>
      <c r="J403">
        <v>22.184410591618537</v>
      </c>
      <c r="K403">
        <v>0.47781807428101469</v>
      </c>
      <c r="L403">
        <v>8.5324656121609763</v>
      </c>
      <c r="M403">
        <v>19.112722971240586</v>
      </c>
    </row>
    <row r="404" spans="1:13" x14ac:dyDescent="0.3">
      <c r="A404">
        <v>1098</v>
      </c>
      <c r="B404">
        <v>17.109698884284011</v>
      </c>
      <c r="C404">
        <v>16.08311695122697</v>
      </c>
      <c r="D404">
        <v>22.311047345106353</v>
      </c>
      <c r="E404">
        <v>17.588770453043963</v>
      </c>
      <c r="F404">
        <v>15.672484178004154</v>
      </c>
      <c r="G404">
        <v>20.942271434363629</v>
      </c>
      <c r="H404">
        <v>9.3076761930505025</v>
      </c>
      <c r="I404">
        <v>12.250544401147351</v>
      </c>
      <c r="J404">
        <v>21.010710229900763</v>
      </c>
      <c r="K404">
        <v>0.41063277322281627</v>
      </c>
      <c r="L404">
        <v>8.1442166689191886</v>
      </c>
      <c r="M404">
        <v>18.136280817341053</v>
      </c>
    </row>
    <row r="405" spans="1:13" x14ac:dyDescent="0.3">
      <c r="A405">
        <v>1100</v>
      </c>
      <c r="B405">
        <v>16.580754119867308</v>
      </c>
      <c r="C405">
        <v>15.830185003330104</v>
      </c>
      <c r="D405">
        <v>21.971205047725402</v>
      </c>
      <c r="E405">
        <v>16.580754119867308</v>
      </c>
      <c r="F405">
        <v>15.693717891232431</v>
      </c>
      <c r="G405">
        <v>20.060665478357976</v>
      </c>
      <c r="H405">
        <v>8.9385958423976017</v>
      </c>
      <c r="I405">
        <v>11.940872308546414</v>
      </c>
      <c r="J405">
        <v>19.855964810211468</v>
      </c>
      <c r="K405">
        <v>0.34116778024418326</v>
      </c>
      <c r="L405">
        <v>7.7103918335185426</v>
      </c>
      <c r="M405">
        <v>17.126622568258</v>
      </c>
    </row>
    <row r="406" spans="1:13" x14ac:dyDescent="0.3">
      <c r="A406" s="172"/>
      <c r="B406" s="172"/>
      <c r="C406" s="172"/>
      <c r="D406" s="172"/>
      <c r="E406" s="172"/>
      <c r="F406" s="172"/>
      <c r="G406" s="172"/>
      <c r="H406" s="172"/>
      <c r="I406" s="172"/>
      <c r="J406" s="172"/>
      <c r="K406" s="172"/>
      <c r="L406" s="172"/>
      <c r="M406" s="172"/>
    </row>
  </sheetData>
  <mergeCells count="2">
    <mergeCell ref="A1:M1"/>
    <mergeCell ref="B2:F2"/>
  </mergeCells>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vt:i4>
      </vt:variant>
    </vt:vector>
  </HeadingPairs>
  <TitlesOfParts>
    <vt:vector size="7" baseType="lpstr">
      <vt:lpstr>Header</vt:lpstr>
      <vt:lpstr>Introduction</vt:lpstr>
      <vt:lpstr>INIT-File+Corr</vt:lpstr>
      <vt:lpstr>Basic_Counts</vt:lpstr>
      <vt:lpstr>Demonstration Calculations</vt:lpstr>
      <vt:lpstr>used Standard Values</vt:lpstr>
      <vt:lpstr>Typical AS7341 filters</vt:lpstr>
    </vt:vector>
  </TitlesOfParts>
  <Company>ams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frank.krumbein@ams.com</dc:creator>
  <cp:lastModifiedBy>GEDRE</cp:lastModifiedBy>
  <dcterms:created xsi:type="dcterms:W3CDTF">2019-06-13T16:06:22Z</dcterms:created>
  <dcterms:modified xsi:type="dcterms:W3CDTF">2023-06-18T20:57:22Z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2023-06-18T20:54:25Z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7d187dd0-9fcd-4153-839e-351c38c17251</vt:lpwstr>
  </property>
  <property fmtid="{D5CDD505-2E9C-101B-9397-08002B2CF9AE}" pid="7" name="MSIP_Label_defa4170-0d19-0005-0004-bc88714345d2_ActionId">
    <vt:lpwstr>18d83a06-a277-4cf0-bb2f-dd2a25f67aae</vt:lpwstr>
  </property>
  <property fmtid="{D5CDD505-2E9C-101B-9397-08002B2CF9AE}" pid="8" name="MSIP_Label_defa4170-0d19-0005-0004-bc88714345d2_ContentBits">
    <vt:lpwstr>0</vt:lpwstr>
  </property>
</Properties>
</file>